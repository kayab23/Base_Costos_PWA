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FernandoOlveraRendon\Documents\Base_Costos\"/>
    </mc:Choice>
  </mc:AlternateContent>
  <xr:revisionPtr revIDLastSave="0" documentId="13_ncr:1_{4364C042-3FDE-434B-83A5-833458435891}" xr6:coauthVersionLast="47" xr6:coauthVersionMax="47" xr10:uidLastSave="{00000000-0000-0000-0000-000000000000}"/>
  <bookViews>
    <workbookView xWindow="28680" yWindow="-120" windowWidth="29040" windowHeight="15720" xr2:uid="{00000000-000D-0000-FFFF-FFFF00000000}"/>
  </bookViews>
  <sheets>
    <sheet name="CATALOGO_PRODUCTOS" sheetId="1" r:id="rId1"/>
    <sheet name="COSTO_BASE" sheetId="2" r:id="rId2"/>
    <sheet name="PARAMETROS_IMPORTACION" sheetId="3" r:id="rId3"/>
    <sheet name="TIPOS_CAMBIO" sheetId="4" r:id="rId4"/>
    <sheet name="LANDED_COST" sheetId="5" r:id="rId5"/>
    <sheet name="POLITICAS_MARGEN" sheetId="6" r:id="rId6"/>
    <sheet name="LISTA_PRECIOS" sheetId="7" r:id="rId7"/>
    <sheet name="CONTROL_VERSIONES" sheetId="8" r:id="rId8"/>
  </sheets>
  <definedNames>
    <definedName name="_xlnm._FilterDatabase" localSheetId="1" hidden="1">COSTO_BASE!$G$1:$H$80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5" l="1"/>
  <c r="H2" i="5"/>
  <c r="I2" i="5"/>
  <c r="I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I243" i="5"/>
  <c r="I244" i="5"/>
  <c r="I245" i="5"/>
  <c r="I246" i="5"/>
  <c r="I247" i="5"/>
  <c r="I248" i="5"/>
  <c r="I249" i="5"/>
  <c r="I250" i="5"/>
  <c r="I251" i="5"/>
  <c r="I252" i="5"/>
  <c r="I253" i="5"/>
  <c r="I254" i="5"/>
  <c r="I255" i="5"/>
  <c r="I256" i="5"/>
  <c r="I257" i="5"/>
  <c r="I258" i="5"/>
  <c r="I259" i="5"/>
  <c r="I260" i="5"/>
  <c r="I261" i="5"/>
  <c r="I262" i="5"/>
  <c r="I263" i="5"/>
  <c r="I264" i="5"/>
  <c r="I265" i="5"/>
  <c r="I266" i="5"/>
  <c r="I267" i="5"/>
  <c r="I268" i="5"/>
  <c r="I269" i="5"/>
  <c r="I270" i="5"/>
  <c r="I271" i="5"/>
  <c r="I272" i="5"/>
  <c r="I273" i="5"/>
  <c r="I274" i="5"/>
  <c r="I275" i="5"/>
  <c r="I276" i="5"/>
  <c r="I277" i="5"/>
  <c r="I278" i="5"/>
  <c r="I279" i="5"/>
  <c r="I280" i="5"/>
  <c r="I281" i="5"/>
  <c r="I282" i="5"/>
  <c r="I283" i="5"/>
  <c r="I284" i="5"/>
  <c r="I285" i="5"/>
  <c r="I286" i="5"/>
  <c r="I287" i="5"/>
  <c r="I288" i="5"/>
  <c r="I289" i="5"/>
  <c r="I290" i="5"/>
  <c r="I291" i="5"/>
  <c r="I292" i="5"/>
  <c r="I293" i="5"/>
  <c r="I294" i="5"/>
  <c r="I295" i="5"/>
  <c r="I296" i="5"/>
  <c r="I297" i="5"/>
  <c r="I298" i="5"/>
  <c r="I299" i="5"/>
  <c r="I300" i="5"/>
  <c r="I301" i="5"/>
  <c r="I302" i="5"/>
  <c r="I303" i="5"/>
  <c r="I304" i="5"/>
  <c r="I305" i="5"/>
  <c r="I306" i="5"/>
  <c r="I307" i="5"/>
  <c r="I308" i="5"/>
  <c r="I309" i="5"/>
  <c r="I310" i="5"/>
  <c r="I311" i="5"/>
  <c r="I312" i="5"/>
  <c r="I313" i="5"/>
  <c r="I314" i="5"/>
  <c r="I315" i="5"/>
  <c r="I316" i="5"/>
  <c r="I317" i="5"/>
  <c r="I318" i="5"/>
  <c r="I319" i="5"/>
  <c r="I320" i="5"/>
  <c r="I321" i="5"/>
  <c r="I322" i="5"/>
  <c r="I323" i="5"/>
  <c r="I324" i="5"/>
  <c r="I325" i="5"/>
  <c r="I326" i="5"/>
  <c r="I327" i="5"/>
  <c r="I328" i="5"/>
  <c r="I329" i="5"/>
  <c r="I330" i="5"/>
  <c r="I331" i="5"/>
  <c r="I332" i="5"/>
  <c r="I333" i="5"/>
  <c r="I334" i="5"/>
  <c r="I335" i="5"/>
  <c r="I336" i="5"/>
  <c r="I337" i="5"/>
  <c r="I338" i="5"/>
  <c r="I339" i="5"/>
  <c r="I340" i="5"/>
  <c r="I341" i="5"/>
  <c r="I342" i="5"/>
  <c r="I343" i="5"/>
  <c r="I344" i="5"/>
  <c r="I345" i="5"/>
  <c r="I346" i="5"/>
  <c r="I347" i="5"/>
  <c r="I348" i="5"/>
  <c r="I349" i="5"/>
  <c r="I350" i="5"/>
  <c r="I351" i="5"/>
  <c r="I352" i="5"/>
  <c r="I353" i="5"/>
  <c r="I354" i="5"/>
  <c r="I355" i="5"/>
  <c r="I356" i="5"/>
  <c r="I357" i="5"/>
  <c r="I358" i="5"/>
  <c r="I359" i="5"/>
  <c r="I360" i="5"/>
  <c r="I361" i="5"/>
  <c r="I362" i="5"/>
  <c r="I363" i="5"/>
  <c r="I364" i="5"/>
  <c r="I365" i="5"/>
  <c r="I366" i="5"/>
  <c r="I367" i="5"/>
  <c r="I368" i="5"/>
  <c r="I369" i="5"/>
  <c r="I370" i="5"/>
  <c r="I371" i="5"/>
  <c r="I372" i="5"/>
  <c r="I373" i="5"/>
  <c r="I374" i="5"/>
  <c r="I375" i="5"/>
  <c r="I376" i="5"/>
  <c r="I377" i="5"/>
  <c r="I378" i="5"/>
  <c r="I379" i="5"/>
  <c r="I380" i="5"/>
  <c r="I381" i="5"/>
  <c r="I382" i="5"/>
  <c r="I383" i="5"/>
  <c r="I384" i="5"/>
  <c r="I385" i="5"/>
  <c r="I386" i="5"/>
  <c r="I387" i="5"/>
  <c r="I388" i="5"/>
  <c r="I389" i="5"/>
  <c r="I390" i="5"/>
  <c r="I391" i="5"/>
  <c r="I392" i="5"/>
  <c r="I393" i="5"/>
  <c r="I394" i="5"/>
  <c r="I395" i="5"/>
  <c r="I396" i="5"/>
  <c r="I397" i="5"/>
  <c r="I398" i="5"/>
  <c r="I399" i="5"/>
  <c r="I400" i="5"/>
  <c r="I401" i="5"/>
  <c r="I402" i="5"/>
  <c r="I403" i="5"/>
  <c r="I404" i="5"/>
  <c r="I405" i="5"/>
  <c r="I406" i="5"/>
  <c r="I407" i="5"/>
  <c r="I408" i="5"/>
  <c r="I409" i="5"/>
  <c r="I410" i="5"/>
  <c r="I411" i="5"/>
  <c r="I412" i="5"/>
  <c r="I413" i="5"/>
  <c r="I414" i="5"/>
  <c r="I415" i="5"/>
  <c r="I416" i="5"/>
  <c r="I417" i="5"/>
  <c r="I418" i="5"/>
  <c r="I419" i="5"/>
  <c r="I420" i="5"/>
  <c r="I421" i="5"/>
  <c r="I422" i="5"/>
  <c r="I423" i="5"/>
  <c r="I424" i="5"/>
  <c r="I425" i="5"/>
  <c r="I426" i="5"/>
  <c r="I427" i="5"/>
  <c r="I428" i="5"/>
  <c r="I429" i="5"/>
  <c r="I430" i="5"/>
  <c r="I431" i="5"/>
  <c r="I432" i="5"/>
  <c r="I433" i="5"/>
  <c r="I434" i="5"/>
  <c r="I435" i="5"/>
  <c r="I436" i="5"/>
  <c r="I437" i="5"/>
  <c r="I438" i="5"/>
  <c r="I439" i="5"/>
  <c r="I440" i="5"/>
  <c r="I441" i="5"/>
  <c r="I442" i="5"/>
  <c r="I443" i="5"/>
  <c r="I444" i="5"/>
  <c r="I445" i="5"/>
  <c r="I446" i="5"/>
  <c r="I447" i="5"/>
  <c r="I448" i="5"/>
  <c r="I449" i="5"/>
  <c r="I450" i="5"/>
  <c r="I451" i="5"/>
  <c r="I452" i="5"/>
  <c r="I453" i="5"/>
  <c r="I454" i="5"/>
  <c r="I455" i="5"/>
  <c r="I456" i="5"/>
  <c r="I457" i="5"/>
  <c r="I458" i="5"/>
  <c r="I459" i="5"/>
  <c r="I460" i="5"/>
  <c r="I461" i="5"/>
  <c r="I462" i="5"/>
  <c r="I463" i="5"/>
  <c r="I464" i="5"/>
  <c r="I465" i="5"/>
  <c r="I466" i="5"/>
  <c r="I467" i="5"/>
  <c r="I468" i="5"/>
  <c r="I469" i="5"/>
  <c r="I470" i="5"/>
  <c r="I471" i="5"/>
  <c r="I472" i="5"/>
  <c r="I473" i="5"/>
  <c r="I474" i="5"/>
  <c r="I475" i="5"/>
  <c r="I476" i="5"/>
  <c r="I477" i="5"/>
  <c r="I478" i="5"/>
  <c r="I479" i="5"/>
  <c r="I480" i="5"/>
  <c r="I481" i="5"/>
  <c r="I482" i="5"/>
  <c r="I483" i="5"/>
  <c r="I484" i="5"/>
  <c r="I485" i="5"/>
  <c r="I486" i="5"/>
  <c r="I487" i="5"/>
  <c r="I488" i="5"/>
  <c r="I489" i="5"/>
  <c r="I490" i="5"/>
  <c r="I491" i="5"/>
  <c r="I492" i="5"/>
  <c r="I493" i="5"/>
  <c r="I494" i="5"/>
  <c r="I495" i="5"/>
  <c r="I496" i="5"/>
  <c r="I497" i="5"/>
  <c r="I498" i="5"/>
  <c r="I499" i="5"/>
  <c r="I500" i="5"/>
  <c r="I501" i="5"/>
  <c r="I502" i="5"/>
  <c r="I503" i="5"/>
  <c r="I504" i="5"/>
  <c r="I505" i="5"/>
  <c r="I506" i="5"/>
  <c r="I507" i="5"/>
  <c r="I508" i="5"/>
  <c r="I509" i="5"/>
  <c r="I510" i="5"/>
  <c r="I511" i="5"/>
  <c r="I512" i="5"/>
  <c r="I513" i="5"/>
  <c r="I514" i="5"/>
  <c r="I515" i="5"/>
  <c r="I516" i="5"/>
  <c r="I517" i="5"/>
  <c r="I518" i="5"/>
  <c r="I519" i="5"/>
  <c r="I520" i="5"/>
  <c r="I521" i="5"/>
  <c r="I522" i="5"/>
  <c r="I523" i="5"/>
  <c r="I524" i="5"/>
  <c r="I525" i="5"/>
  <c r="I526" i="5"/>
  <c r="I527" i="5"/>
  <c r="I528" i="5"/>
  <c r="I529" i="5"/>
  <c r="I530" i="5"/>
  <c r="I531" i="5"/>
  <c r="I532" i="5"/>
  <c r="I533" i="5"/>
  <c r="I534" i="5"/>
  <c r="I535" i="5"/>
  <c r="I536" i="5"/>
  <c r="I537" i="5"/>
  <c r="I538" i="5"/>
  <c r="I539" i="5"/>
  <c r="I540" i="5"/>
  <c r="I541" i="5"/>
  <c r="I542" i="5"/>
  <c r="I543" i="5"/>
  <c r="I544" i="5"/>
  <c r="I545" i="5"/>
  <c r="I546" i="5"/>
  <c r="I547" i="5"/>
  <c r="I548" i="5"/>
  <c r="I549" i="5"/>
  <c r="I550" i="5"/>
  <c r="I551" i="5"/>
  <c r="I552" i="5"/>
  <c r="I553" i="5"/>
  <c r="I554" i="5"/>
  <c r="I555" i="5"/>
  <c r="I556" i="5"/>
  <c r="I557" i="5"/>
  <c r="I558" i="5"/>
  <c r="I559" i="5"/>
  <c r="I560" i="5"/>
  <c r="I561" i="5"/>
  <c r="I562" i="5"/>
  <c r="I563" i="5"/>
  <c r="I564" i="5"/>
  <c r="I565" i="5"/>
  <c r="I566" i="5"/>
  <c r="I567" i="5"/>
  <c r="I568" i="5"/>
  <c r="I569" i="5"/>
  <c r="I570" i="5"/>
  <c r="I571" i="5"/>
  <c r="I572" i="5"/>
  <c r="I573" i="5"/>
  <c r="I574" i="5"/>
  <c r="I575" i="5"/>
  <c r="I576" i="5"/>
  <c r="I577" i="5"/>
  <c r="I578" i="5"/>
  <c r="I579" i="5"/>
  <c r="I580" i="5"/>
  <c r="I581" i="5"/>
  <c r="I582" i="5"/>
  <c r="I583" i="5"/>
  <c r="I584" i="5"/>
  <c r="I585" i="5"/>
  <c r="I586" i="5"/>
  <c r="I587" i="5"/>
  <c r="I588" i="5"/>
  <c r="I589" i="5"/>
  <c r="I590" i="5"/>
  <c r="I591" i="5"/>
  <c r="I592" i="5"/>
  <c r="I593" i="5"/>
  <c r="I594" i="5"/>
  <c r="I595" i="5"/>
  <c r="I596" i="5"/>
  <c r="I597" i="5"/>
  <c r="I598" i="5"/>
  <c r="I599" i="5"/>
  <c r="I600" i="5"/>
  <c r="I601" i="5"/>
  <c r="I602" i="5"/>
  <c r="I603" i="5"/>
  <c r="I604" i="5"/>
  <c r="I605" i="5"/>
  <c r="I606" i="5"/>
  <c r="I607" i="5"/>
  <c r="I608" i="5"/>
  <c r="I609" i="5"/>
  <c r="I610" i="5"/>
  <c r="I611" i="5"/>
  <c r="I612" i="5"/>
  <c r="I613" i="5"/>
  <c r="I614" i="5"/>
  <c r="I615" i="5"/>
  <c r="I616" i="5"/>
  <c r="I617" i="5"/>
  <c r="I618" i="5"/>
  <c r="I619" i="5"/>
  <c r="I620" i="5"/>
  <c r="I621" i="5"/>
  <c r="I622" i="5"/>
  <c r="I623" i="5"/>
  <c r="I624" i="5"/>
  <c r="I625" i="5"/>
  <c r="I626" i="5"/>
  <c r="I627" i="5"/>
  <c r="I628" i="5"/>
  <c r="I629" i="5"/>
  <c r="I630" i="5"/>
  <c r="I631" i="5"/>
  <c r="I632" i="5"/>
  <c r="I633" i="5"/>
  <c r="I634" i="5"/>
  <c r="I635" i="5"/>
  <c r="I636" i="5"/>
  <c r="I637" i="5"/>
  <c r="I638" i="5"/>
  <c r="I639" i="5"/>
  <c r="I640" i="5"/>
  <c r="I641" i="5"/>
  <c r="I642" i="5"/>
  <c r="I643" i="5"/>
  <c r="I644" i="5"/>
  <c r="I645" i="5"/>
  <c r="I646" i="5"/>
  <c r="I647" i="5"/>
  <c r="I648" i="5"/>
  <c r="I649" i="5"/>
  <c r="I650" i="5"/>
  <c r="I651" i="5"/>
  <c r="I652" i="5"/>
  <c r="I653" i="5"/>
  <c r="I654" i="5"/>
  <c r="I655" i="5"/>
  <c r="I656" i="5"/>
  <c r="I657" i="5"/>
  <c r="I658" i="5"/>
  <c r="I659" i="5"/>
  <c r="I660" i="5"/>
  <c r="I661" i="5"/>
  <c r="I662" i="5"/>
  <c r="I663" i="5"/>
  <c r="I664" i="5"/>
  <c r="I665" i="5"/>
  <c r="I666" i="5"/>
  <c r="I667" i="5"/>
  <c r="I668" i="5"/>
  <c r="I669" i="5"/>
  <c r="I670" i="5"/>
  <c r="I671" i="5"/>
  <c r="I672" i="5"/>
  <c r="I673" i="5"/>
  <c r="I674" i="5"/>
  <c r="I675" i="5"/>
  <c r="I676" i="5"/>
  <c r="I677" i="5"/>
  <c r="I678" i="5"/>
  <c r="I679" i="5"/>
  <c r="I680" i="5"/>
  <c r="I681" i="5"/>
  <c r="I682" i="5"/>
  <c r="I683" i="5"/>
  <c r="I684" i="5"/>
  <c r="I685" i="5"/>
  <c r="I686" i="5"/>
  <c r="I687" i="5"/>
  <c r="I688" i="5"/>
  <c r="I689" i="5"/>
  <c r="I690" i="5"/>
  <c r="I691" i="5"/>
  <c r="I692" i="5"/>
  <c r="I693" i="5"/>
  <c r="I694" i="5"/>
  <c r="I695" i="5"/>
  <c r="I696" i="5"/>
  <c r="I697" i="5"/>
  <c r="I698" i="5"/>
  <c r="I699" i="5"/>
  <c r="I700" i="5"/>
  <c r="I701" i="5"/>
  <c r="I702" i="5"/>
  <c r="I703" i="5"/>
  <c r="I704" i="5"/>
  <c r="I705" i="5"/>
  <c r="I706" i="5"/>
  <c r="I707" i="5"/>
  <c r="I708" i="5"/>
  <c r="I709" i="5"/>
  <c r="I710" i="5"/>
  <c r="I711" i="5"/>
  <c r="I712" i="5"/>
  <c r="I713" i="5"/>
  <c r="I714" i="5"/>
  <c r="I715" i="5"/>
  <c r="I716" i="5"/>
  <c r="I717" i="5"/>
  <c r="I718" i="5"/>
  <c r="I719" i="5"/>
  <c r="I720" i="5"/>
  <c r="I721" i="5"/>
  <c r="I722" i="5"/>
  <c r="I723" i="5"/>
  <c r="I724" i="5"/>
  <c r="I725" i="5"/>
  <c r="I726" i="5"/>
  <c r="I727" i="5"/>
  <c r="I728" i="5"/>
  <c r="I729" i="5"/>
  <c r="I730" i="5"/>
  <c r="I731" i="5"/>
  <c r="I732" i="5"/>
  <c r="I733" i="5"/>
  <c r="I734" i="5"/>
  <c r="I735" i="5"/>
  <c r="I736" i="5"/>
  <c r="I737" i="5"/>
  <c r="I738" i="5"/>
  <c r="I739" i="5"/>
  <c r="I740" i="5"/>
  <c r="I741" i="5"/>
  <c r="I742" i="5"/>
  <c r="I743" i="5"/>
  <c r="I744" i="5"/>
  <c r="I745" i="5"/>
  <c r="I746" i="5"/>
  <c r="I747" i="5"/>
  <c r="I748" i="5"/>
  <c r="I749" i="5"/>
  <c r="I750" i="5"/>
  <c r="I751" i="5"/>
  <c r="I752" i="5"/>
  <c r="I753" i="5"/>
  <c r="I754" i="5"/>
  <c r="I755" i="5"/>
  <c r="I756" i="5"/>
  <c r="I757" i="5"/>
  <c r="I758" i="5"/>
  <c r="I759" i="5"/>
  <c r="I760" i="5"/>
  <c r="I761" i="5"/>
  <c r="I762" i="5"/>
  <c r="I763" i="5"/>
  <c r="I764" i="5"/>
  <c r="I765" i="5"/>
  <c r="I766" i="5"/>
  <c r="I767" i="5"/>
  <c r="I768" i="5"/>
  <c r="I769" i="5"/>
  <c r="I770" i="5"/>
  <c r="I771" i="5"/>
  <c r="I772" i="5"/>
  <c r="I773" i="5"/>
  <c r="I774" i="5"/>
  <c r="I775" i="5"/>
  <c r="I776" i="5"/>
  <c r="I777" i="5"/>
  <c r="I778" i="5"/>
  <c r="I779" i="5"/>
  <c r="I780" i="5"/>
  <c r="I781" i="5"/>
  <c r="I782" i="5"/>
  <c r="I783" i="5"/>
  <c r="I784" i="5"/>
  <c r="I785" i="5"/>
  <c r="I786" i="5"/>
  <c r="I787" i="5"/>
  <c r="I788" i="5"/>
  <c r="I789" i="5"/>
  <c r="I790" i="5"/>
  <c r="I791" i="5"/>
  <c r="I792" i="5"/>
  <c r="I793" i="5"/>
  <c r="I794" i="5"/>
  <c r="I795" i="5"/>
  <c r="I796" i="5"/>
  <c r="I797" i="5"/>
  <c r="I798" i="5"/>
  <c r="I799" i="5"/>
  <c r="I800" i="5"/>
  <c r="I801" i="5"/>
  <c r="I802" i="5"/>
  <c r="I803" i="5"/>
  <c r="I804" i="5"/>
  <c r="I805" i="5"/>
  <c r="I806" i="5"/>
  <c r="I807" i="5"/>
  <c r="I808" i="5"/>
  <c r="I809" i="5"/>
  <c r="I810" i="5"/>
  <c r="I811" i="5"/>
  <c r="I812" i="5"/>
  <c r="I813" i="5"/>
  <c r="I814" i="5"/>
  <c r="I815" i="5"/>
  <c r="I816" i="5"/>
  <c r="I817" i="5"/>
  <c r="I818" i="5"/>
  <c r="I819" i="5"/>
  <c r="I820" i="5"/>
  <c r="I821" i="5"/>
  <c r="I822" i="5"/>
  <c r="I823" i="5"/>
  <c r="I824" i="5"/>
  <c r="I825" i="5"/>
  <c r="I826" i="5"/>
  <c r="I827" i="5"/>
  <c r="I828" i="5"/>
  <c r="I829" i="5"/>
  <c r="I830" i="5"/>
  <c r="I831" i="5"/>
  <c r="I832" i="5"/>
  <c r="I833" i="5"/>
  <c r="I834" i="5"/>
  <c r="I835" i="5"/>
  <c r="I836" i="5"/>
  <c r="I837" i="5"/>
  <c r="I838" i="5"/>
  <c r="I839" i="5"/>
  <c r="I840" i="5"/>
  <c r="I841" i="5"/>
  <c r="I842" i="5"/>
  <c r="I843" i="5"/>
  <c r="I844" i="5"/>
  <c r="I845" i="5"/>
  <c r="I846" i="5"/>
  <c r="I847" i="5"/>
  <c r="I848" i="5"/>
  <c r="I849" i="5"/>
  <c r="I850" i="5"/>
  <c r="I851" i="5"/>
  <c r="I852" i="5"/>
  <c r="I853" i="5"/>
  <c r="I854" i="5"/>
  <c r="I855" i="5"/>
  <c r="I856" i="5"/>
  <c r="I857" i="5"/>
  <c r="I858" i="5"/>
  <c r="I859" i="5"/>
  <c r="I860" i="5"/>
  <c r="I861" i="5"/>
  <c r="I862" i="5"/>
  <c r="I863" i="5"/>
  <c r="I864" i="5"/>
  <c r="I865" i="5"/>
  <c r="I866" i="5"/>
  <c r="I867" i="5"/>
  <c r="I868" i="5"/>
  <c r="I869" i="5"/>
  <c r="I870" i="5"/>
  <c r="I871" i="5"/>
  <c r="I872" i="5"/>
  <c r="I873" i="5"/>
  <c r="I874" i="5"/>
  <c r="I875" i="5"/>
  <c r="I876" i="5"/>
  <c r="I877" i="5"/>
  <c r="I878" i="5"/>
  <c r="I879" i="5"/>
  <c r="I880" i="5"/>
  <c r="I881" i="5"/>
  <c r="I882" i="5"/>
  <c r="I883" i="5"/>
  <c r="I884" i="5"/>
  <c r="I885" i="5"/>
  <c r="I886" i="5"/>
  <c r="I887" i="5"/>
  <c r="I888" i="5"/>
  <c r="I889" i="5"/>
  <c r="I890" i="5"/>
  <c r="I891" i="5"/>
  <c r="I892" i="5"/>
  <c r="I893" i="5"/>
  <c r="I894" i="5"/>
  <c r="I895" i="5"/>
  <c r="I896" i="5"/>
  <c r="I897" i="5"/>
  <c r="I898" i="5"/>
  <c r="I899" i="5"/>
  <c r="I900" i="5"/>
  <c r="I901" i="5"/>
  <c r="I902" i="5"/>
  <c r="I903" i="5"/>
  <c r="I904" i="5"/>
  <c r="I905" i="5"/>
  <c r="I906" i="5"/>
  <c r="I907" i="5"/>
  <c r="I908" i="5"/>
  <c r="I909" i="5"/>
  <c r="I910" i="5"/>
  <c r="I911" i="5"/>
  <c r="I912" i="5"/>
  <c r="I913" i="5"/>
  <c r="I914" i="5"/>
  <c r="I915" i="5"/>
  <c r="I916" i="5"/>
  <c r="I917" i="5"/>
  <c r="I918" i="5"/>
  <c r="I919" i="5"/>
  <c r="I920" i="5"/>
  <c r="I921" i="5"/>
  <c r="I922" i="5"/>
  <c r="I923" i="5"/>
  <c r="I924" i="5"/>
  <c r="I925" i="5"/>
  <c r="I926" i="5"/>
  <c r="I927" i="5"/>
  <c r="I928" i="5"/>
  <c r="I929" i="5"/>
  <c r="I930" i="5"/>
  <c r="I931" i="5"/>
  <c r="I932" i="5"/>
  <c r="I933" i="5"/>
  <c r="I934" i="5"/>
  <c r="I935" i="5"/>
  <c r="I936" i="5"/>
  <c r="I937" i="5"/>
  <c r="I938" i="5"/>
  <c r="I939" i="5"/>
  <c r="I940" i="5"/>
  <c r="I941" i="5"/>
  <c r="I942" i="5"/>
  <c r="I943" i="5"/>
  <c r="I944" i="5"/>
  <c r="I945" i="5"/>
  <c r="I946" i="5"/>
  <c r="I947" i="5"/>
  <c r="I948" i="5"/>
  <c r="I949" i="5"/>
  <c r="I950" i="5"/>
  <c r="I951" i="5"/>
  <c r="I952" i="5"/>
  <c r="I953" i="5"/>
  <c r="I954" i="5"/>
  <c r="I955" i="5"/>
  <c r="I956" i="5"/>
  <c r="I957" i="5"/>
  <c r="I958" i="5"/>
  <c r="I959" i="5"/>
  <c r="I960" i="5"/>
  <c r="I961" i="5"/>
  <c r="I962" i="5"/>
  <c r="I963" i="5"/>
  <c r="I964" i="5"/>
  <c r="I965" i="5"/>
  <c r="I966" i="5"/>
  <c r="I967" i="5"/>
  <c r="I968" i="5"/>
  <c r="I969" i="5"/>
  <c r="I970" i="5"/>
  <c r="I971" i="5"/>
  <c r="I972" i="5"/>
  <c r="I973" i="5"/>
  <c r="I974" i="5"/>
  <c r="I975" i="5"/>
  <c r="I976" i="5"/>
  <c r="I977" i="5"/>
  <c r="I978" i="5"/>
  <c r="I979" i="5"/>
  <c r="I980" i="5"/>
  <c r="I981" i="5"/>
  <c r="I982" i="5"/>
  <c r="I983" i="5"/>
  <c r="I984" i="5"/>
  <c r="I985" i="5"/>
  <c r="I986" i="5"/>
  <c r="I987" i="5"/>
  <c r="I988" i="5"/>
  <c r="I989" i="5"/>
  <c r="I990" i="5"/>
  <c r="I991" i="5"/>
  <c r="I992" i="5"/>
  <c r="I993" i="5"/>
  <c r="I994" i="5"/>
  <c r="I995" i="5"/>
  <c r="I996" i="5"/>
  <c r="I997" i="5"/>
  <c r="I998" i="5"/>
  <c r="I999" i="5"/>
  <c r="I1000" i="5"/>
  <c r="I1001" i="5"/>
  <c r="I1002" i="5"/>
  <c r="I1003" i="5"/>
  <c r="I1004" i="5"/>
  <c r="I1005" i="5"/>
  <c r="I1006" i="5"/>
  <c r="I1007" i="5"/>
  <c r="I1008" i="5"/>
  <c r="I1009" i="5"/>
  <c r="I1010" i="5"/>
  <c r="I1011" i="5"/>
  <c r="I1012" i="5"/>
  <c r="I1013" i="5"/>
  <c r="I1014" i="5"/>
  <c r="I1015" i="5"/>
  <c r="I1016" i="5"/>
  <c r="I1017" i="5"/>
  <c r="I1018" i="5"/>
  <c r="I1019" i="5"/>
  <c r="I1020" i="5"/>
  <c r="I1021" i="5"/>
  <c r="I1022" i="5"/>
  <c r="I1023" i="5"/>
  <c r="I1024" i="5"/>
  <c r="I1025" i="5"/>
  <c r="I1026" i="5"/>
  <c r="I1027" i="5"/>
  <c r="I1028" i="5"/>
  <c r="I1029" i="5"/>
  <c r="I1030" i="5"/>
  <c r="I1031" i="5"/>
  <c r="I1032" i="5"/>
  <c r="I1033" i="5"/>
  <c r="I1034" i="5"/>
  <c r="I1035" i="5"/>
  <c r="I1036" i="5"/>
  <c r="I1037" i="5"/>
  <c r="I1038" i="5"/>
  <c r="I1039" i="5"/>
  <c r="I1040" i="5"/>
  <c r="I1041" i="5"/>
  <c r="I1042" i="5"/>
  <c r="I1043" i="5"/>
  <c r="I1044" i="5"/>
  <c r="I1045" i="5"/>
  <c r="I1046" i="5"/>
  <c r="I1047" i="5"/>
  <c r="I1048" i="5"/>
  <c r="I1049" i="5"/>
  <c r="I1050" i="5"/>
  <c r="I1051" i="5"/>
  <c r="I1052" i="5"/>
  <c r="I1053" i="5"/>
  <c r="I1054" i="5"/>
  <c r="I1055" i="5"/>
  <c r="I1056" i="5"/>
  <c r="I1057" i="5"/>
  <c r="I1058" i="5"/>
  <c r="I1059" i="5"/>
  <c r="I1060" i="5"/>
  <c r="I1061" i="5"/>
  <c r="I1062" i="5"/>
  <c r="I1063" i="5"/>
  <c r="I1064" i="5"/>
  <c r="I1065" i="5"/>
  <c r="I1066" i="5"/>
  <c r="I1067" i="5"/>
  <c r="I1068" i="5"/>
  <c r="I1069" i="5"/>
  <c r="I1070" i="5"/>
  <c r="I1071" i="5"/>
  <c r="I1072" i="5"/>
  <c r="I1073" i="5"/>
  <c r="I1074" i="5"/>
  <c r="I1075" i="5"/>
  <c r="I1076" i="5"/>
  <c r="I1077" i="5"/>
  <c r="I1078" i="5"/>
  <c r="I1079" i="5"/>
  <c r="I1080" i="5"/>
  <c r="I1081" i="5"/>
  <c r="I1082" i="5"/>
  <c r="I1083" i="5"/>
  <c r="I1084" i="5"/>
  <c r="I1085" i="5"/>
  <c r="I1086" i="5"/>
  <c r="I1087" i="5"/>
  <c r="I1088" i="5"/>
  <c r="I1089" i="5"/>
  <c r="I1090" i="5"/>
  <c r="I1091" i="5"/>
  <c r="I1092" i="5"/>
  <c r="I1093" i="5"/>
  <c r="I1094" i="5"/>
  <c r="I1095" i="5"/>
  <c r="I1096" i="5"/>
  <c r="I1097" i="5"/>
  <c r="I1098" i="5"/>
  <c r="I1099" i="5"/>
  <c r="I1100" i="5"/>
  <c r="I1101" i="5"/>
  <c r="I1102" i="5"/>
  <c r="I1103" i="5"/>
  <c r="I1104" i="5"/>
  <c r="I1105" i="5"/>
  <c r="I1106" i="5"/>
  <c r="I1107" i="5"/>
  <c r="I1108" i="5"/>
  <c r="I1109" i="5"/>
  <c r="I1110" i="5"/>
  <c r="I1111" i="5"/>
  <c r="I1112" i="5"/>
  <c r="I1113" i="5"/>
  <c r="I1114" i="5"/>
  <c r="I1115" i="5"/>
  <c r="I1116" i="5"/>
  <c r="I1117" i="5"/>
  <c r="I1118" i="5"/>
  <c r="I1119" i="5"/>
  <c r="I1120" i="5"/>
  <c r="I1121" i="5"/>
  <c r="I1122" i="5"/>
  <c r="I1123" i="5"/>
  <c r="I1124" i="5"/>
  <c r="I1125" i="5"/>
  <c r="I1126" i="5"/>
  <c r="I1127" i="5"/>
  <c r="I1128" i="5"/>
  <c r="I1129" i="5"/>
  <c r="I1130" i="5"/>
  <c r="I1131" i="5"/>
  <c r="I1132" i="5"/>
  <c r="I1133" i="5"/>
  <c r="I1134" i="5"/>
  <c r="I1135" i="5"/>
  <c r="I1136" i="5"/>
  <c r="I1137" i="5"/>
  <c r="I1138" i="5"/>
  <c r="I1139" i="5"/>
  <c r="I1140" i="5"/>
  <c r="I1141" i="5"/>
  <c r="I1142" i="5"/>
  <c r="I1143" i="5"/>
  <c r="I1144" i="5"/>
  <c r="I1145" i="5"/>
  <c r="I1146" i="5"/>
  <c r="I1147" i="5"/>
  <c r="I1148" i="5"/>
  <c r="I1149" i="5"/>
  <c r="I1150" i="5"/>
  <c r="I1151" i="5"/>
  <c r="I1152" i="5"/>
  <c r="I1153" i="5"/>
  <c r="I1154" i="5"/>
  <c r="I1155" i="5"/>
  <c r="I1156" i="5"/>
  <c r="I1157" i="5"/>
  <c r="I1158" i="5"/>
  <c r="I1159" i="5"/>
  <c r="I1160" i="5"/>
  <c r="I1161" i="5"/>
  <c r="I1162" i="5"/>
  <c r="I1163" i="5"/>
  <c r="I1164" i="5"/>
  <c r="I1165" i="5"/>
  <c r="I1166" i="5"/>
  <c r="I1167" i="5"/>
  <c r="I1168" i="5"/>
  <c r="I1169" i="5"/>
  <c r="I1170" i="5"/>
  <c r="I1171" i="5"/>
  <c r="I1172" i="5"/>
  <c r="I1173" i="5"/>
  <c r="I1174" i="5"/>
  <c r="I1175" i="5"/>
  <c r="I1176" i="5"/>
  <c r="I1177" i="5"/>
  <c r="I1178" i="5"/>
  <c r="I1179" i="5"/>
  <c r="I1180" i="5"/>
  <c r="I1181" i="5"/>
  <c r="I1182" i="5"/>
  <c r="I1183" i="5"/>
  <c r="I1184" i="5"/>
  <c r="I1185" i="5"/>
  <c r="I1186" i="5"/>
  <c r="I1187" i="5"/>
  <c r="I1188" i="5"/>
  <c r="I1189" i="5"/>
  <c r="I1190" i="5"/>
  <c r="I1191" i="5"/>
  <c r="I1192" i="5"/>
  <c r="I1193" i="5"/>
  <c r="I1194" i="5"/>
  <c r="I1195" i="5"/>
  <c r="I1196" i="5"/>
  <c r="I1197" i="5"/>
  <c r="I1198" i="5"/>
  <c r="I1199" i="5"/>
  <c r="I1200" i="5"/>
  <c r="I1201" i="5"/>
  <c r="I1202" i="5"/>
  <c r="I1203" i="5"/>
  <c r="I1204" i="5"/>
  <c r="I1205" i="5"/>
  <c r="I1206" i="5"/>
  <c r="I1207" i="5"/>
  <c r="I1208" i="5"/>
  <c r="I1209" i="5"/>
  <c r="I1210" i="5"/>
  <c r="I1211" i="5"/>
  <c r="I1212" i="5"/>
  <c r="I1213" i="5"/>
  <c r="I1214" i="5"/>
  <c r="I1215" i="5"/>
  <c r="I1216" i="5"/>
  <c r="I1217" i="5"/>
  <c r="I1218" i="5"/>
  <c r="I1219" i="5"/>
  <c r="I1220" i="5"/>
  <c r="I1221" i="5"/>
  <c r="I1222" i="5"/>
  <c r="I1223" i="5"/>
  <c r="I1224" i="5"/>
  <c r="I1225" i="5"/>
  <c r="I1226" i="5"/>
  <c r="I1227" i="5"/>
  <c r="I1228" i="5"/>
  <c r="I1229" i="5"/>
  <c r="I1230" i="5"/>
  <c r="I1231" i="5"/>
  <c r="I1232" i="5"/>
  <c r="I1233" i="5"/>
  <c r="I1234" i="5"/>
  <c r="I1235" i="5"/>
  <c r="I1236" i="5"/>
  <c r="I1237" i="5"/>
  <c r="I1238" i="5"/>
  <c r="I1239" i="5"/>
  <c r="I1240" i="5"/>
  <c r="I1241" i="5"/>
  <c r="I1242" i="5"/>
  <c r="I1243" i="5"/>
  <c r="I1244" i="5"/>
  <c r="I1245" i="5"/>
  <c r="I1246" i="5"/>
  <c r="I1247" i="5"/>
  <c r="I1248" i="5"/>
  <c r="I1249" i="5"/>
  <c r="I1250" i="5"/>
  <c r="I1251" i="5"/>
  <c r="I1252" i="5"/>
  <c r="I1253" i="5"/>
  <c r="I1254" i="5"/>
  <c r="I1255" i="5"/>
  <c r="I1256" i="5"/>
  <c r="I1257" i="5"/>
  <c r="I1258" i="5"/>
  <c r="I1259" i="5"/>
  <c r="I1260" i="5"/>
  <c r="I1261" i="5"/>
  <c r="I1262" i="5"/>
  <c r="I1263" i="5"/>
  <c r="I1264" i="5"/>
  <c r="I1265" i="5"/>
  <c r="I1266" i="5"/>
  <c r="I1267" i="5"/>
  <c r="I1268" i="5"/>
  <c r="I1269" i="5"/>
  <c r="I1270" i="5"/>
  <c r="I1271" i="5"/>
  <c r="I1272" i="5"/>
  <c r="I1273" i="5"/>
  <c r="I1274" i="5"/>
  <c r="I1275" i="5"/>
  <c r="I1276" i="5"/>
  <c r="I1277" i="5"/>
  <c r="I1278" i="5"/>
  <c r="I1279" i="5"/>
  <c r="I1280" i="5"/>
  <c r="I1281" i="5"/>
  <c r="I1282" i="5"/>
  <c r="I1283" i="5"/>
  <c r="I1284" i="5"/>
  <c r="I1285" i="5"/>
  <c r="I1286" i="5"/>
  <c r="I1287" i="5"/>
  <c r="I1288" i="5"/>
  <c r="I1289" i="5"/>
  <c r="I1290" i="5"/>
  <c r="I1291" i="5"/>
  <c r="I1292" i="5"/>
  <c r="I1293" i="5"/>
  <c r="I1294" i="5"/>
  <c r="I1295" i="5"/>
  <c r="I1296" i="5"/>
  <c r="I1297" i="5"/>
  <c r="I1298" i="5"/>
  <c r="I1299" i="5"/>
  <c r="I1300" i="5"/>
  <c r="I1301" i="5"/>
  <c r="I1302" i="5"/>
  <c r="I1303" i="5"/>
  <c r="I1304" i="5"/>
  <c r="I1305" i="5"/>
  <c r="I1306" i="5"/>
  <c r="I1307" i="5"/>
  <c r="I1308" i="5"/>
  <c r="I1309" i="5"/>
  <c r="I1310" i="5"/>
  <c r="I1311" i="5"/>
  <c r="I1312" i="5"/>
  <c r="I1313" i="5"/>
  <c r="I1314" i="5"/>
  <c r="I1315" i="5"/>
  <c r="I1316" i="5"/>
  <c r="I1317" i="5"/>
  <c r="I1318" i="5"/>
  <c r="I1319" i="5"/>
  <c r="I1320" i="5"/>
  <c r="I1321" i="5"/>
  <c r="I1322" i="5"/>
  <c r="I1323" i="5"/>
  <c r="I1324" i="5"/>
  <c r="I1325" i="5"/>
  <c r="I1326" i="5"/>
  <c r="I1327" i="5"/>
  <c r="I1328" i="5"/>
  <c r="I1329" i="5"/>
  <c r="I1330" i="5"/>
  <c r="I1331" i="5"/>
  <c r="I1332" i="5"/>
  <c r="I1333" i="5"/>
  <c r="I1334" i="5"/>
  <c r="I1335" i="5"/>
  <c r="I1336" i="5"/>
  <c r="I1337" i="5"/>
  <c r="I1338" i="5"/>
  <c r="I1339" i="5"/>
  <c r="I1340" i="5"/>
  <c r="I1341" i="5"/>
  <c r="I1342" i="5"/>
  <c r="I1343" i="5"/>
  <c r="I1344" i="5"/>
  <c r="I1345" i="5"/>
  <c r="I1346" i="5"/>
  <c r="I1347" i="5"/>
  <c r="I1348" i="5"/>
  <c r="I1349" i="5"/>
  <c r="I1350" i="5"/>
  <c r="I1351" i="5"/>
  <c r="I1352" i="5"/>
  <c r="I1353" i="5"/>
  <c r="I1354" i="5"/>
  <c r="I1355" i="5"/>
  <c r="I1356" i="5"/>
  <c r="I1357" i="5"/>
  <c r="I1358" i="5"/>
  <c r="I1359" i="5"/>
  <c r="I1360" i="5"/>
  <c r="I1361" i="5"/>
  <c r="I1362" i="5"/>
  <c r="I1363" i="5"/>
  <c r="I1364" i="5"/>
  <c r="I1365" i="5"/>
  <c r="I1366" i="5"/>
  <c r="I1367" i="5"/>
  <c r="I1368" i="5"/>
  <c r="I1369" i="5"/>
  <c r="I1370" i="5"/>
  <c r="I1371" i="5"/>
  <c r="I1372" i="5"/>
  <c r="I1373" i="5"/>
  <c r="I1374" i="5"/>
  <c r="I1375" i="5"/>
  <c r="I1376" i="5"/>
  <c r="I1377" i="5"/>
  <c r="I1378" i="5"/>
  <c r="I1379" i="5"/>
  <c r="I1380" i="5"/>
  <c r="I1381" i="5"/>
  <c r="I1382" i="5"/>
  <c r="I1383" i="5"/>
  <c r="I1384" i="5"/>
  <c r="I1385" i="5"/>
  <c r="I1386" i="5"/>
  <c r="I1387" i="5"/>
  <c r="I1388" i="5"/>
  <c r="I1389" i="5"/>
  <c r="I1390" i="5"/>
  <c r="I1391" i="5"/>
  <c r="I1392" i="5"/>
  <c r="I1393" i="5"/>
  <c r="I1394" i="5"/>
  <c r="I1395" i="5"/>
  <c r="I1396" i="5"/>
  <c r="I1397" i="5"/>
  <c r="I1398" i="5"/>
  <c r="I1399" i="5"/>
  <c r="I1400" i="5"/>
  <c r="I1401" i="5"/>
  <c r="I1402" i="5"/>
  <c r="I1403" i="5"/>
  <c r="I1404" i="5"/>
  <c r="I1405" i="5"/>
  <c r="I1406" i="5"/>
  <c r="I1407" i="5"/>
  <c r="I1408" i="5"/>
  <c r="I1409" i="5"/>
  <c r="I1410" i="5"/>
  <c r="I1411" i="5"/>
  <c r="I1412" i="5"/>
  <c r="I1413" i="5"/>
  <c r="I1414" i="5"/>
  <c r="I1415" i="5"/>
  <c r="I1416" i="5"/>
  <c r="I1417" i="5"/>
  <c r="I1418" i="5"/>
  <c r="I1419" i="5"/>
  <c r="I1420" i="5"/>
  <c r="I1421" i="5"/>
  <c r="I1422" i="5"/>
  <c r="I1423" i="5"/>
  <c r="I1424" i="5"/>
  <c r="I1425" i="5"/>
  <c r="I1426" i="5"/>
  <c r="I1427" i="5"/>
  <c r="I1428" i="5"/>
  <c r="I1429" i="5"/>
  <c r="I1430" i="5"/>
  <c r="I1431" i="5"/>
  <c r="I1432" i="5"/>
  <c r="I1433" i="5"/>
  <c r="I1434" i="5"/>
  <c r="I1435" i="5"/>
  <c r="I1436" i="5"/>
  <c r="I1437" i="5"/>
  <c r="I1438" i="5"/>
  <c r="I1439" i="5"/>
  <c r="I1440" i="5"/>
  <c r="I1441" i="5"/>
  <c r="I1442" i="5"/>
  <c r="I1443" i="5"/>
  <c r="I1444" i="5"/>
  <c r="I1445" i="5"/>
  <c r="I1446" i="5"/>
  <c r="I1447" i="5"/>
  <c r="I1448" i="5"/>
  <c r="I1449" i="5"/>
  <c r="I1450" i="5"/>
  <c r="I1451" i="5"/>
  <c r="I1452" i="5"/>
  <c r="I1453" i="5"/>
  <c r="I1454" i="5"/>
  <c r="I1455" i="5"/>
  <c r="I1456" i="5"/>
  <c r="I1457" i="5"/>
  <c r="I1458" i="5"/>
  <c r="I1459" i="5"/>
  <c r="I1460" i="5"/>
  <c r="I1461" i="5"/>
  <c r="I1462" i="5"/>
  <c r="I1463" i="5"/>
  <c r="I1464" i="5"/>
  <c r="I1465" i="5"/>
  <c r="I1466" i="5"/>
  <c r="I1467" i="5"/>
  <c r="I1468" i="5"/>
  <c r="I1469" i="5"/>
  <c r="I1470" i="5"/>
  <c r="I1471" i="5"/>
  <c r="I1472" i="5"/>
  <c r="I1473" i="5"/>
  <c r="I1474" i="5"/>
  <c r="I1475" i="5"/>
  <c r="I1476" i="5"/>
  <c r="I1477" i="5"/>
  <c r="I1478" i="5"/>
  <c r="I1479" i="5"/>
  <c r="I1480" i="5"/>
  <c r="I1481" i="5"/>
  <c r="I1482" i="5"/>
  <c r="I1483" i="5"/>
  <c r="I1484" i="5"/>
  <c r="I1485" i="5"/>
  <c r="I1486" i="5"/>
  <c r="I1487" i="5"/>
  <c r="I1488" i="5"/>
  <c r="I1489" i="5"/>
  <c r="I1490" i="5"/>
  <c r="I1491" i="5"/>
  <c r="I1492" i="5"/>
  <c r="I1493" i="5"/>
  <c r="I1494" i="5"/>
  <c r="I1495" i="5"/>
  <c r="I1496" i="5"/>
  <c r="I1497" i="5"/>
  <c r="I1498" i="5"/>
  <c r="I1499" i="5"/>
  <c r="I1500" i="5"/>
  <c r="I1501" i="5"/>
  <c r="I1502" i="5"/>
  <c r="I1503" i="5"/>
  <c r="I1504" i="5"/>
  <c r="I1505" i="5"/>
  <c r="I1506" i="5"/>
  <c r="I1507" i="5"/>
  <c r="I1508" i="5"/>
  <c r="I1509" i="5"/>
  <c r="I1510" i="5"/>
  <c r="I1511" i="5"/>
  <c r="I1512" i="5"/>
  <c r="I1513" i="5"/>
  <c r="I1514" i="5"/>
  <c r="I1515" i="5"/>
  <c r="I1516" i="5"/>
  <c r="I1517" i="5"/>
  <c r="I1518" i="5"/>
  <c r="I1519" i="5"/>
  <c r="I1520" i="5"/>
  <c r="I1521" i="5"/>
  <c r="I1522" i="5"/>
  <c r="I1523" i="5"/>
  <c r="I1524" i="5"/>
  <c r="I1525" i="5"/>
  <c r="I1526" i="5"/>
  <c r="I1527" i="5"/>
  <c r="I1528" i="5"/>
  <c r="I1529" i="5"/>
  <c r="I1530" i="5"/>
  <c r="I1531" i="5"/>
  <c r="I1532" i="5"/>
  <c r="I1533" i="5"/>
  <c r="I1534" i="5"/>
  <c r="I1535" i="5"/>
  <c r="I1536" i="5"/>
  <c r="I1537" i="5"/>
  <c r="I1538" i="5"/>
  <c r="I1539" i="5"/>
  <c r="I1540" i="5"/>
  <c r="I1541" i="5"/>
  <c r="I1542" i="5"/>
  <c r="I1543" i="5"/>
  <c r="I1544" i="5"/>
  <c r="I1545" i="5"/>
  <c r="I1546" i="5"/>
  <c r="I1547" i="5"/>
  <c r="I1548" i="5"/>
  <c r="I1549" i="5"/>
  <c r="I1550" i="5"/>
  <c r="I1551" i="5"/>
  <c r="I1552" i="5"/>
  <c r="I1553" i="5"/>
  <c r="I1554" i="5"/>
  <c r="I1555" i="5"/>
  <c r="I1556" i="5"/>
  <c r="I1557" i="5"/>
  <c r="I1558" i="5"/>
  <c r="I1559" i="5"/>
  <c r="I1560" i="5"/>
  <c r="I1561" i="5"/>
  <c r="I1562" i="5"/>
  <c r="I1563" i="5"/>
  <c r="I1564" i="5"/>
  <c r="I1565" i="5"/>
  <c r="I1566" i="5"/>
  <c r="I1567" i="5"/>
  <c r="I1568" i="5"/>
  <c r="I1569" i="5"/>
  <c r="I1570" i="5"/>
  <c r="I1571" i="5"/>
  <c r="I1572" i="5"/>
  <c r="I1573" i="5"/>
  <c r="I1574" i="5"/>
  <c r="I1575" i="5"/>
  <c r="I1576" i="5"/>
  <c r="I1577" i="5"/>
  <c r="I1578" i="5"/>
  <c r="I1579" i="5"/>
  <c r="I1580" i="5"/>
  <c r="I1581" i="5"/>
  <c r="I1582" i="5"/>
  <c r="I1583" i="5"/>
  <c r="I1584" i="5"/>
  <c r="I1585" i="5"/>
  <c r="I1586" i="5"/>
  <c r="I1587" i="5"/>
  <c r="I1588" i="5"/>
  <c r="I1589" i="5"/>
  <c r="I1590" i="5"/>
  <c r="I1591" i="5"/>
  <c r="I1592" i="5"/>
  <c r="I1593" i="5"/>
  <c r="I1594" i="5"/>
  <c r="I1595" i="5"/>
  <c r="I1596" i="5"/>
  <c r="I1597" i="5"/>
  <c r="I1598" i="5"/>
  <c r="I1599" i="5"/>
  <c r="I1600" i="5"/>
  <c r="I1601" i="5"/>
  <c r="I1602" i="5"/>
  <c r="I1603" i="5"/>
  <c r="I1604" i="5"/>
  <c r="I1605" i="5"/>
  <c r="I1606" i="5"/>
  <c r="I1607" i="5"/>
  <c r="I1608" i="5"/>
  <c r="I1609" i="5"/>
  <c r="I1610" i="5"/>
  <c r="I1611" i="5"/>
  <c r="I1612" i="5"/>
  <c r="I1613" i="5"/>
  <c r="I1614" i="5"/>
  <c r="I1615" i="5"/>
  <c r="I1616" i="5"/>
  <c r="I1617" i="5"/>
  <c r="I1618" i="5"/>
  <c r="I1619" i="5"/>
  <c r="I1620" i="5"/>
  <c r="I1621" i="5"/>
  <c r="I1622" i="5"/>
  <c r="I1623" i="5"/>
  <c r="I1624" i="5"/>
  <c r="I1625" i="5"/>
  <c r="I1626" i="5"/>
  <c r="I1627" i="5"/>
  <c r="I1628" i="5"/>
  <c r="I1629" i="5"/>
  <c r="I1630" i="5"/>
  <c r="I1631" i="5"/>
  <c r="I1632" i="5"/>
  <c r="I1633" i="5"/>
  <c r="I1634" i="5"/>
  <c r="I1635" i="5"/>
  <c r="I1636" i="5"/>
  <c r="I1637" i="5"/>
  <c r="I1638" i="5"/>
  <c r="I1639" i="5"/>
  <c r="I1640" i="5"/>
  <c r="I1641" i="5"/>
  <c r="I1642" i="5"/>
  <c r="I1643" i="5"/>
  <c r="I1644" i="5"/>
  <c r="I1645" i="5"/>
  <c r="I1646" i="5"/>
  <c r="I1647" i="5"/>
  <c r="I1648" i="5"/>
  <c r="I1649" i="5"/>
  <c r="I1650" i="5"/>
  <c r="I1651" i="5"/>
  <c r="I1652" i="5"/>
  <c r="I1653" i="5"/>
  <c r="I1654" i="5"/>
  <c r="I1655" i="5"/>
  <c r="I1656" i="5"/>
  <c r="I1657" i="5"/>
  <c r="I1658" i="5"/>
  <c r="I1659" i="5"/>
  <c r="I1660" i="5"/>
  <c r="I1661" i="5"/>
  <c r="I1662" i="5"/>
  <c r="I1663" i="5"/>
  <c r="I1664" i="5"/>
  <c r="I1665" i="5"/>
  <c r="I1666" i="5"/>
  <c r="I1667" i="5"/>
  <c r="I1668" i="5"/>
  <c r="I1669" i="5"/>
  <c r="I1670" i="5"/>
  <c r="I1671" i="5"/>
  <c r="I1672" i="5"/>
  <c r="I1673" i="5"/>
  <c r="I1674" i="5"/>
  <c r="I1675" i="5"/>
  <c r="I1676" i="5"/>
  <c r="I1677" i="5"/>
  <c r="I1678" i="5"/>
  <c r="I1679" i="5"/>
  <c r="I1680" i="5"/>
  <c r="I1681" i="5"/>
  <c r="I1682" i="5"/>
  <c r="I1683" i="5"/>
  <c r="I1684" i="5"/>
  <c r="I1685" i="5"/>
  <c r="I1686" i="5"/>
  <c r="I1687" i="5"/>
  <c r="I1688" i="5"/>
  <c r="I1689" i="5"/>
  <c r="I1690" i="5"/>
  <c r="I1691" i="5"/>
  <c r="I1692" i="5"/>
  <c r="I1693" i="5"/>
  <c r="I1694" i="5"/>
  <c r="I1695" i="5"/>
  <c r="I1696" i="5"/>
  <c r="I1697" i="5"/>
  <c r="I1698" i="5"/>
  <c r="I1699" i="5"/>
  <c r="I1700" i="5"/>
  <c r="I1701" i="5"/>
  <c r="I1702" i="5"/>
  <c r="I1703" i="5"/>
  <c r="I1704" i="5"/>
  <c r="I1705" i="5"/>
  <c r="I1706" i="5"/>
  <c r="I1707" i="5"/>
  <c r="I1708" i="5"/>
  <c r="I1709" i="5"/>
  <c r="I1710" i="5"/>
  <c r="I1711" i="5"/>
  <c r="I1712" i="5"/>
  <c r="I1713" i="5"/>
  <c r="I1714" i="5"/>
  <c r="I1715" i="5"/>
  <c r="I1716" i="5"/>
  <c r="I1717" i="5"/>
  <c r="I1718" i="5"/>
  <c r="I1719" i="5"/>
  <c r="I1720" i="5"/>
  <c r="I1721" i="5"/>
  <c r="I1722" i="5"/>
  <c r="I1723" i="5"/>
  <c r="I1724" i="5"/>
  <c r="I1725" i="5"/>
  <c r="I1726" i="5"/>
  <c r="I1727" i="5"/>
  <c r="I1728" i="5"/>
  <c r="I1729" i="5"/>
  <c r="I1730" i="5"/>
  <c r="I1731" i="5"/>
  <c r="I1732" i="5"/>
  <c r="I1733" i="5"/>
  <c r="I1734" i="5"/>
  <c r="I1735" i="5"/>
  <c r="I1736" i="5"/>
  <c r="I1737" i="5"/>
  <c r="I1738" i="5"/>
  <c r="I1739" i="5"/>
  <c r="I1740" i="5"/>
  <c r="I1741" i="5"/>
  <c r="I1742" i="5"/>
  <c r="I1743" i="5"/>
  <c r="I1744" i="5"/>
  <c r="I1745" i="5"/>
  <c r="I1746" i="5"/>
  <c r="I1747" i="5"/>
  <c r="I1748" i="5"/>
  <c r="I1749" i="5"/>
  <c r="I1750" i="5"/>
  <c r="I1751" i="5"/>
  <c r="I1752" i="5"/>
  <c r="I1753" i="5"/>
  <c r="I1754" i="5"/>
  <c r="I1755" i="5"/>
  <c r="I1756" i="5"/>
  <c r="I1757" i="5"/>
  <c r="I1758" i="5"/>
  <c r="I1759" i="5"/>
  <c r="I1760" i="5"/>
  <c r="I1761" i="5"/>
  <c r="I1762" i="5"/>
  <c r="I1763" i="5"/>
  <c r="I1764" i="5"/>
  <c r="I1765" i="5"/>
  <c r="I1766" i="5"/>
  <c r="I1767" i="5"/>
  <c r="I1768" i="5"/>
  <c r="I1769" i="5"/>
  <c r="I1770" i="5"/>
  <c r="I1771" i="5"/>
  <c r="I1772" i="5"/>
  <c r="I1773" i="5"/>
  <c r="I1774" i="5"/>
  <c r="I1775" i="5"/>
  <c r="I1776" i="5"/>
  <c r="I1777" i="5"/>
  <c r="I1778" i="5"/>
  <c r="I1779" i="5"/>
  <c r="I1780" i="5"/>
  <c r="I1781" i="5"/>
  <c r="I1782" i="5"/>
  <c r="I1783" i="5"/>
  <c r="I1784" i="5"/>
  <c r="I1785" i="5"/>
  <c r="I1786" i="5"/>
  <c r="I1787" i="5"/>
  <c r="I1788" i="5"/>
  <c r="I1789" i="5"/>
  <c r="I1790" i="5"/>
  <c r="I1791" i="5"/>
  <c r="I1792" i="5"/>
  <c r="I1793" i="5"/>
  <c r="I1794" i="5"/>
  <c r="I1795" i="5"/>
  <c r="I1796" i="5"/>
  <c r="I1797" i="5"/>
  <c r="I1798" i="5"/>
  <c r="I1799" i="5"/>
  <c r="I1800" i="5"/>
  <c r="I1801" i="5"/>
  <c r="I1802" i="5"/>
  <c r="I1803" i="5"/>
  <c r="I1804" i="5"/>
  <c r="I1805" i="5"/>
  <c r="I1806" i="5"/>
  <c r="I1807" i="5"/>
  <c r="I1808" i="5"/>
  <c r="I1809" i="5"/>
  <c r="I1810" i="5"/>
  <c r="I1811" i="5"/>
  <c r="I1812" i="5"/>
  <c r="I1813" i="5"/>
  <c r="I1814" i="5"/>
  <c r="I1815" i="5"/>
  <c r="I1816" i="5"/>
  <c r="I1817" i="5"/>
  <c r="I1818" i="5"/>
  <c r="I1819" i="5"/>
  <c r="I1820" i="5"/>
  <c r="I1821" i="5"/>
  <c r="I1822" i="5"/>
  <c r="I1823" i="5"/>
  <c r="I1824" i="5"/>
  <c r="I1825" i="5"/>
  <c r="I1826" i="5"/>
  <c r="I1827" i="5"/>
  <c r="I1828" i="5"/>
  <c r="I1829" i="5"/>
  <c r="I1830" i="5"/>
  <c r="I1831" i="5"/>
  <c r="I1832" i="5"/>
  <c r="I1833" i="5"/>
  <c r="I1834" i="5"/>
  <c r="I1835" i="5"/>
  <c r="I1836" i="5"/>
  <c r="I1837" i="5"/>
  <c r="I1838" i="5"/>
  <c r="I1839" i="5"/>
  <c r="I1840" i="5"/>
  <c r="I1841" i="5"/>
  <c r="I1842" i="5"/>
  <c r="I1843" i="5"/>
  <c r="I1844" i="5"/>
  <c r="I1845" i="5"/>
  <c r="I1846" i="5"/>
  <c r="I1847" i="5"/>
  <c r="I1848" i="5"/>
  <c r="I1849" i="5"/>
  <c r="I1850" i="5"/>
  <c r="I1851" i="5"/>
  <c r="I1852" i="5"/>
  <c r="I1853" i="5"/>
  <c r="I1854" i="5"/>
  <c r="I1855" i="5"/>
  <c r="I1856" i="5"/>
  <c r="I1857" i="5"/>
  <c r="I1858" i="5"/>
  <c r="I1859" i="5"/>
  <c r="I1860" i="5"/>
  <c r="I1861" i="5"/>
  <c r="I1862" i="5"/>
  <c r="I1863" i="5"/>
  <c r="I1864" i="5"/>
  <c r="I1865" i="5"/>
  <c r="I1866" i="5"/>
  <c r="I1867" i="5"/>
  <c r="I1868" i="5"/>
  <c r="I1869" i="5"/>
  <c r="I1870" i="5"/>
  <c r="I1871" i="5"/>
  <c r="I1872" i="5"/>
  <c r="I1873" i="5"/>
  <c r="I1874" i="5"/>
  <c r="I1875" i="5"/>
  <c r="I1876" i="5"/>
  <c r="I1877" i="5"/>
  <c r="I1878" i="5"/>
  <c r="I1879" i="5"/>
  <c r="I1880" i="5"/>
  <c r="I1881" i="5"/>
  <c r="I1882" i="5"/>
  <c r="I1883" i="5"/>
  <c r="I1884" i="5"/>
  <c r="I1885" i="5"/>
  <c r="I1886" i="5"/>
  <c r="I1887" i="5"/>
  <c r="I1888" i="5"/>
  <c r="I1889" i="5"/>
  <c r="I1890" i="5"/>
  <c r="I1891" i="5"/>
  <c r="I1892" i="5"/>
  <c r="I1893" i="5"/>
  <c r="I1894" i="5"/>
  <c r="I1895" i="5"/>
  <c r="I1896" i="5"/>
  <c r="I1897" i="5"/>
  <c r="I1898" i="5"/>
  <c r="I1899" i="5"/>
  <c r="I1900" i="5"/>
  <c r="I1901" i="5"/>
  <c r="I1902" i="5"/>
  <c r="I1903" i="5"/>
  <c r="I1904" i="5"/>
  <c r="I1905" i="5"/>
  <c r="I1906" i="5"/>
  <c r="I1907" i="5"/>
  <c r="I1908" i="5"/>
  <c r="I1909" i="5"/>
  <c r="I1910" i="5"/>
  <c r="I1911" i="5"/>
  <c r="I1912" i="5"/>
  <c r="I1913" i="5"/>
  <c r="I1914" i="5"/>
  <c r="I1915" i="5"/>
  <c r="I1916" i="5"/>
  <c r="I1917" i="5"/>
  <c r="I1918" i="5"/>
  <c r="I1919" i="5"/>
  <c r="I1920" i="5"/>
  <c r="I1921" i="5"/>
  <c r="I1922" i="5"/>
  <c r="I1923" i="5"/>
  <c r="I1924" i="5"/>
  <c r="I1925" i="5"/>
  <c r="I1926" i="5"/>
  <c r="I1927" i="5"/>
  <c r="I1928" i="5"/>
  <c r="I1929" i="5"/>
  <c r="I1930" i="5"/>
  <c r="I1931" i="5"/>
  <c r="I1932" i="5"/>
  <c r="I1933" i="5"/>
  <c r="I1934" i="5"/>
  <c r="I1935" i="5"/>
  <c r="I1936" i="5"/>
  <c r="I1937" i="5"/>
  <c r="I1938" i="5"/>
  <c r="I1939" i="5"/>
  <c r="I1940" i="5"/>
  <c r="I1941" i="5"/>
  <c r="I1942" i="5"/>
  <c r="I1943" i="5"/>
  <c r="I1944" i="5"/>
  <c r="I1945" i="5"/>
  <c r="I1946" i="5"/>
  <c r="I1947" i="5"/>
  <c r="I1948" i="5"/>
  <c r="I1949" i="5"/>
  <c r="I1950" i="5"/>
  <c r="I1951" i="5"/>
  <c r="I1952" i="5"/>
  <c r="I1953" i="5"/>
  <c r="I1954" i="5"/>
  <c r="I1955" i="5"/>
  <c r="I1956" i="5"/>
  <c r="I1957" i="5"/>
  <c r="I1958" i="5"/>
  <c r="I1959" i="5"/>
  <c r="I1960" i="5"/>
  <c r="I1961" i="5"/>
  <c r="I1962" i="5"/>
  <c r="I1963" i="5"/>
  <c r="I1964" i="5"/>
  <c r="I1965" i="5"/>
  <c r="I1966" i="5"/>
  <c r="I1967" i="5"/>
  <c r="I1968" i="5"/>
  <c r="I1969" i="5"/>
  <c r="I1970" i="5"/>
  <c r="I1971" i="5"/>
  <c r="I1972" i="5"/>
  <c r="I1973" i="5"/>
  <c r="I1974" i="5"/>
  <c r="I1975" i="5"/>
  <c r="I1976" i="5"/>
  <c r="I1977" i="5"/>
  <c r="I1978" i="5"/>
  <c r="I1979" i="5"/>
  <c r="I1980" i="5"/>
  <c r="I1981" i="5"/>
  <c r="I1982" i="5"/>
  <c r="I1983" i="5"/>
  <c r="I1984" i="5"/>
  <c r="I1985" i="5"/>
  <c r="I1986" i="5"/>
  <c r="I1987" i="5"/>
  <c r="I1988" i="5"/>
  <c r="I1989" i="5"/>
  <c r="I1990" i="5"/>
  <c r="I1991" i="5"/>
  <c r="I1992" i="5"/>
  <c r="I1993" i="5"/>
  <c r="I1994" i="5"/>
  <c r="I1995" i="5"/>
  <c r="I1996" i="5"/>
  <c r="I1997" i="5"/>
  <c r="I1998" i="5"/>
  <c r="I1999" i="5"/>
  <c r="I2000" i="5"/>
  <c r="I2001" i="5"/>
  <c r="K2" i="5"/>
  <c r="J2" i="5"/>
  <c r="F2" i="7"/>
  <c r="F3" i="7"/>
  <c r="F4" i="7"/>
  <c r="F5" i="7"/>
  <c r="F6" i="7"/>
  <c r="F7" i="7"/>
  <c r="F8" i="7"/>
  <c r="G8" i="7" s="1"/>
  <c r="F9" i="7"/>
  <c r="G9" i="7" s="1"/>
  <c r="F10" i="7"/>
  <c r="G10" i="7" s="1"/>
  <c r="F11" i="7"/>
  <c r="G11" i="7" s="1"/>
  <c r="F12" i="7"/>
  <c r="G12" i="7" s="1"/>
  <c r="F13" i="7"/>
  <c r="G13" i="7" s="1"/>
  <c r="F14" i="7"/>
  <c r="F15" i="7"/>
  <c r="F16" i="7"/>
  <c r="F17" i="7"/>
  <c r="F18" i="7"/>
  <c r="G18" i="7" s="1"/>
  <c r="F19" i="7"/>
  <c r="G19" i="7" s="1"/>
  <c r="F20" i="7"/>
  <c r="F21" i="7"/>
  <c r="F22" i="7"/>
  <c r="G22" i="7" s="1"/>
  <c r="F23" i="7"/>
  <c r="G23" i="7" s="1"/>
  <c r="F24" i="7"/>
  <c r="G24" i="7" s="1"/>
  <c r="F25" i="7"/>
  <c r="G25" i="7" s="1"/>
  <c r="F26" i="7"/>
  <c r="F27" i="7"/>
  <c r="F28" i="7"/>
  <c r="F29" i="7"/>
  <c r="F30" i="7"/>
  <c r="G30" i="7" s="1"/>
  <c r="F31" i="7"/>
  <c r="F32" i="7"/>
  <c r="F33" i="7"/>
  <c r="F34" i="7"/>
  <c r="G34" i="7" s="1"/>
  <c r="F35" i="7"/>
  <c r="G35" i="7" s="1"/>
  <c r="F36" i="7"/>
  <c r="G36" i="7" s="1"/>
  <c r="F37" i="7"/>
  <c r="G37" i="7" s="1"/>
  <c r="F38" i="7"/>
  <c r="F39" i="7"/>
  <c r="F40" i="7"/>
  <c r="F41" i="7"/>
  <c r="F42" i="7"/>
  <c r="F43" i="7"/>
  <c r="G43" i="7" s="1"/>
  <c r="F44" i="7"/>
  <c r="G44" i="7" s="1"/>
  <c r="F45" i="7"/>
  <c r="G45" i="7" s="1"/>
  <c r="F46" i="7"/>
  <c r="F47" i="7"/>
  <c r="F48" i="7"/>
  <c r="G48" i="7" s="1"/>
  <c r="F49" i="7"/>
  <c r="G49" i="7" s="1"/>
  <c r="F50" i="7"/>
  <c r="F51" i="7"/>
  <c r="F52" i="7"/>
  <c r="F53" i="7"/>
  <c r="F54" i="7"/>
  <c r="F55" i="7"/>
  <c r="G55" i="7" s="1"/>
  <c r="F56" i="7"/>
  <c r="G56" i="7" s="1"/>
  <c r="F57" i="7"/>
  <c r="F58" i="7"/>
  <c r="F59" i="7"/>
  <c r="F60" i="7"/>
  <c r="G60" i="7" s="1"/>
  <c r="F61" i="7"/>
  <c r="G61" i="7" s="1"/>
  <c r="F62" i="7"/>
  <c r="F63" i="7"/>
  <c r="F64" i="7"/>
  <c r="F65" i="7"/>
  <c r="F66" i="7"/>
  <c r="F67" i="7"/>
  <c r="G67" i="7" s="1"/>
  <c r="F68" i="7"/>
  <c r="G68" i="7" s="1"/>
  <c r="F69" i="7"/>
  <c r="G69" i="7" s="1"/>
  <c r="F70" i="7"/>
  <c r="F71" i="7"/>
  <c r="F72" i="7"/>
  <c r="G72" i="7" s="1"/>
  <c r="F73" i="7"/>
  <c r="G73" i="7" s="1"/>
  <c r="F74" i="7"/>
  <c r="F75" i="7"/>
  <c r="F76" i="7"/>
  <c r="F77" i="7"/>
  <c r="F78" i="7"/>
  <c r="F79" i="7"/>
  <c r="G79" i="7" s="1"/>
  <c r="F80" i="7"/>
  <c r="G80" i="7" s="1"/>
  <c r="F81" i="7"/>
  <c r="G81" i="7" s="1"/>
  <c r="F82" i="7"/>
  <c r="F83" i="7"/>
  <c r="F84" i="7"/>
  <c r="G84" i="7" s="1"/>
  <c r="F85" i="7"/>
  <c r="G85" i="7" s="1"/>
  <c r="F86" i="7"/>
  <c r="F87" i="7"/>
  <c r="F88" i="7"/>
  <c r="F89" i="7"/>
  <c r="F90" i="7"/>
  <c r="F91" i="7"/>
  <c r="F92" i="7"/>
  <c r="G92" i="7" s="1"/>
  <c r="F93" i="7"/>
  <c r="G93" i="7" s="1"/>
  <c r="F94" i="7"/>
  <c r="G94" i="7" s="1"/>
  <c r="F95" i="7"/>
  <c r="F96" i="7"/>
  <c r="F97" i="7"/>
  <c r="G97" i="7" s="1"/>
  <c r="F98" i="7"/>
  <c r="F99" i="7"/>
  <c r="F100" i="7"/>
  <c r="G100" i="7" s="1"/>
  <c r="F101" i="7"/>
  <c r="F102" i="7"/>
  <c r="F103" i="7"/>
  <c r="F104" i="7"/>
  <c r="G104" i="7" s="1"/>
  <c r="F105" i="7"/>
  <c r="G105" i="7" s="1"/>
  <c r="F106" i="7"/>
  <c r="G106" i="7" s="1"/>
  <c r="F107" i="7"/>
  <c r="G107" i="7" s="1"/>
  <c r="F108" i="7"/>
  <c r="F109" i="7"/>
  <c r="G109" i="7" s="1"/>
  <c r="F110" i="7"/>
  <c r="F111" i="7"/>
  <c r="F112" i="7"/>
  <c r="F113" i="7"/>
  <c r="G113" i="7" s="1"/>
  <c r="F114" i="7"/>
  <c r="F115" i="7"/>
  <c r="F116" i="7"/>
  <c r="F117" i="7"/>
  <c r="G117" i="7" s="1"/>
  <c r="F118" i="7"/>
  <c r="G118" i="7" s="1"/>
  <c r="F119" i="7"/>
  <c r="G119" i="7" s="1"/>
  <c r="F120" i="7"/>
  <c r="G120" i="7" s="1"/>
  <c r="F121" i="7"/>
  <c r="F122" i="7"/>
  <c r="F123" i="7"/>
  <c r="F124" i="7"/>
  <c r="F125" i="7"/>
  <c r="G125" i="7" s="1"/>
  <c r="F126" i="7"/>
  <c r="F127" i="7"/>
  <c r="F128" i="7"/>
  <c r="F129" i="7"/>
  <c r="G129" i="7" s="1"/>
  <c r="F130" i="7"/>
  <c r="G130" i="7" s="1"/>
  <c r="F131" i="7"/>
  <c r="G131" i="7" s="1"/>
  <c r="F132" i="7"/>
  <c r="G132" i="7" s="1"/>
  <c r="F133" i="7"/>
  <c r="G133" i="7" s="1"/>
  <c r="F134" i="7"/>
  <c r="F135" i="7"/>
  <c r="F136" i="7"/>
  <c r="F137" i="7"/>
  <c r="F138" i="7"/>
  <c r="G138" i="7" s="1"/>
  <c r="F139" i="7"/>
  <c r="F140" i="7"/>
  <c r="F141" i="7"/>
  <c r="F142" i="7"/>
  <c r="G142" i="7" s="1"/>
  <c r="F143" i="7"/>
  <c r="G143" i="7" s="1"/>
  <c r="F144" i="7"/>
  <c r="G144" i="7" s="1"/>
  <c r="F145" i="7"/>
  <c r="G145" i="7" s="1"/>
  <c r="F146" i="7"/>
  <c r="F147" i="7"/>
  <c r="F148" i="7"/>
  <c r="F149" i="7"/>
  <c r="F150" i="7"/>
  <c r="G150" i="7" s="1"/>
  <c r="F151" i="7"/>
  <c r="G151" i="7" s="1"/>
  <c r="F152" i="7"/>
  <c r="G152" i="7" s="1"/>
  <c r="F153" i="7"/>
  <c r="F154" i="7"/>
  <c r="F155" i="7"/>
  <c r="G155" i="7" s="1"/>
  <c r="F156" i="7"/>
  <c r="G156" i="7" s="1"/>
  <c r="F157" i="7"/>
  <c r="G157" i="7" s="1"/>
  <c r="F158" i="7"/>
  <c r="F159" i="7"/>
  <c r="F160" i="7"/>
  <c r="F161" i="7"/>
  <c r="F162" i="7"/>
  <c r="F163" i="7"/>
  <c r="G163" i="7" s="1"/>
  <c r="F164" i="7"/>
  <c r="G164" i="7" s="1"/>
  <c r="F165" i="7"/>
  <c r="G165" i="7" s="1"/>
  <c r="F166" i="7"/>
  <c r="F167" i="7"/>
  <c r="F168" i="7"/>
  <c r="G168" i="7" s="1"/>
  <c r="F169" i="7"/>
  <c r="G169" i="7" s="1"/>
  <c r="F170" i="7"/>
  <c r="F171" i="7"/>
  <c r="F172" i="7"/>
  <c r="G172" i="7" s="1"/>
  <c r="F173" i="7"/>
  <c r="F174" i="7"/>
  <c r="F175" i="7"/>
  <c r="F176" i="7"/>
  <c r="G176" i="7" s="1"/>
  <c r="F177" i="7"/>
  <c r="G177" i="7" s="1"/>
  <c r="F178" i="7"/>
  <c r="G178" i="7" s="1"/>
  <c r="F179" i="7"/>
  <c r="G179" i="7" s="1"/>
  <c r="F180" i="7"/>
  <c r="F181" i="7"/>
  <c r="G181" i="7" s="1"/>
  <c r="F182" i="7"/>
  <c r="F183" i="7"/>
  <c r="F184" i="7"/>
  <c r="F185" i="7"/>
  <c r="G185" i="7" s="1"/>
  <c r="F186" i="7"/>
  <c r="F187" i="7"/>
  <c r="F188" i="7"/>
  <c r="F189" i="7"/>
  <c r="G189" i="7" s="1"/>
  <c r="F190" i="7"/>
  <c r="G190" i="7" s="1"/>
  <c r="F191" i="7"/>
  <c r="G191" i="7" s="1"/>
  <c r="F192" i="7"/>
  <c r="G192" i="7" s="1"/>
  <c r="F193" i="7"/>
  <c r="G193" i="7" s="1"/>
  <c r="F194" i="7"/>
  <c r="F195" i="7"/>
  <c r="F196" i="7"/>
  <c r="F197" i="7"/>
  <c r="F198" i="7"/>
  <c r="G198" i="7" s="1"/>
  <c r="F199" i="7"/>
  <c r="F200" i="7"/>
  <c r="D3" i="7"/>
  <c r="D4" i="7"/>
  <c r="D5" i="7"/>
  <c r="D6" i="7"/>
  <c r="D7" i="7"/>
  <c r="D8" i="7"/>
  <c r="H8" i="7" s="1"/>
  <c r="D9" i="7"/>
  <c r="D10" i="7"/>
  <c r="D11" i="7"/>
  <c r="H11" i="7" s="1"/>
  <c r="D12" i="7"/>
  <c r="H12" i="7" s="1"/>
  <c r="D13" i="7"/>
  <c r="H13" i="7" s="1"/>
  <c r="D14" i="7"/>
  <c r="H14" i="7" s="1"/>
  <c r="D15" i="7"/>
  <c r="H15" i="7" s="1"/>
  <c r="D16" i="7"/>
  <c r="D17" i="7"/>
  <c r="D18" i="7"/>
  <c r="D19" i="7"/>
  <c r="D20" i="7"/>
  <c r="H20" i="7" s="1"/>
  <c r="D21" i="7"/>
  <c r="D22" i="7"/>
  <c r="D23" i="7"/>
  <c r="H23" i="7" s="1"/>
  <c r="D24" i="7"/>
  <c r="H24" i="7" s="1"/>
  <c r="D25" i="7"/>
  <c r="H25" i="7" s="1"/>
  <c r="D26" i="7"/>
  <c r="D27" i="7"/>
  <c r="H27" i="7" s="1"/>
  <c r="D28" i="7"/>
  <c r="D29" i="7"/>
  <c r="H29" i="7" s="1"/>
  <c r="D30" i="7"/>
  <c r="D31" i="7"/>
  <c r="D32" i="7"/>
  <c r="D33" i="7"/>
  <c r="H33" i="7" s="1"/>
  <c r="D34" i="7"/>
  <c r="H34" i="7" s="1"/>
  <c r="D35" i="7"/>
  <c r="H35" i="7" s="1"/>
  <c r="D36" i="7"/>
  <c r="H36" i="7" s="1"/>
  <c r="D37" i="7"/>
  <c r="H37" i="7" s="1"/>
  <c r="D38" i="7"/>
  <c r="H38" i="7" s="1"/>
  <c r="D39" i="7"/>
  <c r="H39" i="7" s="1"/>
  <c r="D40" i="7"/>
  <c r="D41" i="7"/>
  <c r="D42" i="7"/>
  <c r="D43" i="7"/>
  <c r="H43" i="7" s="1"/>
  <c r="D44" i="7"/>
  <c r="H44" i="7" s="1"/>
  <c r="D45" i="7"/>
  <c r="H45" i="7" s="1"/>
  <c r="D46" i="7"/>
  <c r="D47" i="7"/>
  <c r="H47" i="7" s="1"/>
  <c r="D48" i="7"/>
  <c r="H48" i="7" s="1"/>
  <c r="D49" i="7"/>
  <c r="H49" i="7" s="1"/>
  <c r="D50" i="7"/>
  <c r="H50" i="7" s="1"/>
  <c r="D51" i="7"/>
  <c r="D52" i="7"/>
  <c r="D53" i="7"/>
  <c r="H53" i="7" s="1"/>
  <c r="D54" i="7"/>
  <c r="D55" i="7"/>
  <c r="D56" i="7"/>
  <c r="H56" i="7" s="1"/>
  <c r="D57" i="7"/>
  <c r="H57" i="7" s="1"/>
  <c r="D58" i="7"/>
  <c r="H58" i="7" s="1"/>
  <c r="D59" i="7"/>
  <c r="H59" i="7" s="1"/>
  <c r="D60" i="7"/>
  <c r="H60" i="7" s="1"/>
  <c r="D61" i="7"/>
  <c r="H61" i="7" s="1"/>
  <c r="D62" i="7"/>
  <c r="H62" i="7" s="1"/>
  <c r="D63" i="7"/>
  <c r="D64" i="7"/>
  <c r="D65" i="7"/>
  <c r="D66" i="7"/>
  <c r="D67" i="7"/>
  <c r="D68" i="7"/>
  <c r="H68" i="7" s="1"/>
  <c r="D69" i="7"/>
  <c r="D70" i="7"/>
  <c r="D71" i="7"/>
  <c r="D72" i="7"/>
  <c r="H72" i="7" s="1"/>
  <c r="D73" i="7"/>
  <c r="H73" i="7" s="1"/>
  <c r="D74" i="7"/>
  <c r="H74" i="7" s="1"/>
  <c r="D75" i="7"/>
  <c r="D76" i="7"/>
  <c r="D77" i="7"/>
  <c r="D78" i="7"/>
  <c r="D79" i="7"/>
  <c r="D80" i="7"/>
  <c r="H80" i="7" s="1"/>
  <c r="D81" i="7"/>
  <c r="H81" i="7" s="1"/>
  <c r="D82" i="7"/>
  <c r="H82" i="7" s="1"/>
  <c r="D83" i="7"/>
  <c r="H83" i="7" s="1"/>
  <c r="D84" i="7"/>
  <c r="H84" i="7" s="1"/>
  <c r="D85" i="7"/>
  <c r="H85" i="7" s="1"/>
  <c r="D86" i="7"/>
  <c r="H86" i="7" s="1"/>
  <c r="D87" i="7"/>
  <c r="D88" i="7"/>
  <c r="D89" i="7"/>
  <c r="D90" i="7"/>
  <c r="D91" i="7"/>
  <c r="H91" i="7" s="1"/>
  <c r="D92" i="7"/>
  <c r="H92" i="7" s="1"/>
  <c r="D93" i="7"/>
  <c r="H93" i="7" s="1"/>
  <c r="D94" i="7"/>
  <c r="H94" i="7" s="1"/>
  <c r="D95" i="7"/>
  <c r="H95" i="7" s="1"/>
  <c r="D96" i="7"/>
  <c r="H96" i="7" s="1"/>
  <c r="D97" i="7"/>
  <c r="H97" i="7" s="1"/>
  <c r="D98" i="7"/>
  <c r="H98" i="7" s="1"/>
  <c r="D99" i="7"/>
  <c r="D100" i="7"/>
  <c r="D101" i="7"/>
  <c r="D102" i="7"/>
  <c r="D103" i="7"/>
  <c r="H103" i="7" s="1"/>
  <c r="D104" i="7"/>
  <c r="H104" i="7" s="1"/>
  <c r="D105" i="7"/>
  <c r="H105" i="7" s="1"/>
  <c r="D106" i="7"/>
  <c r="H106" i="7" s="1"/>
  <c r="D107" i="7"/>
  <c r="H107" i="7" s="1"/>
  <c r="D108" i="7"/>
  <c r="H108" i="7" s="1"/>
  <c r="D109" i="7"/>
  <c r="H109" i="7" s="1"/>
  <c r="D110" i="7"/>
  <c r="H110" i="7" s="1"/>
  <c r="D111" i="7"/>
  <c r="H111" i="7" s="1"/>
  <c r="D112" i="7"/>
  <c r="D113" i="7"/>
  <c r="D114" i="7"/>
  <c r="D115" i="7"/>
  <c r="D116" i="7"/>
  <c r="H116" i="7" s="1"/>
  <c r="D117" i="7"/>
  <c r="H117" i="7" s="1"/>
  <c r="D118" i="7"/>
  <c r="D119" i="7"/>
  <c r="H119" i="7" s="1"/>
  <c r="D120" i="7"/>
  <c r="H120" i="7" s="1"/>
  <c r="D121" i="7"/>
  <c r="H121" i="7" s="1"/>
  <c r="D122" i="7"/>
  <c r="H122" i="7" s="1"/>
  <c r="D123" i="7"/>
  <c r="H123" i="7" s="1"/>
  <c r="D124" i="7"/>
  <c r="D125" i="7"/>
  <c r="H125" i="7" s="1"/>
  <c r="D126" i="7"/>
  <c r="D127" i="7"/>
  <c r="D128" i="7"/>
  <c r="H128" i="7" s="1"/>
  <c r="D129" i="7"/>
  <c r="H129" i="7" s="1"/>
  <c r="D130" i="7"/>
  <c r="H130" i="7" s="1"/>
  <c r="D131" i="7"/>
  <c r="H131" i="7" s="1"/>
  <c r="D132" i="7"/>
  <c r="H132" i="7" s="1"/>
  <c r="D133" i="7"/>
  <c r="H133" i="7" s="1"/>
  <c r="D134" i="7"/>
  <c r="H134" i="7" s="1"/>
  <c r="D135" i="7"/>
  <c r="H135" i="7" s="1"/>
  <c r="D136" i="7"/>
  <c r="D137" i="7"/>
  <c r="D138" i="7"/>
  <c r="D139" i="7"/>
  <c r="H139" i="7" s="1"/>
  <c r="D140" i="7"/>
  <c r="H140" i="7" s="1"/>
  <c r="D141" i="7"/>
  <c r="H141" i="7" s="1"/>
  <c r="D142" i="7"/>
  <c r="H142" i="7" s="1"/>
  <c r="D143" i="7"/>
  <c r="H143" i="7" s="1"/>
  <c r="D144" i="7"/>
  <c r="H144" i="7" s="1"/>
  <c r="D145" i="7"/>
  <c r="H145" i="7" s="1"/>
  <c r="D146" i="7"/>
  <c r="H146" i="7" s="1"/>
  <c r="D147" i="7"/>
  <c r="H147" i="7" s="1"/>
  <c r="D148" i="7"/>
  <c r="D149" i="7"/>
  <c r="D150" i="7"/>
  <c r="D151" i="7"/>
  <c r="H151" i="7" s="1"/>
  <c r="D152" i="7"/>
  <c r="H152" i="7" s="1"/>
  <c r="D153" i="7"/>
  <c r="D154" i="7"/>
  <c r="D155" i="7"/>
  <c r="H155" i="7" s="1"/>
  <c r="D156" i="7"/>
  <c r="H156" i="7" s="1"/>
  <c r="D157" i="7"/>
  <c r="H157" i="7" s="1"/>
  <c r="D158" i="7"/>
  <c r="H158" i="7" s="1"/>
  <c r="D159" i="7"/>
  <c r="H159" i="7" s="1"/>
  <c r="D160" i="7"/>
  <c r="D161" i="7"/>
  <c r="H161" i="7" s="1"/>
  <c r="D162" i="7"/>
  <c r="D163" i="7"/>
  <c r="D164" i="7"/>
  <c r="H164" i="7" s="1"/>
  <c r="D165" i="7"/>
  <c r="H165" i="7" s="1"/>
  <c r="D166" i="7"/>
  <c r="H166" i="7" s="1"/>
  <c r="D167" i="7"/>
  <c r="H167" i="7" s="1"/>
  <c r="D168" i="7"/>
  <c r="H168" i="7" s="1"/>
  <c r="D169" i="7"/>
  <c r="H169" i="7" s="1"/>
  <c r="D170" i="7"/>
  <c r="H170" i="7" s="1"/>
  <c r="D171" i="7"/>
  <c r="H171" i="7" s="1"/>
  <c r="D172" i="7"/>
  <c r="D173" i="7"/>
  <c r="D174" i="7"/>
  <c r="D175" i="7"/>
  <c r="H175" i="7" s="1"/>
  <c r="D176" i="7"/>
  <c r="H176" i="7" s="1"/>
  <c r="D177" i="7"/>
  <c r="D178" i="7"/>
  <c r="H178" i="7" s="1"/>
  <c r="D179" i="7"/>
  <c r="H179" i="7" s="1"/>
  <c r="D180" i="7"/>
  <c r="H180" i="7" s="1"/>
  <c r="D181" i="7"/>
  <c r="H181" i="7" s="1"/>
  <c r="D182" i="7"/>
  <c r="H182" i="7" s="1"/>
  <c r="D183" i="7"/>
  <c r="H183" i="7" s="1"/>
  <c r="D184" i="7"/>
  <c r="D185" i="7"/>
  <c r="H185" i="7" s="1"/>
  <c r="D186" i="7"/>
  <c r="D187" i="7"/>
  <c r="H187" i="7" s="1"/>
  <c r="D188" i="7"/>
  <c r="H188" i="7" s="1"/>
  <c r="D189" i="7"/>
  <c r="H189" i="7" s="1"/>
  <c r="D190" i="7"/>
  <c r="H190" i="7" s="1"/>
  <c r="D191" i="7"/>
  <c r="H191" i="7" s="1"/>
  <c r="D192" i="7"/>
  <c r="H192" i="7" s="1"/>
  <c r="D193" i="7"/>
  <c r="H193" i="7" s="1"/>
  <c r="D194" i="7"/>
  <c r="H194" i="7" s="1"/>
  <c r="D195" i="7"/>
  <c r="H195" i="7" s="1"/>
  <c r="D196" i="7"/>
  <c r="D197" i="7"/>
  <c r="D198" i="7"/>
  <c r="D199" i="7"/>
  <c r="D200" i="7"/>
  <c r="D2" i="7"/>
  <c r="H21" i="7"/>
  <c r="H22" i="7"/>
  <c r="H32" i="7"/>
  <c r="H42" i="7"/>
  <c r="H46" i="7"/>
  <c r="H66" i="7"/>
  <c r="H69" i="7"/>
  <c r="H70" i="7"/>
  <c r="H71" i="7"/>
  <c r="H90" i="7"/>
  <c r="H113" i="7"/>
  <c r="H118" i="7"/>
  <c r="H127" i="7"/>
  <c r="H137" i="7"/>
  <c r="H138" i="7"/>
  <c r="H150" i="7"/>
  <c r="H153" i="7"/>
  <c r="H154" i="7"/>
  <c r="H162" i="7"/>
  <c r="H174" i="7"/>
  <c r="H177" i="7"/>
  <c r="H186" i="7"/>
  <c r="H198" i="7"/>
  <c r="H200" i="7"/>
  <c r="H201" i="7"/>
  <c r="H202" i="7"/>
  <c r="H203" i="7"/>
  <c r="H204" i="7"/>
  <c r="H205" i="7"/>
  <c r="H210" i="7"/>
  <c r="H211" i="7"/>
  <c r="H212" i="7"/>
  <c r="H213" i="7"/>
  <c r="H214" i="7"/>
  <c r="H215" i="7"/>
  <c r="H216" i="7"/>
  <c r="H217" i="7"/>
  <c r="H221" i="7"/>
  <c r="H222" i="7"/>
  <c r="H224" i="7"/>
  <c r="H225" i="7"/>
  <c r="H226" i="7"/>
  <c r="H227" i="7"/>
  <c r="H228" i="7"/>
  <c r="H229" i="7"/>
  <c r="H234" i="7"/>
  <c r="H236" i="7"/>
  <c r="H237" i="7"/>
  <c r="H238" i="7"/>
  <c r="H239" i="7"/>
  <c r="H240" i="7"/>
  <c r="H241" i="7"/>
  <c r="H246" i="7"/>
  <c r="H248" i="7"/>
  <c r="H249" i="7"/>
  <c r="H250" i="7"/>
  <c r="H251" i="7"/>
  <c r="H252" i="7"/>
  <c r="H253" i="7"/>
  <c r="H258" i="7"/>
  <c r="H260" i="7"/>
  <c r="H261" i="7"/>
  <c r="H262" i="7"/>
  <c r="H263" i="7"/>
  <c r="H264" i="7"/>
  <c r="H265" i="7"/>
  <c r="H270" i="7"/>
  <c r="H272" i="7"/>
  <c r="H273" i="7"/>
  <c r="H274" i="7"/>
  <c r="H275" i="7"/>
  <c r="H276" i="7"/>
  <c r="H277" i="7"/>
  <c r="H282" i="7"/>
  <c r="H284" i="7"/>
  <c r="H285" i="7"/>
  <c r="H286" i="7"/>
  <c r="H287" i="7"/>
  <c r="H288" i="7"/>
  <c r="H289" i="7"/>
  <c r="H294" i="7"/>
  <c r="H295" i="7"/>
  <c r="H296" i="7"/>
  <c r="H297" i="7"/>
  <c r="H298" i="7"/>
  <c r="H299" i="7"/>
  <c r="H300" i="7"/>
  <c r="H301" i="7"/>
  <c r="H305" i="7"/>
  <c r="H306" i="7"/>
  <c r="H307" i="7"/>
  <c r="H308" i="7"/>
  <c r="H309" i="7"/>
  <c r="H310" i="7"/>
  <c r="H311" i="7"/>
  <c r="H312" i="7"/>
  <c r="H313" i="7"/>
  <c r="H316" i="7"/>
  <c r="H318" i="7"/>
  <c r="H319" i="7"/>
  <c r="H320" i="7"/>
  <c r="H321" i="7"/>
  <c r="H322" i="7"/>
  <c r="H323" i="7"/>
  <c r="H324" i="7"/>
  <c r="H325" i="7"/>
  <c r="H330" i="7"/>
  <c r="H331" i="7"/>
  <c r="H332" i="7"/>
  <c r="H333" i="7"/>
  <c r="H334" i="7"/>
  <c r="H335" i="7"/>
  <c r="H336" i="7"/>
  <c r="H337" i="7"/>
  <c r="H341" i="7"/>
  <c r="H343" i="7"/>
  <c r="H344" i="7"/>
  <c r="H345" i="7"/>
  <c r="H346" i="7"/>
  <c r="H347" i="7"/>
  <c r="H348" i="7"/>
  <c r="H349" i="7"/>
  <c r="H355" i="7"/>
  <c r="H356" i="7"/>
  <c r="H357" i="7"/>
  <c r="H358" i="7"/>
  <c r="H359" i="7"/>
  <c r="H360" i="7"/>
  <c r="H361" i="7"/>
  <c r="H365" i="7"/>
  <c r="H367" i="7"/>
  <c r="H368" i="7"/>
  <c r="H369" i="7"/>
  <c r="H370" i="7"/>
  <c r="H371" i="7"/>
  <c r="H372" i="7"/>
  <c r="H373" i="7"/>
  <c r="H376" i="7"/>
  <c r="H378" i="7"/>
  <c r="H379" i="7"/>
  <c r="H380" i="7"/>
  <c r="H381" i="7"/>
  <c r="H382" i="7"/>
  <c r="H383" i="7"/>
  <c r="H384" i="7"/>
  <c r="H385" i="7"/>
  <c r="H390" i="7"/>
  <c r="H391" i="7"/>
  <c r="H392" i="7"/>
  <c r="H393" i="7"/>
  <c r="H394" i="7"/>
  <c r="H395" i="7"/>
  <c r="H396" i="7"/>
  <c r="H397" i="7"/>
  <c r="H401" i="7"/>
  <c r="H403" i="7"/>
  <c r="H404" i="7"/>
  <c r="H405" i="7"/>
  <c r="H406" i="7"/>
  <c r="H407" i="7"/>
  <c r="H408" i="7"/>
  <c r="H409" i="7"/>
  <c r="H415" i="7"/>
  <c r="H416" i="7"/>
  <c r="H417" i="7"/>
  <c r="H418" i="7"/>
  <c r="H419" i="7"/>
  <c r="H420" i="7"/>
  <c r="H421" i="7"/>
  <c r="H426" i="7"/>
  <c r="H427" i="7"/>
  <c r="H428" i="7"/>
  <c r="H429" i="7"/>
  <c r="H430" i="7"/>
  <c r="H431" i="7"/>
  <c r="H432" i="7"/>
  <c r="H433" i="7"/>
  <c r="H439" i="7"/>
  <c r="H440" i="7"/>
  <c r="H441" i="7"/>
  <c r="H442" i="7"/>
  <c r="H443" i="7"/>
  <c r="H444" i="7"/>
  <c r="H445" i="7"/>
  <c r="H450" i="7"/>
  <c r="H451" i="7"/>
  <c r="H452" i="7"/>
  <c r="H454" i="7"/>
  <c r="H455" i="7"/>
  <c r="H456" i="7"/>
  <c r="H457" i="7"/>
  <c r="H461" i="7"/>
  <c r="H462" i="7"/>
  <c r="H463" i="7"/>
  <c r="H464" i="7"/>
  <c r="H465" i="7"/>
  <c r="H466" i="7"/>
  <c r="H467" i="7"/>
  <c r="H468" i="7"/>
  <c r="H469" i="7"/>
  <c r="H475" i="7"/>
  <c r="H476" i="7"/>
  <c r="H477" i="7"/>
  <c r="H478" i="7"/>
  <c r="H479" i="7"/>
  <c r="H480" i="7"/>
  <c r="H481" i="7"/>
  <c r="H486" i="7"/>
  <c r="H487" i="7"/>
  <c r="H488" i="7"/>
  <c r="H489" i="7"/>
  <c r="H490" i="7"/>
  <c r="H491" i="7"/>
  <c r="H492" i="7"/>
  <c r="H493" i="7"/>
  <c r="H499" i="7"/>
  <c r="H500" i="7"/>
  <c r="H501" i="7"/>
  <c r="H502" i="7"/>
  <c r="H503" i="7"/>
  <c r="H504" i="7"/>
  <c r="H505" i="7"/>
  <c r="H510" i="7"/>
  <c r="H511" i="7"/>
  <c r="H513" i="7"/>
  <c r="H514" i="7"/>
  <c r="H515" i="7"/>
  <c r="H516" i="7"/>
  <c r="H517" i="7"/>
  <c r="H522" i="7"/>
  <c r="H523" i="7"/>
  <c r="H524" i="7"/>
  <c r="H525" i="7"/>
  <c r="H526" i="7"/>
  <c r="H527" i="7"/>
  <c r="H528" i="7"/>
  <c r="H529" i="7"/>
  <c r="H534" i="7"/>
  <c r="H535" i="7"/>
  <c r="H536" i="7"/>
  <c r="H537" i="7"/>
  <c r="H538" i="7"/>
  <c r="H539" i="7"/>
  <c r="H540" i="7"/>
  <c r="H541" i="7"/>
  <c r="H547" i="7"/>
  <c r="H548" i="7"/>
  <c r="H549" i="7"/>
  <c r="H550" i="7"/>
  <c r="H551" i="7"/>
  <c r="H552" i="7"/>
  <c r="H553" i="7"/>
  <c r="H556" i="7"/>
  <c r="H559" i="7"/>
  <c r="H560" i="7"/>
  <c r="H562" i="7"/>
  <c r="H563" i="7"/>
  <c r="H564" i="7"/>
  <c r="H565" i="7"/>
  <c r="H570" i="7"/>
  <c r="H571" i="7"/>
  <c r="H572" i="7"/>
  <c r="H573" i="7"/>
  <c r="H574" i="7"/>
  <c r="H575" i="7"/>
  <c r="H576" i="7"/>
  <c r="H577" i="7"/>
  <c r="H583" i="7"/>
  <c r="H584" i="7"/>
  <c r="H585" i="7"/>
  <c r="H586" i="7"/>
  <c r="H587" i="7"/>
  <c r="H588" i="7"/>
  <c r="H589" i="7"/>
  <c r="H594" i="7"/>
  <c r="H595" i="7"/>
  <c r="H596" i="7"/>
  <c r="H597" i="7"/>
  <c r="H598" i="7"/>
  <c r="H599" i="7"/>
  <c r="H600" i="7"/>
  <c r="H601" i="7"/>
  <c r="H605" i="7"/>
  <c r="H606" i="7"/>
  <c r="H607" i="7"/>
  <c r="H608" i="7"/>
  <c r="H609" i="7"/>
  <c r="H610" i="7"/>
  <c r="H611" i="7"/>
  <c r="H612" i="7"/>
  <c r="H613" i="7"/>
  <c r="H616" i="7"/>
  <c r="H619" i="7"/>
  <c r="H620" i="7"/>
  <c r="H621" i="7"/>
  <c r="H622" i="7"/>
  <c r="H623" i="7"/>
  <c r="H624" i="7"/>
  <c r="H625" i="7"/>
  <c r="H630" i="7"/>
  <c r="H631" i="7"/>
  <c r="H632" i="7"/>
  <c r="H633" i="7"/>
  <c r="H634" i="7"/>
  <c r="H635" i="7"/>
  <c r="H636" i="7"/>
  <c r="H637" i="7"/>
  <c r="H643" i="7"/>
  <c r="H644" i="7"/>
  <c r="H645" i="7"/>
  <c r="H646" i="7"/>
  <c r="H647" i="7"/>
  <c r="H648" i="7"/>
  <c r="H649" i="7"/>
  <c r="H654" i="7"/>
  <c r="H655" i="7"/>
  <c r="H656" i="7"/>
  <c r="H657" i="7"/>
  <c r="H658" i="7"/>
  <c r="H659" i="7"/>
  <c r="H660" i="7"/>
  <c r="H661" i="7"/>
  <c r="H665" i="7"/>
  <c r="H666" i="7"/>
  <c r="H667" i="7"/>
  <c r="H668" i="7"/>
  <c r="H669" i="7"/>
  <c r="H670" i="7"/>
  <c r="H671" i="7"/>
  <c r="H672" i="7"/>
  <c r="H673" i="7"/>
  <c r="H676" i="7"/>
  <c r="H678" i="7"/>
  <c r="H679" i="7"/>
  <c r="H680" i="7"/>
  <c r="H681" i="7"/>
  <c r="H682" i="7"/>
  <c r="H683" i="7"/>
  <c r="H684" i="7"/>
  <c r="H685" i="7"/>
  <c r="H690" i="7"/>
  <c r="H691" i="7"/>
  <c r="H692" i="7"/>
  <c r="H693" i="7"/>
  <c r="H694" i="7"/>
  <c r="H695" i="7"/>
  <c r="H696" i="7"/>
  <c r="H697" i="7"/>
  <c r="H701" i="7"/>
  <c r="H703" i="7"/>
  <c r="H704" i="7"/>
  <c r="H705" i="7"/>
  <c r="H706" i="7"/>
  <c r="H707" i="7"/>
  <c r="H708" i="7"/>
  <c r="H709" i="7"/>
  <c r="H715" i="7"/>
  <c r="H716" i="7"/>
  <c r="H717" i="7"/>
  <c r="H718" i="7"/>
  <c r="H719" i="7"/>
  <c r="H720" i="7"/>
  <c r="H721" i="7"/>
  <c r="H725" i="7"/>
  <c r="H727" i="7"/>
  <c r="H728" i="7"/>
  <c r="H729" i="7"/>
  <c r="H730" i="7"/>
  <c r="H731" i="7"/>
  <c r="H732" i="7"/>
  <c r="H733" i="7"/>
  <c r="H736" i="7"/>
  <c r="H738" i="7"/>
  <c r="H739" i="7"/>
  <c r="H740" i="7"/>
  <c r="H741" i="7"/>
  <c r="H742" i="7"/>
  <c r="H743" i="7"/>
  <c r="H744" i="7"/>
  <c r="H745" i="7"/>
  <c r="H750" i="7"/>
  <c r="H751" i="7"/>
  <c r="H753" i="7"/>
  <c r="H754" i="7"/>
  <c r="H755" i="7"/>
  <c r="H756" i="7"/>
  <c r="H757" i="7"/>
  <c r="H761" i="7"/>
  <c r="H763" i="7"/>
  <c r="H764" i="7"/>
  <c r="H765" i="7"/>
  <c r="H766" i="7"/>
  <c r="H767" i="7"/>
  <c r="H768" i="7"/>
  <c r="H769" i="7"/>
  <c r="H775" i="7"/>
  <c r="H776" i="7"/>
  <c r="H777" i="7"/>
  <c r="H778" i="7"/>
  <c r="H779" i="7"/>
  <c r="H780" i="7"/>
  <c r="H781" i="7"/>
  <c r="H785" i="7"/>
  <c r="H787" i="7"/>
  <c r="H788" i="7"/>
  <c r="H789" i="7"/>
  <c r="H790" i="7"/>
  <c r="H791" i="7"/>
  <c r="H792" i="7"/>
  <c r="H793" i="7"/>
  <c r="H796" i="7"/>
  <c r="H799" i="7"/>
  <c r="H800" i="7"/>
  <c r="H801" i="7"/>
  <c r="H802" i="7"/>
  <c r="H803" i="7"/>
  <c r="H804" i="7"/>
  <c r="H805" i="7"/>
  <c r="H810" i="7"/>
  <c r="H811" i="7"/>
  <c r="H812" i="7"/>
  <c r="H813" i="7"/>
  <c r="H814" i="7"/>
  <c r="H815" i="7"/>
  <c r="H816" i="7"/>
  <c r="H817" i="7"/>
  <c r="H822" i="7"/>
  <c r="H823" i="7"/>
  <c r="H824" i="7"/>
  <c r="H825" i="7"/>
  <c r="H826" i="7"/>
  <c r="H827" i="7"/>
  <c r="H828" i="7"/>
  <c r="H829" i="7"/>
  <c r="H835" i="7"/>
  <c r="H836" i="7"/>
  <c r="H837" i="7"/>
  <c r="H838" i="7"/>
  <c r="H839" i="7"/>
  <c r="H840" i="7"/>
  <c r="H841" i="7"/>
  <c r="H845" i="7"/>
  <c r="H847" i="7"/>
  <c r="H848" i="7"/>
  <c r="H849" i="7"/>
  <c r="H850" i="7"/>
  <c r="H851" i="7"/>
  <c r="H852" i="7"/>
  <c r="H853" i="7"/>
  <c r="H856" i="7"/>
  <c r="H859" i="7"/>
  <c r="H860" i="7"/>
  <c r="H861" i="7"/>
  <c r="H862" i="7"/>
  <c r="H863" i="7"/>
  <c r="H864" i="7"/>
  <c r="H865" i="7"/>
  <c r="H870" i="7"/>
  <c r="H871" i="7"/>
  <c r="H872" i="7"/>
  <c r="H873" i="7"/>
  <c r="H874" i="7"/>
  <c r="H875" i="7"/>
  <c r="H876" i="7"/>
  <c r="H877" i="7"/>
  <c r="H882" i="7"/>
  <c r="H883" i="7"/>
  <c r="H884" i="7"/>
  <c r="H885" i="7"/>
  <c r="H886" i="7"/>
  <c r="H887" i="7"/>
  <c r="H888" i="7"/>
  <c r="H889" i="7"/>
  <c r="H894" i="7"/>
  <c r="H895" i="7"/>
  <c r="H896" i="7"/>
  <c r="H897" i="7"/>
  <c r="H898" i="7"/>
  <c r="H899" i="7"/>
  <c r="H900" i="7"/>
  <c r="H901" i="7"/>
  <c r="H905" i="7"/>
  <c r="H907" i="7"/>
  <c r="H908" i="7"/>
  <c r="H909" i="7"/>
  <c r="H910" i="7"/>
  <c r="H911" i="7"/>
  <c r="H912" i="7"/>
  <c r="H913" i="7"/>
  <c r="H916" i="7"/>
  <c r="H919" i="7"/>
  <c r="H920" i="7"/>
  <c r="H921" i="7"/>
  <c r="H922" i="7"/>
  <c r="H923" i="7"/>
  <c r="H924" i="7"/>
  <c r="H925" i="7"/>
  <c r="H930" i="7"/>
  <c r="H931" i="7"/>
  <c r="H932" i="7"/>
  <c r="H933" i="7"/>
  <c r="H934" i="7"/>
  <c r="H935" i="7"/>
  <c r="H936" i="7"/>
  <c r="H937" i="7"/>
  <c r="H943" i="7"/>
  <c r="H944" i="7"/>
  <c r="H945" i="7"/>
  <c r="H946" i="7"/>
  <c r="H947" i="7"/>
  <c r="H948" i="7"/>
  <c r="H949" i="7"/>
  <c r="H954" i="7"/>
  <c r="H955" i="7"/>
  <c r="H956" i="7"/>
  <c r="H957" i="7"/>
  <c r="H958" i="7"/>
  <c r="H959" i="7"/>
  <c r="H960" i="7"/>
  <c r="H961" i="7"/>
  <c r="H965" i="7"/>
  <c r="H966" i="7"/>
  <c r="H967" i="7"/>
  <c r="H968" i="7"/>
  <c r="H969" i="7"/>
  <c r="H970" i="7"/>
  <c r="H971" i="7"/>
  <c r="H972" i="7"/>
  <c r="H973" i="7"/>
  <c r="H976" i="7"/>
  <c r="H979" i="7"/>
  <c r="H980" i="7"/>
  <c r="H981" i="7"/>
  <c r="H982" i="7"/>
  <c r="H983" i="7"/>
  <c r="H984" i="7"/>
  <c r="H985" i="7"/>
  <c r="H990" i="7"/>
  <c r="H991" i="7"/>
  <c r="H992" i="7"/>
  <c r="H993" i="7"/>
  <c r="H994" i="7"/>
  <c r="H995" i="7"/>
  <c r="H996" i="7"/>
  <c r="H997" i="7"/>
  <c r="H1003" i="7"/>
  <c r="H1004" i="7"/>
  <c r="H1005" i="7"/>
  <c r="H1006" i="7"/>
  <c r="H1007" i="7"/>
  <c r="H1008" i="7"/>
  <c r="H1009" i="7"/>
  <c r="H1014" i="7"/>
  <c r="H1015" i="7"/>
  <c r="H1016" i="7"/>
  <c r="H1017" i="7"/>
  <c r="H1018" i="7"/>
  <c r="H1019" i="7"/>
  <c r="H1020" i="7"/>
  <c r="H1021" i="7"/>
  <c r="H1025" i="7"/>
  <c r="H1026" i="7"/>
  <c r="H1027" i="7"/>
  <c r="H1028" i="7"/>
  <c r="H1029" i="7"/>
  <c r="H1030" i="7"/>
  <c r="H1031" i="7"/>
  <c r="H1032" i="7"/>
  <c r="H1033" i="7"/>
  <c r="H1036" i="7"/>
  <c r="H1038" i="7"/>
  <c r="H1039" i="7"/>
  <c r="H1040" i="7"/>
  <c r="H1041" i="7"/>
  <c r="H1042" i="7"/>
  <c r="H1043" i="7"/>
  <c r="H1044" i="7"/>
  <c r="H1045" i="7"/>
  <c r="H1050" i="7"/>
  <c r="H1051" i="7"/>
  <c r="H1052" i="7"/>
  <c r="H1053" i="7"/>
  <c r="H1054" i="7"/>
  <c r="H1055" i="7"/>
  <c r="H1056" i="7"/>
  <c r="H1057" i="7"/>
  <c r="H1061" i="7"/>
  <c r="H1063" i="7"/>
  <c r="H1064" i="7"/>
  <c r="H1065" i="7"/>
  <c r="H1066" i="7"/>
  <c r="H1067" i="7"/>
  <c r="H1068" i="7"/>
  <c r="H1069" i="7"/>
  <c r="H1075" i="7"/>
  <c r="H1076" i="7"/>
  <c r="H1077" i="7"/>
  <c r="H1078" i="7"/>
  <c r="H1079" i="7"/>
  <c r="H1080" i="7"/>
  <c r="H1081" i="7"/>
  <c r="H1085" i="7"/>
  <c r="H1087" i="7"/>
  <c r="H1088" i="7"/>
  <c r="H1089" i="7"/>
  <c r="H1090" i="7"/>
  <c r="H1091" i="7"/>
  <c r="H1092" i="7"/>
  <c r="H1093" i="7"/>
  <c r="H1096" i="7"/>
  <c r="H1098" i="7"/>
  <c r="H1099" i="7"/>
  <c r="H1100" i="7"/>
  <c r="H1101" i="7"/>
  <c r="H1102" i="7"/>
  <c r="H1103" i="7"/>
  <c r="H1104" i="7"/>
  <c r="H1105" i="7"/>
  <c r="H1110" i="7"/>
  <c r="H1111" i="7"/>
  <c r="H1112" i="7"/>
  <c r="H1113" i="7"/>
  <c r="H1114" i="7"/>
  <c r="H1115" i="7"/>
  <c r="H1116" i="7"/>
  <c r="H1117" i="7"/>
  <c r="H1121" i="7"/>
  <c r="H1123" i="7"/>
  <c r="H1124" i="7"/>
  <c r="H1125" i="7"/>
  <c r="H1126" i="7"/>
  <c r="H1127" i="7"/>
  <c r="H1128" i="7"/>
  <c r="H1129" i="7"/>
  <c r="H1135" i="7"/>
  <c r="H1136" i="7"/>
  <c r="H1137" i="7"/>
  <c r="H1139" i="7"/>
  <c r="H1140" i="7"/>
  <c r="H1141" i="7"/>
  <c r="H1145" i="7"/>
  <c r="H1146" i="7"/>
  <c r="H1147" i="7"/>
  <c r="H1148" i="7"/>
  <c r="H1149" i="7"/>
  <c r="H1150" i="7"/>
  <c r="H1151" i="7"/>
  <c r="H1152" i="7"/>
  <c r="H1153" i="7"/>
  <c r="H1156" i="7"/>
  <c r="H1158" i="7"/>
  <c r="H1159" i="7"/>
  <c r="H1160" i="7"/>
  <c r="H1161" i="7"/>
  <c r="H1162" i="7"/>
  <c r="H1163" i="7"/>
  <c r="H1164" i="7"/>
  <c r="H1165" i="7"/>
  <c r="H1170" i="7"/>
  <c r="H1171" i="7"/>
  <c r="H1172" i="7"/>
  <c r="H1173" i="7"/>
  <c r="H1174" i="7"/>
  <c r="H1175" i="7"/>
  <c r="H1176" i="7"/>
  <c r="H1177" i="7"/>
  <c r="H1181" i="7"/>
  <c r="H1183" i="7"/>
  <c r="H1184" i="7"/>
  <c r="H1185" i="7"/>
  <c r="H1186" i="7"/>
  <c r="H1187" i="7"/>
  <c r="H1188" i="7"/>
  <c r="H1189" i="7"/>
  <c r="H1194" i="7"/>
  <c r="H1195" i="7"/>
  <c r="H1196" i="7"/>
  <c r="H1197" i="7"/>
  <c r="H1198" i="7"/>
  <c r="H1199" i="7"/>
  <c r="H1200" i="7"/>
  <c r="H1201" i="7"/>
  <c r="H1202" i="7"/>
  <c r="H1206" i="7"/>
  <c r="H1207" i="7"/>
  <c r="H1209" i="7"/>
  <c r="H1210" i="7"/>
  <c r="H1211" i="7"/>
  <c r="H1212" i="7"/>
  <c r="H1213" i="7"/>
  <c r="H1219" i="7"/>
  <c r="H1220" i="7"/>
  <c r="H1221" i="7"/>
  <c r="H1222" i="7"/>
  <c r="H1223" i="7"/>
  <c r="H1224" i="7"/>
  <c r="H1225" i="7"/>
  <c r="H1230" i="7"/>
  <c r="H1231" i="7"/>
  <c r="H1233" i="7"/>
  <c r="H1234" i="7"/>
  <c r="H1235" i="7"/>
  <c r="H1236" i="7"/>
  <c r="H1237" i="7"/>
  <c r="H1241" i="7"/>
  <c r="H1242" i="7"/>
  <c r="H1243" i="7"/>
  <c r="H1244" i="7"/>
  <c r="H1245" i="7"/>
  <c r="H1246" i="7"/>
  <c r="H1247" i="7"/>
  <c r="H1248" i="7"/>
  <c r="H1249" i="7"/>
  <c r="H1252" i="7"/>
  <c r="H1254" i="7"/>
  <c r="H1255" i="7"/>
  <c r="H1256" i="7"/>
  <c r="H1257" i="7"/>
  <c r="H1259" i="7"/>
  <c r="H1260" i="7"/>
  <c r="H1261" i="7"/>
  <c r="H1262" i="7"/>
  <c r="H1266" i="7"/>
  <c r="H1267" i="7"/>
  <c r="H1268" i="7"/>
  <c r="H1269" i="7"/>
  <c r="H1270" i="7"/>
  <c r="H1271" i="7"/>
  <c r="H1272" i="7"/>
  <c r="H1273" i="7"/>
  <c r="H1278" i="7"/>
  <c r="H1279" i="7"/>
  <c r="H1280" i="7"/>
  <c r="H1281" i="7"/>
  <c r="H1282" i="7"/>
  <c r="H1283" i="7"/>
  <c r="H1284" i="7"/>
  <c r="H1285" i="7"/>
  <c r="H1290" i="7"/>
  <c r="H1291" i="7"/>
  <c r="H1292" i="7"/>
  <c r="H1293" i="7"/>
  <c r="H1294" i="7"/>
  <c r="H1295" i="7"/>
  <c r="H1296" i="7"/>
  <c r="H1297" i="7"/>
  <c r="H1302" i="7"/>
  <c r="H1303" i="7"/>
  <c r="H1304" i="7"/>
  <c r="H1305" i="7"/>
  <c r="H1306" i="7"/>
  <c r="H1307" i="7"/>
  <c r="H1308" i="7"/>
  <c r="H1309" i="7"/>
  <c r="H1314" i="7"/>
  <c r="H1315" i="7"/>
  <c r="H1316" i="7"/>
  <c r="H1317" i="7"/>
  <c r="H1318" i="7"/>
  <c r="H1319" i="7"/>
  <c r="H1320" i="7"/>
  <c r="H1321" i="7"/>
  <c r="H1326" i="7"/>
  <c r="H1327" i="7"/>
  <c r="H1328" i="7"/>
  <c r="H1329" i="7"/>
  <c r="H1330" i="7"/>
  <c r="H1331" i="7"/>
  <c r="H1332" i="7"/>
  <c r="H1333" i="7"/>
  <c r="H1338" i="7"/>
  <c r="H1339" i="7"/>
  <c r="H1340" i="7"/>
  <c r="H1341" i="7"/>
  <c r="H1342" i="7"/>
  <c r="H1343" i="7"/>
  <c r="H1344" i="7"/>
  <c r="H1345" i="7"/>
  <c r="H1348" i="7"/>
  <c r="H1350" i="7"/>
  <c r="H1351" i="7"/>
  <c r="H1352" i="7"/>
  <c r="H1353" i="7"/>
  <c r="H1354" i="7"/>
  <c r="H1355" i="7"/>
  <c r="H1356" i="7"/>
  <c r="H1357" i="7"/>
  <c r="H1362" i="7"/>
  <c r="H1363" i="7"/>
  <c r="H1364" i="7"/>
  <c r="H1365" i="7"/>
  <c r="H1366" i="7"/>
  <c r="H1367" i="7"/>
  <c r="H1368" i="7"/>
  <c r="H1369" i="7"/>
  <c r="H1373" i="7"/>
  <c r="H1374" i="7"/>
  <c r="H1375" i="7"/>
  <c r="H1376" i="7"/>
  <c r="H1377" i="7"/>
  <c r="H1378" i="7"/>
  <c r="H1379" i="7"/>
  <c r="H1380" i="7"/>
  <c r="H1381" i="7"/>
  <c r="H1384" i="7"/>
  <c r="H1386" i="7"/>
  <c r="H1387" i="7"/>
  <c r="H1388" i="7"/>
  <c r="H1389" i="7"/>
  <c r="H1390" i="7"/>
  <c r="H1391" i="7"/>
  <c r="H1392" i="7"/>
  <c r="H1393" i="7"/>
  <c r="H1398" i="7"/>
  <c r="H1399" i="7"/>
  <c r="H1400" i="7"/>
  <c r="H1401" i="7"/>
  <c r="H1402" i="7"/>
  <c r="H1403" i="7"/>
  <c r="H1404" i="7"/>
  <c r="H1405" i="7"/>
  <c r="H1409" i="7"/>
  <c r="H1411" i="7"/>
  <c r="H1412" i="7"/>
  <c r="H1413" i="7"/>
  <c r="H1414" i="7"/>
  <c r="H1415" i="7"/>
  <c r="H1416" i="7"/>
  <c r="H1417" i="7"/>
  <c r="H1422" i="7"/>
  <c r="H1423" i="7"/>
  <c r="H1424" i="7"/>
  <c r="H1425" i="7"/>
  <c r="H1426" i="7"/>
  <c r="H1427" i="7"/>
  <c r="H1428" i="7"/>
  <c r="H1429" i="7"/>
  <c r="H1430" i="7"/>
  <c r="H1434" i="7"/>
  <c r="H1435" i="7"/>
  <c r="H1436" i="7"/>
  <c r="H1437" i="7"/>
  <c r="H1438" i="7"/>
  <c r="H1439" i="7"/>
  <c r="H1440" i="7"/>
  <c r="H1441" i="7"/>
  <c r="H1445" i="7"/>
  <c r="H1446" i="7"/>
  <c r="H1447" i="7"/>
  <c r="H1448" i="7"/>
  <c r="H1449" i="7"/>
  <c r="H1450" i="7"/>
  <c r="H1451" i="7"/>
  <c r="H1452" i="7"/>
  <c r="H1453" i="7"/>
  <c r="H1455" i="7"/>
  <c r="H1456" i="7"/>
  <c r="H1458" i="7"/>
  <c r="H1459" i="7"/>
  <c r="H1460" i="7"/>
  <c r="H1461" i="7"/>
  <c r="H1462" i="7"/>
  <c r="H1463" i="7"/>
  <c r="H1464" i="7"/>
  <c r="H1465" i="7"/>
  <c r="H1470" i="7"/>
  <c r="H1471" i="7"/>
  <c r="H1472" i="7"/>
  <c r="H1473" i="7"/>
  <c r="H1474" i="7"/>
  <c r="H1475" i="7"/>
  <c r="H1476" i="7"/>
  <c r="H1477" i="7"/>
  <c r="H1480" i="7"/>
  <c r="H1481" i="7"/>
  <c r="H1483" i="7"/>
  <c r="H1484" i="7"/>
  <c r="H1485" i="7"/>
  <c r="H1486" i="7"/>
  <c r="H1487" i="7"/>
  <c r="H1488" i="7"/>
  <c r="H1489" i="7"/>
  <c r="H1492" i="7"/>
  <c r="H1494" i="7"/>
  <c r="H1495" i="7"/>
  <c r="H1496" i="7"/>
  <c r="H1497" i="7"/>
  <c r="H1498" i="7"/>
  <c r="H1499" i="7"/>
  <c r="H1500" i="7"/>
  <c r="H1501" i="7"/>
  <c r="H1505" i="7"/>
  <c r="H1506" i="7"/>
  <c r="H1507" i="7"/>
  <c r="H1508" i="7"/>
  <c r="H1509" i="7"/>
  <c r="H1510" i="7"/>
  <c r="H1511" i="7"/>
  <c r="H1512" i="7"/>
  <c r="H1513" i="7"/>
  <c r="H1514" i="7"/>
  <c r="H1518" i="7"/>
  <c r="H1519" i="7"/>
  <c r="H1520" i="7"/>
  <c r="H1521" i="7"/>
  <c r="H1522" i="7"/>
  <c r="H1523" i="7"/>
  <c r="H1524" i="7"/>
  <c r="H1525" i="7"/>
  <c r="H1526" i="7"/>
  <c r="H1529" i="7"/>
  <c r="H1530" i="7"/>
  <c r="H1531" i="7"/>
  <c r="H1532" i="7"/>
  <c r="H1533" i="7"/>
  <c r="H1534" i="7"/>
  <c r="H1535" i="7"/>
  <c r="H1536" i="7"/>
  <c r="H1537" i="7"/>
  <c r="H1540" i="7"/>
  <c r="H1542" i="7"/>
  <c r="H1543" i="7"/>
  <c r="H1544" i="7"/>
  <c r="H1545" i="7"/>
  <c r="H1546" i="7"/>
  <c r="H1547" i="7"/>
  <c r="H1548" i="7"/>
  <c r="H1549" i="7"/>
  <c r="H1550" i="7"/>
  <c r="H1554" i="7"/>
  <c r="H1555" i="7"/>
  <c r="H1556" i="7"/>
  <c r="H1557" i="7"/>
  <c r="H1558" i="7"/>
  <c r="H1559" i="7"/>
  <c r="H1560" i="7"/>
  <c r="H1561" i="7"/>
  <c r="H1563" i="7"/>
  <c r="H1565" i="7"/>
  <c r="H1567" i="7"/>
  <c r="H1568" i="7"/>
  <c r="H1569" i="7"/>
  <c r="H1570" i="7"/>
  <c r="H1571" i="7"/>
  <c r="H1572" i="7"/>
  <c r="H1573" i="7"/>
  <c r="H1578" i="7"/>
  <c r="H1579" i="7"/>
  <c r="H1580" i="7"/>
  <c r="H1581" i="7"/>
  <c r="H1582" i="7"/>
  <c r="H1583" i="7"/>
  <c r="H1584" i="7"/>
  <c r="H1585" i="7"/>
  <c r="H1586" i="7"/>
  <c r="H1590" i="7"/>
  <c r="H1591" i="7"/>
  <c r="H1592" i="7"/>
  <c r="H1593" i="7"/>
  <c r="H1594" i="7"/>
  <c r="H1595" i="7"/>
  <c r="H1596" i="7"/>
  <c r="H1597" i="7"/>
  <c r="H1598" i="7"/>
  <c r="H1601" i="7"/>
  <c r="H1602" i="7"/>
  <c r="H1603" i="7"/>
  <c r="H1604" i="7"/>
  <c r="H1605" i="7"/>
  <c r="H1606" i="7"/>
  <c r="H1607" i="7"/>
  <c r="H1608" i="7"/>
  <c r="H1609" i="7"/>
  <c r="H1610" i="7"/>
  <c r="H1611" i="7"/>
  <c r="H1614" i="7"/>
  <c r="H1615" i="7"/>
  <c r="H1616" i="7"/>
  <c r="H1617" i="7"/>
  <c r="H1618" i="7"/>
  <c r="H1619" i="7"/>
  <c r="H1620" i="7"/>
  <c r="H1621" i="7"/>
  <c r="H1626" i="7"/>
  <c r="H1627" i="7"/>
  <c r="H1628" i="7"/>
  <c r="H1629" i="7"/>
  <c r="H1630" i="7"/>
  <c r="H1631" i="7"/>
  <c r="H1632" i="7"/>
  <c r="H1633" i="7"/>
  <c r="H1634" i="7"/>
  <c r="H1636" i="7"/>
  <c r="H1638" i="7"/>
  <c r="H1639" i="7"/>
  <c r="H1640" i="7"/>
  <c r="H1641" i="7"/>
  <c r="H1642" i="7"/>
  <c r="H1643" i="7"/>
  <c r="H1644" i="7"/>
  <c r="H1645" i="7"/>
  <c r="H1649" i="7"/>
  <c r="H1651" i="7"/>
  <c r="H1652" i="7"/>
  <c r="H1653" i="7"/>
  <c r="H1654" i="7"/>
  <c r="H1655" i="7"/>
  <c r="H1656" i="7"/>
  <c r="H1657" i="7"/>
  <c r="H1662" i="7"/>
  <c r="H1663" i="7"/>
  <c r="H1664" i="7"/>
  <c r="H1665" i="7"/>
  <c r="H1666" i="7"/>
  <c r="H1667" i="7"/>
  <c r="H1668" i="7"/>
  <c r="H1669" i="7"/>
  <c r="H1670" i="7"/>
  <c r="H1671" i="7"/>
  <c r="H1674" i="7"/>
  <c r="H1675" i="7"/>
  <c r="H1676" i="7"/>
  <c r="H1677" i="7"/>
  <c r="H1678" i="7"/>
  <c r="H1679" i="7"/>
  <c r="H1680" i="7"/>
  <c r="H1681" i="7"/>
  <c r="H1683" i="7"/>
  <c r="H1685" i="7"/>
  <c r="H1686" i="7"/>
  <c r="H1687" i="7"/>
  <c r="H1688" i="7"/>
  <c r="H1689" i="7"/>
  <c r="H1690" i="7"/>
  <c r="H1691" i="7"/>
  <c r="H1692" i="7"/>
  <c r="H1693" i="7"/>
  <c r="H1694" i="7"/>
  <c r="H1695" i="7"/>
  <c r="H1696" i="7"/>
  <c r="H1697" i="7"/>
  <c r="H1698" i="7"/>
  <c r="H1699" i="7"/>
  <c r="H1700" i="7"/>
  <c r="H1701" i="7"/>
  <c r="H1702" i="7"/>
  <c r="H1703" i="7"/>
  <c r="H1704" i="7"/>
  <c r="H1705" i="7"/>
  <c r="H1706" i="7"/>
  <c r="H1710" i="7"/>
  <c r="H1711" i="7"/>
  <c r="H1712" i="7"/>
  <c r="H1713" i="7"/>
  <c r="H1714" i="7"/>
  <c r="H1715" i="7"/>
  <c r="H1716" i="7"/>
  <c r="H1717" i="7"/>
  <c r="H1722" i="7"/>
  <c r="H1723" i="7"/>
  <c r="H1724" i="7"/>
  <c r="H1725" i="7"/>
  <c r="H1726" i="7"/>
  <c r="H1727" i="7"/>
  <c r="H1728" i="7"/>
  <c r="H1729" i="7"/>
  <c r="H1730" i="7"/>
  <c r="H1731" i="7"/>
  <c r="H1734" i="7"/>
  <c r="H1735" i="7"/>
  <c r="H1736" i="7"/>
  <c r="H1737" i="7"/>
  <c r="H1738" i="7"/>
  <c r="H1739" i="7"/>
  <c r="H1740" i="7"/>
  <c r="H1741" i="7"/>
  <c r="H1743" i="7"/>
  <c r="H1744" i="7"/>
  <c r="H1745" i="7"/>
  <c r="H1746" i="7"/>
  <c r="H1747" i="7"/>
  <c r="H1748" i="7"/>
  <c r="H1749" i="7"/>
  <c r="H1750" i="7"/>
  <c r="H1751" i="7"/>
  <c r="H1752" i="7"/>
  <c r="H1753" i="7"/>
  <c r="H1757" i="7"/>
  <c r="H1758" i="7"/>
  <c r="H1759" i="7"/>
  <c r="H1760" i="7"/>
  <c r="H1761" i="7"/>
  <c r="H1762" i="7"/>
  <c r="H1763" i="7"/>
  <c r="H1764" i="7"/>
  <c r="H1765" i="7"/>
  <c r="H1766" i="7"/>
  <c r="H1768" i="7"/>
  <c r="H1770" i="7"/>
  <c r="H1771" i="7"/>
  <c r="H1772" i="7"/>
  <c r="H1773" i="7"/>
  <c r="H1774" i="7"/>
  <c r="H1775" i="7"/>
  <c r="H1776" i="7"/>
  <c r="H1777" i="7"/>
  <c r="H1779" i="7"/>
  <c r="H1780" i="7"/>
  <c r="H1781" i="7"/>
  <c r="H1782" i="7"/>
  <c r="H1783" i="7"/>
  <c r="H1784" i="7"/>
  <c r="H1785" i="7"/>
  <c r="H1786" i="7"/>
  <c r="H1787" i="7"/>
  <c r="H1788" i="7"/>
  <c r="H1789" i="7"/>
  <c r="H1790" i="7"/>
  <c r="H1794" i="7"/>
  <c r="H1795" i="7"/>
  <c r="H1796" i="7"/>
  <c r="H1797" i="7"/>
  <c r="H1798" i="7"/>
  <c r="H1799" i="7"/>
  <c r="H1800" i="7"/>
  <c r="H1801" i="7"/>
  <c r="H1802" i="7"/>
  <c r="H1805" i="7"/>
  <c r="H1806" i="7"/>
  <c r="H1807" i="7"/>
  <c r="H1808" i="7"/>
  <c r="H1809" i="7"/>
  <c r="H1810" i="7"/>
  <c r="H1811" i="7"/>
  <c r="H1812" i="7"/>
  <c r="H1813" i="7"/>
  <c r="H1816" i="7"/>
  <c r="H1818" i="7"/>
  <c r="H1819" i="7"/>
  <c r="H1820" i="7"/>
  <c r="H1821" i="7"/>
  <c r="H1822" i="7"/>
  <c r="H1823" i="7"/>
  <c r="H1824" i="7"/>
  <c r="H1825" i="7"/>
  <c r="H1826" i="7"/>
  <c r="H1827" i="7"/>
  <c r="H1830" i="7"/>
  <c r="H1831" i="7"/>
  <c r="H1832" i="7"/>
  <c r="H1833" i="7"/>
  <c r="H1834" i="7"/>
  <c r="H1835" i="7"/>
  <c r="H1836" i="7"/>
  <c r="H1837" i="7"/>
  <c r="H1838" i="7"/>
  <c r="H1842" i="7"/>
  <c r="H1843" i="7"/>
  <c r="H1844" i="7"/>
  <c r="H1845" i="7"/>
  <c r="H1846" i="7"/>
  <c r="H1847" i="7"/>
  <c r="H1848" i="7"/>
  <c r="H1849" i="7"/>
  <c r="H1850" i="7"/>
  <c r="H1852" i="7"/>
  <c r="H1853" i="7"/>
  <c r="H1854" i="7"/>
  <c r="H1855" i="7"/>
  <c r="H1856" i="7"/>
  <c r="H1857" i="7"/>
  <c r="H1858" i="7"/>
  <c r="H1859" i="7"/>
  <c r="H1860" i="7"/>
  <c r="H1861" i="7"/>
  <c r="H1862" i="7"/>
  <c r="H1863" i="7"/>
  <c r="H1865" i="7"/>
  <c r="H1866" i="7"/>
  <c r="H1867" i="7"/>
  <c r="H1868" i="7"/>
  <c r="H1869" i="7"/>
  <c r="H1870" i="7"/>
  <c r="H1871" i="7"/>
  <c r="H1872" i="7"/>
  <c r="H1873" i="7"/>
  <c r="H1874" i="7"/>
  <c r="H1875" i="7"/>
  <c r="H1876" i="7"/>
  <c r="H1877" i="7"/>
  <c r="H1878" i="7"/>
  <c r="H1879" i="7"/>
  <c r="H1880" i="7"/>
  <c r="H1881" i="7"/>
  <c r="H1882" i="7"/>
  <c r="H1883" i="7"/>
  <c r="H1884" i="7"/>
  <c r="H1885" i="7"/>
  <c r="H1886" i="7"/>
  <c r="H1888" i="7"/>
  <c r="H1890" i="7"/>
  <c r="H1891" i="7"/>
  <c r="H1892" i="7"/>
  <c r="H1893" i="7"/>
  <c r="H1895" i="7"/>
  <c r="H1896" i="7"/>
  <c r="H1897" i="7"/>
  <c r="H1898" i="7"/>
  <c r="H1902" i="7"/>
  <c r="H1903" i="7"/>
  <c r="H1904" i="7"/>
  <c r="H1905" i="7"/>
  <c r="H1906" i="7"/>
  <c r="H1907" i="7"/>
  <c r="H1908" i="7"/>
  <c r="H1909" i="7"/>
  <c r="H1911" i="7"/>
  <c r="H1913" i="7"/>
  <c r="H1914" i="7"/>
  <c r="H1915" i="7"/>
  <c r="H1916" i="7"/>
  <c r="H1917" i="7"/>
  <c r="H1918" i="7"/>
  <c r="H1919" i="7"/>
  <c r="H1920" i="7"/>
  <c r="H1921" i="7"/>
  <c r="H1922" i="7"/>
  <c r="H1923" i="7"/>
  <c r="H1925" i="7"/>
  <c r="H1926" i="7"/>
  <c r="H1927" i="7"/>
  <c r="H1928" i="7"/>
  <c r="H1929" i="7"/>
  <c r="H1930" i="7"/>
  <c r="H1931" i="7"/>
  <c r="H1932" i="7"/>
  <c r="H1933" i="7"/>
  <c r="H1934" i="7"/>
  <c r="H1936" i="7"/>
  <c r="H1938" i="7"/>
  <c r="H1939" i="7"/>
  <c r="H1940" i="7"/>
  <c r="H1941" i="7"/>
  <c r="H1942" i="7"/>
  <c r="H1943" i="7"/>
  <c r="H1944" i="7"/>
  <c r="H1945" i="7"/>
  <c r="H1947" i="7"/>
  <c r="H1950" i="7"/>
  <c r="H1951" i="7"/>
  <c r="H1952" i="7"/>
  <c r="H1953" i="7"/>
  <c r="H1954" i="7"/>
  <c r="H1955" i="7"/>
  <c r="H1956" i="7"/>
  <c r="H1957" i="7"/>
  <c r="H1962" i="7"/>
  <c r="H1963" i="7"/>
  <c r="H1964" i="7"/>
  <c r="H1965" i="7"/>
  <c r="H1966" i="7"/>
  <c r="H1967" i="7"/>
  <c r="H1968" i="7"/>
  <c r="H1969" i="7"/>
  <c r="H1970" i="7"/>
  <c r="H1971" i="7"/>
  <c r="H1972" i="7"/>
  <c r="H1973" i="7"/>
  <c r="H1974" i="7"/>
  <c r="H1975" i="7"/>
  <c r="H1976" i="7"/>
  <c r="H1977" i="7"/>
  <c r="H1978" i="7"/>
  <c r="H1979" i="7"/>
  <c r="H1980" i="7"/>
  <c r="H1981" i="7"/>
  <c r="H1984" i="7"/>
  <c r="H1986" i="7"/>
  <c r="H1987" i="7"/>
  <c r="H1988" i="7"/>
  <c r="H1989" i="7"/>
  <c r="H1990" i="7"/>
  <c r="H1991" i="7"/>
  <c r="H1992" i="7"/>
  <c r="H1993" i="7"/>
  <c r="H1998" i="7"/>
  <c r="H1999" i="7"/>
  <c r="H2000" i="7"/>
  <c r="H2001" i="7"/>
  <c r="D2" i="5"/>
  <c r="F2" i="5" s="1"/>
  <c r="C2" i="5"/>
  <c r="F3" i="5"/>
  <c r="F4" i="5"/>
  <c r="F5" i="5"/>
  <c r="F6" i="5"/>
  <c r="F7" i="5"/>
  <c r="F8" i="5"/>
  <c r="F9" i="5"/>
  <c r="F10" i="5"/>
  <c r="F11" i="5"/>
  <c r="F12" i="5"/>
  <c r="F13" i="5"/>
  <c r="F14" i="5"/>
  <c r="F15" i="5"/>
  <c r="F16" i="5"/>
  <c r="F17" i="5"/>
  <c r="F18" i="5"/>
  <c r="F19" i="5"/>
  <c r="F20" i="5"/>
  <c r="F21" i="5"/>
  <c r="F22" i="5"/>
  <c r="F23" i="5"/>
  <c r="F24" i="5"/>
  <c r="F25" i="5"/>
  <c r="F26" i="5"/>
  <c r="F27" i="5"/>
  <c r="F28" i="5"/>
  <c r="F29" i="5"/>
  <c r="F30" i="5"/>
  <c r="F31" i="5"/>
  <c r="F32" i="5"/>
  <c r="F33" i="5"/>
  <c r="F34" i="5"/>
  <c r="F35" i="5"/>
  <c r="F36" i="5"/>
  <c r="F37" i="5"/>
  <c r="F38" i="5"/>
  <c r="F39" i="5"/>
  <c r="F40" i="5"/>
  <c r="F41" i="5"/>
  <c r="F42" i="5"/>
  <c r="F43" i="5"/>
  <c r="F44" i="5"/>
  <c r="F45" i="5"/>
  <c r="F46" i="5"/>
  <c r="F47" i="5"/>
  <c r="F48" i="5"/>
  <c r="F49" i="5"/>
  <c r="F50" i="5"/>
  <c r="F51" i="5"/>
  <c r="F52" i="5"/>
  <c r="F53" i="5"/>
  <c r="F54" i="5"/>
  <c r="F55" i="5"/>
  <c r="F56" i="5"/>
  <c r="F57" i="5"/>
  <c r="F58" i="5"/>
  <c r="F59" i="5"/>
  <c r="F60" i="5"/>
  <c r="F61" i="5"/>
  <c r="F62" i="5"/>
  <c r="F63" i="5"/>
  <c r="F64" i="5"/>
  <c r="F65" i="5"/>
  <c r="F66" i="5"/>
  <c r="F67" i="5"/>
  <c r="F68" i="5"/>
  <c r="F69" i="5"/>
  <c r="F70" i="5"/>
  <c r="F71" i="5"/>
  <c r="F72" i="5"/>
  <c r="F73" i="5"/>
  <c r="F74" i="5"/>
  <c r="F75" i="5"/>
  <c r="F76" i="5"/>
  <c r="F77" i="5"/>
  <c r="F78" i="5"/>
  <c r="F79" i="5"/>
  <c r="F80" i="5"/>
  <c r="F81" i="5"/>
  <c r="F82" i="5"/>
  <c r="F83" i="5"/>
  <c r="F84" i="5"/>
  <c r="F85" i="5"/>
  <c r="F86" i="5"/>
  <c r="F87" i="5"/>
  <c r="F88" i="5"/>
  <c r="F89" i="5"/>
  <c r="F90" i="5"/>
  <c r="F91" i="5"/>
  <c r="F92" i="5"/>
  <c r="F93" i="5"/>
  <c r="F94" i="5"/>
  <c r="F95" i="5"/>
  <c r="F96" i="5"/>
  <c r="F97" i="5"/>
  <c r="F98" i="5"/>
  <c r="F99" i="5"/>
  <c r="F100" i="5"/>
  <c r="F101" i="5"/>
  <c r="F102" i="5"/>
  <c r="F103" i="5"/>
  <c r="F104" i="5"/>
  <c r="F105" i="5"/>
  <c r="F106" i="5"/>
  <c r="F107" i="5"/>
  <c r="F108" i="5"/>
  <c r="F109" i="5"/>
  <c r="F110" i="5"/>
  <c r="F111" i="5"/>
  <c r="F112" i="5"/>
  <c r="F113" i="5"/>
  <c r="F114" i="5"/>
  <c r="F115" i="5"/>
  <c r="F116" i="5"/>
  <c r="F117" i="5"/>
  <c r="F118" i="5"/>
  <c r="F119" i="5"/>
  <c r="F120" i="5"/>
  <c r="F121" i="5"/>
  <c r="F122" i="5"/>
  <c r="F123" i="5"/>
  <c r="F124" i="5"/>
  <c r="F125" i="5"/>
  <c r="F126" i="5"/>
  <c r="F127" i="5"/>
  <c r="F128" i="5"/>
  <c r="F129" i="5"/>
  <c r="F130" i="5"/>
  <c r="F131" i="5"/>
  <c r="F132" i="5"/>
  <c r="F133" i="5"/>
  <c r="F134" i="5"/>
  <c r="F135" i="5"/>
  <c r="F136" i="5"/>
  <c r="F137" i="5"/>
  <c r="F138" i="5"/>
  <c r="F139" i="5"/>
  <c r="F140" i="5"/>
  <c r="F141" i="5"/>
  <c r="F142" i="5"/>
  <c r="F143" i="5"/>
  <c r="F144" i="5"/>
  <c r="F145" i="5"/>
  <c r="F146" i="5"/>
  <c r="F147" i="5"/>
  <c r="F148" i="5"/>
  <c r="F149" i="5"/>
  <c r="F150" i="5"/>
  <c r="F151" i="5"/>
  <c r="F152" i="5"/>
  <c r="F153" i="5"/>
  <c r="F154" i="5"/>
  <c r="F155" i="5"/>
  <c r="F156" i="5"/>
  <c r="F157" i="5"/>
  <c r="F158" i="5"/>
  <c r="F159" i="5"/>
  <c r="F160" i="5"/>
  <c r="F161" i="5"/>
  <c r="F162" i="5"/>
  <c r="F163" i="5"/>
  <c r="F164" i="5"/>
  <c r="F165" i="5"/>
  <c r="F166" i="5"/>
  <c r="F167" i="5"/>
  <c r="F168" i="5"/>
  <c r="F169" i="5"/>
  <c r="F170" i="5"/>
  <c r="F171" i="5"/>
  <c r="F172" i="5"/>
  <c r="F173" i="5"/>
  <c r="F174" i="5"/>
  <c r="F175" i="5"/>
  <c r="F176" i="5"/>
  <c r="F177" i="5"/>
  <c r="F178" i="5"/>
  <c r="F179" i="5"/>
  <c r="F180" i="5"/>
  <c r="F181" i="5"/>
  <c r="F182" i="5"/>
  <c r="F183" i="5"/>
  <c r="F184" i="5"/>
  <c r="F185" i="5"/>
  <c r="F186" i="5"/>
  <c r="F187" i="5"/>
  <c r="F188" i="5"/>
  <c r="F189" i="5"/>
  <c r="F190" i="5"/>
  <c r="F191" i="5"/>
  <c r="F192" i="5"/>
  <c r="F193" i="5"/>
  <c r="F194" i="5"/>
  <c r="F195" i="5"/>
  <c r="F196" i="5"/>
  <c r="F197" i="5"/>
  <c r="F198" i="5"/>
  <c r="F199" i="5"/>
  <c r="F200" i="5"/>
  <c r="F201" i="5"/>
  <c r="F202" i="5"/>
  <c r="F203" i="5"/>
  <c r="F204" i="5"/>
  <c r="F205" i="5"/>
  <c r="F206" i="5"/>
  <c r="F207" i="5"/>
  <c r="F208" i="5"/>
  <c r="F209" i="5"/>
  <c r="F210" i="5"/>
  <c r="F211" i="5"/>
  <c r="F212" i="5"/>
  <c r="F213" i="5"/>
  <c r="F214" i="5"/>
  <c r="F215" i="5"/>
  <c r="F216" i="5"/>
  <c r="F217" i="5"/>
  <c r="F218" i="5"/>
  <c r="F219" i="5"/>
  <c r="F220" i="5"/>
  <c r="F221" i="5"/>
  <c r="F222" i="5"/>
  <c r="F223" i="5"/>
  <c r="F224" i="5"/>
  <c r="F225" i="5"/>
  <c r="F226" i="5"/>
  <c r="F227" i="5"/>
  <c r="F228" i="5"/>
  <c r="F229" i="5"/>
  <c r="F230" i="5"/>
  <c r="F231" i="5"/>
  <c r="F232" i="5"/>
  <c r="F233" i="5"/>
  <c r="F234" i="5"/>
  <c r="F235" i="5"/>
  <c r="F236" i="5"/>
  <c r="F237" i="5"/>
  <c r="F238" i="5"/>
  <c r="F239" i="5"/>
  <c r="F240" i="5"/>
  <c r="F241" i="5"/>
  <c r="F242" i="5"/>
  <c r="F243" i="5"/>
  <c r="F244" i="5"/>
  <c r="F245" i="5"/>
  <c r="F246" i="5"/>
  <c r="F247" i="5"/>
  <c r="F248" i="5"/>
  <c r="F249" i="5"/>
  <c r="F250" i="5"/>
  <c r="F251" i="5"/>
  <c r="F252" i="5"/>
  <c r="F253" i="5"/>
  <c r="F254" i="5"/>
  <c r="F255" i="5"/>
  <c r="F256" i="5"/>
  <c r="F257" i="5"/>
  <c r="F258" i="5"/>
  <c r="F259" i="5"/>
  <c r="F260" i="5"/>
  <c r="F261" i="5"/>
  <c r="F262" i="5"/>
  <c r="F263" i="5"/>
  <c r="F264" i="5"/>
  <c r="F265" i="5"/>
  <c r="F266" i="5"/>
  <c r="F267" i="5"/>
  <c r="F268" i="5"/>
  <c r="F269" i="5"/>
  <c r="F270" i="5"/>
  <c r="F271" i="5"/>
  <c r="F272" i="5"/>
  <c r="F273" i="5"/>
  <c r="F274" i="5"/>
  <c r="F275" i="5"/>
  <c r="F276" i="5"/>
  <c r="F277" i="5"/>
  <c r="F278" i="5"/>
  <c r="F279" i="5"/>
  <c r="F280" i="5"/>
  <c r="F281" i="5"/>
  <c r="F282" i="5"/>
  <c r="F283" i="5"/>
  <c r="F284" i="5"/>
  <c r="F285" i="5"/>
  <c r="F286" i="5"/>
  <c r="F287" i="5"/>
  <c r="F288" i="5"/>
  <c r="F289" i="5"/>
  <c r="F290" i="5"/>
  <c r="F291" i="5"/>
  <c r="F292" i="5"/>
  <c r="F293" i="5"/>
  <c r="F294" i="5"/>
  <c r="F295" i="5"/>
  <c r="F296" i="5"/>
  <c r="F297" i="5"/>
  <c r="F298" i="5"/>
  <c r="F299" i="5"/>
  <c r="F300" i="5"/>
  <c r="F301" i="5"/>
  <c r="F302" i="5"/>
  <c r="F303" i="5"/>
  <c r="F304" i="5"/>
  <c r="F305" i="5"/>
  <c r="F306" i="5"/>
  <c r="F307" i="5"/>
  <c r="F308" i="5"/>
  <c r="F309" i="5"/>
  <c r="F310" i="5"/>
  <c r="F311" i="5"/>
  <c r="F312" i="5"/>
  <c r="F313" i="5"/>
  <c r="F314" i="5"/>
  <c r="F315" i="5"/>
  <c r="F316" i="5"/>
  <c r="F317" i="5"/>
  <c r="F318" i="5"/>
  <c r="F319" i="5"/>
  <c r="F320" i="5"/>
  <c r="F321" i="5"/>
  <c r="F322" i="5"/>
  <c r="F323" i="5"/>
  <c r="F324" i="5"/>
  <c r="F325" i="5"/>
  <c r="F326" i="5"/>
  <c r="F327" i="5"/>
  <c r="F328" i="5"/>
  <c r="F329" i="5"/>
  <c r="F330" i="5"/>
  <c r="F331" i="5"/>
  <c r="F332" i="5"/>
  <c r="F333" i="5"/>
  <c r="F334" i="5"/>
  <c r="F335" i="5"/>
  <c r="F336" i="5"/>
  <c r="F337" i="5"/>
  <c r="F338" i="5"/>
  <c r="F339" i="5"/>
  <c r="F340" i="5"/>
  <c r="F341" i="5"/>
  <c r="F342" i="5"/>
  <c r="F343" i="5"/>
  <c r="F344" i="5"/>
  <c r="F345" i="5"/>
  <c r="F346" i="5"/>
  <c r="F347" i="5"/>
  <c r="F348" i="5"/>
  <c r="F349" i="5"/>
  <c r="F350" i="5"/>
  <c r="F351" i="5"/>
  <c r="F352" i="5"/>
  <c r="F353" i="5"/>
  <c r="F354" i="5"/>
  <c r="F355" i="5"/>
  <c r="F356" i="5"/>
  <c r="F357" i="5"/>
  <c r="F358" i="5"/>
  <c r="F359" i="5"/>
  <c r="F360" i="5"/>
  <c r="F361" i="5"/>
  <c r="F362" i="5"/>
  <c r="F363" i="5"/>
  <c r="F364" i="5"/>
  <c r="F365" i="5"/>
  <c r="F366" i="5"/>
  <c r="F367" i="5"/>
  <c r="F368" i="5"/>
  <c r="F369" i="5"/>
  <c r="F370" i="5"/>
  <c r="F371" i="5"/>
  <c r="F372" i="5"/>
  <c r="F373" i="5"/>
  <c r="F374" i="5"/>
  <c r="F375" i="5"/>
  <c r="F376" i="5"/>
  <c r="F377" i="5"/>
  <c r="F378" i="5"/>
  <c r="F379" i="5"/>
  <c r="F380" i="5"/>
  <c r="F381" i="5"/>
  <c r="F382" i="5"/>
  <c r="F383" i="5"/>
  <c r="F384" i="5"/>
  <c r="F385" i="5"/>
  <c r="F386" i="5"/>
  <c r="F387" i="5"/>
  <c r="F388" i="5"/>
  <c r="F389" i="5"/>
  <c r="F390" i="5"/>
  <c r="F391" i="5"/>
  <c r="F392" i="5"/>
  <c r="F393" i="5"/>
  <c r="F394" i="5"/>
  <c r="F395" i="5"/>
  <c r="F396" i="5"/>
  <c r="F397" i="5"/>
  <c r="F398" i="5"/>
  <c r="F399" i="5"/>
  <c r="F400" i="5"/>
  <c r="F401" i="5"/>
  <c r="F402" i="5"/>
  <c r="F403" i="5"/>
  <c r="F404" i="5"/>
  <c r="F405" i="5"/>
  <c r="F406" i="5"/>
  <c r="F407" i="5"/>
  <c r="F408" i="5"/>
  <c r="F409" i="5"/>
  <c r="F410" i="5"/>
  <c r="F411" i="5"/>
  <c r="F412" i="5"/>
  <c r="F413" i="5"/>
  <c r="F414" i="5"/>
  <c r="F415" i="5"/>
  <c r="F416" i="5"/>
  <c r="F417" i="5"/>
  <c r="F418" i="5"/>
  <c r="F419" i="5"/>
  <c r="F420" i="5"/>
  <c r="F421" i="5"/>
  <c r="F422" i="5"/>
  <c r="F423" i="5"/>
  <c r="F424" i="5"/>
  <c r="F425" i="5"/>
  <c r="F426" i="5"/>
  <c r="F427" i="5"/>
  <c r="F428" i="5"/>
  <c r="F429" i="5"/>
  <c r="F430" i="5"/>
  <c r="F431" i="5"/>
  <c r="F432" i="5"/>
  <c r="F433" i="5"/>
  <c r="F434" i="5"/>
  <c r="F435" i="5"/>
  <c r="F436" i="5"/>
  <c r="F437" i="5"/>
  <c r="F438" i="5"/>
  <c r="F439" i="5"/>
  <c r="F440" i="5"/>
  <c r="F441" i="5"/>
  <c r="F442" i="5"/>
  <c r="F443" i="5"/>
  <c r="F444" i="5"/>
  <c r="F445" i="5"/>
  <c r="F446" i="5"/>
  <c r="F447" i="5"/>
  <c r="F448" i="5"/>
  <c r="F449" i="5"/>
  <c r="F450" i="5"/>
  <c r="F451" i="5"/>
  <c r="F452" i="5"/>
  <c r="F453" i="5"/>
  <c r="F454" i="5"/>
  <c r="F455" i="5"/>
  <c r="F456" i="5"/>
  <c r="F457" i="5"/>
  <c r="F458" i="5"/>
  <c r="F459" i="5"/>
  <c r="F460" i="5"/>
  <c r="F461" i="5"/>
  <c r="F462" i="5"/>
  <c r="F463" i="5"/>
  <c r="F464" i="5"/>
  <c r="F465" i="5"/>
  <c r="F466" i="5"/>
  <c r="F467" i="5"/>
  <c r="F468" i="5"/>
  <c r="F469" i="5"/>
  <c r="F470" i="5"/>
  <c r="F471" i="5"/>
  <c r="F472" i="5"/>
  <c r="F473" i="5"/>
  <c r="F474" i="5"/>
  <c r="F475" i="5"/>
  <c r="F476" i="5"/>
  <c r="F477" i="5"/>
  <c r="F478" i="5"/>
  <c r="F479" i="5"/>
  <c r="F480" i="5"/>
  <c r="F481" i="5"/>
  <c r="F482" i="5"/>
  <c r="F483" i="5"/>
  <c r="F484" i="5"/>
  <c r="F485" i="5"/>
  <c r="F486" i="5"/>
  <c r="F487" i="5"/>
  <c r="F488" i="5"/>
  <c r="F489" i="5"/>
  <c r="F490" i="5"/>
  <c r="F491" i="5"/>
  <c r="F492" i="5"/>
  <c r="F493" i="5"/>
  <c r="F494" i="5"/>
  <c r="F495" i="5"/>
  <c r="F496" i="5"/>
  <c r="F497" i="5"/>
  <c r="F498" i="5"/>
  <c r="F499" i="5"/>
  <c r="F500" i="5"/>
  <c r="F501" i="5"/>
  <c r="F502" i="5"/>
  <c r="F503" i="5"/>
  <c r="F504" i="5"/>
  <c r="F505" i="5"/>
  <c r="F506" i="5"/>
  <c r="F507" i="5"/>
  <c r="F508" i="5"/>
  <c r="F509" i="5"/>
  <c r="F510" i="5"/>
  <c r="F511" i="5"/>
  <c r="F512" i="5"/>
  <c r="F513" i="5"/>
  <c r="F514" i="5"/>
  <c r="F515" i="5"/>
  <c r="F516" i="5"/>
  <c r="F517" i="5"/>
  <c r="F518" i="5"/>
  <c r="F519" i="5"/>
  <c r="F520" i="5"/>
  <c r="F521" i="5"/>
  <c r="F522" i="5"/>
  <c r="F523" i="5"/>
  <c r="F524" i="5"/>
  <c r="F525" i="5"/>
  <c r="F526" i="5"/>
  <c r="F527" i="5"/>
  <c r="F528" i="5"/>
  <c r="F529" i="5"/>
  <c r="F530" i="5"/>
  <c r="F531" i="5"/>
  <c r="F532" i="5"/>
  <c r="F533" i="5"/>
  <c r="F534" i="5"/>
  <c r="F535" i="5"/>
  <c r="F536" i="5"/>
  <c r="F537" i="5"/>
  <c r="F538" i="5"/>
  <c r="F539" i="5"/>
  <c r="F540" i="5"/>
  <c r="F541" i="5"/>
  <c r="F542" i="5"/>
  <c r="F543" i="5"/>
  <c r="F544" i="5"/>
  <c r="F545" i="5"/>
  <c r="F546" i="5"/>
  <c r="F547" i="5"/>
  <c r="F548" i="5"/>
  <c r="F549" i="5"/>
  <c r="F550" i="5"/>
  <c r="F551" i="5"/>
  <c r="F552" i="5"/>
  <c r="F553" i="5"/>
  <c r="F554" i="5"/>
  <c r="F555" i="5"/>
  <c r="F556" i="5"/>
  <c r="F557" i="5"/>
  <c r="F558" i="5"/>
  <c r="F559" i="5"/>
  <c r="F560" i="5"/>
  <c r="F561" i="5"/>
  <c r="F562" i="5"/>
  <c r="F563" i="5"/>
  <c r="F564" i="5"/>
  <c r="F565" i="5"/>
  <c r="F566" i="5"/>
  <c r="F567" i="5"/>
  <c r="F568" i="5"/>
  <c r="F569" i="5"/>
  <c r="F570" i="5"/>
  <c r="F571" i="5"/>
  <c r="F572" i="5"/>
  <c r="F573" i="5"/>
  <c r="F574" i="5"/>
  <c r="F575" i="5"/>
  <c r="F576" i="5"/>
  <c r="F577" i="5"/>
  <c r="F578" i="5"/>
  <c r="F579" i="5"/>
  <c r="F580" i="5"/>
  <c r="F581" i="5"/>
  <c r="F582" i="5"/>
  <c r="F583" i="5"/>
  <c r="F584" i="5"/>
  <c r="F585" i="5"/>
  <c r="F586" i="5"/>
  <c r="F587" i="5"/>
  <c r="F588" i="5"/>
  <c r="F589" i="5"/>
  <c r="F590" i="5"/>
  <c r="F591" i="5"/>
  <c r="F592" i="5"/>
  <c r="F593" i="5"/>
  <c r="F594" i="5"/>
  <c r="F595" i="5"/>
  <c r="F596" i="5"/>
  <c r="F597" i="5"/>
  <c r="F598" i="5"/>
  <c r="F599" i="5"/>
  <c r="F600" i="5"/>
  <c r="F601" i="5"/>
  <c r="F602" i="5"/>
  <c r="F603" i="5"/>
  <c r="F604" i="5"/>
  <c r="F605" i="5"/>
  <c r="F606" i="5"/>
  <c r="F607" i="5"/>
  <c r="F608" i="5"/>
  <c r="F609" i="5"/>
  <c r="F610" i="5"/>
  <c r="F611" i="5"/>
  <c r="F612" i="5"/>
  <c r="F613" i="5"/>
  <c r="F614" i="5"/>
  <c r="F615" i="5"/>
  <c r="F616" i="5"/>
  <c r="F617" i="5"/>
  <c r="F618" i="5"/>
  <c r="F619" i="5"/>
  <c r="F620" i="5"/>
  <c r="F621" i="5"/>
  <c r="F622" i="5"/>
  <c r="F623" i="5"/>
  <c r="F624" i="5"/>
  <c r="F625" i="5"/>
  <c r="F626" i="5"/>
  <c r="F627" i="5"/>
  <c r="F628" i="5"/>
  <c r="F629" i="5"/>
  <c r="F630" i="5"/>
  <c r="F631" i="5"/>
  <c r="F632" i="5"/>
  <c r="F633" i="5"/>
  <c r="F634" i="5"/>
  <c r="F635" i="5"/>
  <c r="F636" i="5"/>
  <c r="F637" i="5"/>
  <c r="F638" i="5"/>
  <c r="F639" i="5"/>
  <c r="F640" i="5"/>
  <c r="F641" i="5"/>
  <c r="F642" i="5"/>
  <c r="F643" i="5"/>
  <c r="F644" i="5"/>
  <c r="F645" i="5"/>
  <c r="F646" i="5"/>
  <c r="F647" i="5"/>
  <c r="F648" i="5"/>
  <c r="F649" i="5"/>
  <c r="F650" i="5"/>
  <c r="F651" i="5"/>
  <c r="F652" i="5"/>
  <c r="F653" i="5"/>
  <c r="F654" i="5"/>
  <c r="F655" i="5"/>
  <c r="F656" i="5"/>
  <c r="F657" i="5"/>
  <c r="F658" i="5"/>
  <c r="F659" i="5"/>
  <c r="F660" i="5"/>
  <c r="F661" i="5"/>
  <c r="F662" i="5"/>
  <c r="F663" i="5"/>
  <c r="F664" i="5"/>
  <c r="F665" i="5"/>
  <c r="F666" i="5"/>
  <c r="F667" i="5"/>
  <c r="F668" i="5"/>
  <c r="F669" i="5"/>
  <c r="F670" i="5"/>
  <c r="F671" i="5"/>
  <c r="F672" i="5"/>
  <c r="F673" i="5"/>
  <c r="F674" i="5"/>
  <c r="F675" i="5"/>
  <c r="F676" i="5"/>
  <c r="F677" i="5"/>
  <c r="F678" i="5"/>
  <c r="F679" i="5"/>
  <c r="F680" i="5"/>
  <c r="F681" i="5"/>
  <c r="F682" i="5"/>
  <c r="F683" i="5"/>
  <c r="F684" i="5"/>
  <c r="F685" i="5"/>
  <c r="F686" i="5"/>
  <c r="F687" i="5"/>
  <c r="F688" i="5"/>
  <c r="F689" i="5"/>
  <c r="F690" i="5"/>
  <c r="F691" i="5"/>
  <c r="F692" i="5"/>
  <c r="F693" i="5"/>
  <c r="F694" i="5"/>
  <c r="F695" i="5"/>
  <c r="F696" i="5"/>
  <c r="F697" i="5"/>
  <c r="F698" i="5"/>
  <c r="F699" i="5"/>
  <c r="F700" i="5"/>
  <c r="F701" i="5"/>
  <c r="F702" i="5"/>
  <c r="F703" i="5"/>
  <c r="F704" i="5"/>
  <c r="F705" i="5"/>
  <c r="F706" i="5"/>
  <c r="F707" i="5"/>
  <c r="F708" i="5"/>
  <c r="F709" i="5"/>
  <c r="F710" i="5"/>
  <c r="F711" i="5"/>
  <c r="F712" i="5"/>
  <c r="F713" i="5"/>
  <c r="F714" i="5"/>
  <c r="F715" i="5"/>
  <c r="F716" i="5"/>
  <c r="F717" i="5"/>
  <c r="F718" i="5"/>
  <c r="F719" i="5"/>
  <c r="F720" i="5"/>
  <c r="F721" i="5"/>
  <c r="F722" i="5"/>
  <c r="F723" i="5"/>
  <c r="F724" i="5"/>
  <c r="F725" i="5"/>
  <c r="F726" i="5"/>
  <c r="F727" i="5"/>
  <c r="F728" i="5"/>
  <c r="F729" i="5"/>
  <c r="F730" i="5"/>
  <c r="F731" i="5"/>
  <c r="F732" i="5"/>
  <c r="F733" i="5"/>
  <c r="F734" i="5"/>
  <c r="F735" i="5"/>
  <c r="F736" i="5"/>
  <c r="F737" i="5"/>
  <c r="F738" i="5"/>
  <c r="F739" i="5"/>
  <c r="F740" i="5"/>
  <c r="F741" i="5"/>
  <c r="F742" i="5"/>
  <c r="F743" i="5"/>
  <c r="F744" i="5"/>
  <c r="F745" i="5"/>
  <c r="F746" i="5"/>
  <c r="F747" i="5"/>
  <c r="F748" i="5"/>
  <c r="F749" i="5"/>
  <c r="F750" i="5"/>
  <c r="F751" i="5"/>
  <c r="F752" i="5"/>
  <c r="F753" i="5"/>
  <c r="F754" i="5"/>
  <c r="F755" i="5"/>
  <c r="F756" i="5"/>
  <c r="F757" i="5"/>
  <c r="F758" i="5"/>
  <c r="F759" i="5"/>
  <c r="F760" i="5"/>
  <c r="F761" i="5"/>
  <c r="F762" i="5"/>
  <c r="F763" i="5"/>
  <c r="F764" i="5"/>
  <c r="F765" i="5"/>
  <c r="F766" i="5"/>
  <c r="F767" i="5"/>
  <c r="F768" i="5"/>
  <c r="F769" i="5"/>
  <c r="F770" i="5"/>
  <c r="F771" i="5"/>
  <c r="F772" i="5"/>
  <c r="F773" i="5"/>
  <c r="F774" i="5"/>
  <c r="F775" i="5"/>
  <c r="F776" i="5"/>
  <c r="F777" i="5"/>
  <c r="F778" i="5"/>
  <c r="F779" i="5"/>
  <c r="F780" i="5"/>
  <c r="F781" i="5"/>
  <c r="F782" i="5"/>
  <c r="F783" i="5"/>
  <c r="F784" i="5"/>
  <c r="F785" i="5"/>
  <c r="F786" i="5"/>
  <c r="F787" i="5"/>
  <c r="F788" i="5"/>
  <c r="F789" i="5"/>
  <c r="F790" i="5"/>
  <c r="F791" i="5"/>
  <c r="F792" i="5"/>
  <c r="F793" i="5"/>
  <c r="F794" i="5"/>
  <c r="F795" i="5"/>
  <c r="F796" i="5"/>
  <c r="F797" i="5"/>
  <c r="F798" i="5"/>
  <c r="F799" i="5"/>
  <c r="F800" i="5"/>
  <c r="F801" i="5"/>
  <c r="F802" i="5"/>
  <c r="F803" i="5"/>
  <c r="F804" i="5"/>
  <c r="F805" i="5"/>
  <c r="F806" i="5"/>
  <c r="F807" i="5"/>
  <c r="F808" i="5"/>
  <c r="F809" i="5"/>
  <c r="F810" i="5"/>
  <c r="F811" i="5"/>
  <c r="F812" i="5"/>
  <c r="F813" i="5"/>
  <c r="F814" i="5"/>
  <c r="F815" i="5"/>
  <c r="F816" i="5"/>
  <c r="F817" i="5"/>
  <c r="F818" i="5"/>
  <c r="F819" i="5"/>
  <c r="F820" i="5"/>
  <c r="F821" i="5"/>
  <c r="F822" i="5"/>
  <c r="F823" i="5"/>
  <c r="F824" i="5"/>
  <c r="F825" i="5"/>
  <c r="F826" i="5"/>
  <c r="F827" i="5"/>
  <c r="F828" i="5"/>
  <c r="F829" i="5"/>
  <c r="F830" i="5"/>
  <c r="F831" i="5"/>
  <c r="F832" i="5"/>
  <c r="F833" i="5"/>
  <c r="F834" i="5"/>
  <c r="F835" i="5"/>
  <c r="F836" i="5"/>
  <c r="F837" i="5"/>
  <c r="F838" i="5"/>
  <c r="F839" i="5"/>
  <c r="F840" i="5"/>
  <c r="F841" i="5"/>
  <c r="F842" i="5"/>
  <c r="F843" i="5"/>
  <c r="F844" i="5"/>
  <c r="F845" i="5"/>
  <c r="F846" i="5"/>
  <c r="F847" i="5"/>
  <c r="F848" i="5"/>
  <c r="F849" i="5"/>
  <c r="F850" i="5"/>
  <c r="F851" i="5"/>
  <c r="F852" i="5"/>
  <c r="F853" i="5"/>
  <c r="F854" i="5"/>
  <c r="F855" i="5"/>
  <c r="F856" i="5"/>
  <c r="F857" i="5"/>
  <c r="F858" i="5"/>
  <c r="F859" i="5"/>
  <c r="F860" i="5"/>
  <c r="F861" i="5"/>
  <c r="F862" i="5"/>
  <c r="F863" i="5"/>
  <c r="F864" i="5"/>
  <c r="F865" i="5"/>
  <c r="F866" i="5"/>
  <c r="F867" i="5"/>
  <c r="F868" i="5"/>
  <c r="F869" i="5"/>
  <c r="F870" i="5"/>
  <c r="F871" i="5"/>
  <c r="F872" i="5"/>
  <c r="F873" i="5"/>
  <c r="F874" i="5"/>
  <c r="F875" i="5"/>
  <c r="F876" i="5"/>
  <c r="F877" i="5"/>
  <c r="F878" i="5"/>
  <c r="F879" i="5"/>
  <c r="F880" i="5"/>
  <c r="F881" i="5"/>
  <c r="F882" i="5"/>
  <c r="F883" i="5"/>
  <c r="F884" i="5"/>
  <c r="F885" i="5"/>
  <c r="F886" i="5"/>
  <c r="F887" i="5"/>
  <c r="F888" i="5"/>
  <c r="F889" i="5"/>
  <c r="F890" i="5"/>
  <c r="F891" i="5"/>
  <c r="F892" i="5"/>
  <c r="F893" i="5"/>
  <c r="F894" i="5"/>
  <c r="F895" i="5"/>
  <c r="F896" i="5"/>
  <c r="F897" i="5"/>
  <c r="F898" i="5"/>
  <c r="F899" i="5"/>
  <c r="F900" i="5"/>
  <c r="F901" i="5"/>
  <c r="F902" i="5"/>
  <c r="F903" i="5"/>
  <c r="F904" i="5"/>
  <c r="F905" i="5"/>
  <c r="F906" i="5"/>
  <c r="F907" i="5"/>
  <c r="F908" i="5"/>
  <c r="F909" i="5"/>
  <c r="F910" i="5"/>
  <c r="F911" i="5"/>
  <c r="F912" i="5"/>
  <c r="F913" i="5"/>
  <c r="F914" i="5"/>
  <c r="F915" i="5"/>
  <c r="F916" i="5"/>
  <c r="F917" i="5"/>
  <c r="F918" i="5"/>
  <c r="F919" i="5"/>
  <c r="F920" i="5"/>
  <c r="F921" i="5"/>
  <c r="F922" i="5"/>
  <c r="F923" i="5"/>
  <c r="F924" i="5"/>
  <c r="F925" i="5"/>
  <c r="F926" i="5"/>
  <c r="F927" i="5"/>
  <c r="F928" i="5"/>
  <c r="F929" i="5"/>
  <c r="F930" i="5"/>
  <c r="F931" i="5"/>
  <c r="F932" i="5"/>
  <c r="F933" i="5"/>
  <c r="F934" i="5"/>
  <c r="F935" i="5"/>
  <c r="F936" i="5"/>
  <c r="F937" i="5"/>
  <c r="F938" i="5"/>
  <c r="F939" i="5"/>
  <c r="F940" i="5"/>
  <c r="F941" i="5"/>
  <c r="F942" i="5"/>
  <c r="F943" i="5"/>
  <c r="F944" i="5"/>
  <c r="F945" i="5"/>
  <c r="F946" i="5"/>
  <c r="F947" i="5"/>
  <c r="F948" i="5"/>
  <c r="F949" i="5"/>
  <c r="F950" i="5"/>
  <c r="F951" i="5"/>
  <c r="F952" i="5"/>
  <c r="F953" i="5"/>
  <c r="F954" i="5"/>
  <c r="F955" i="5"/>
  <c r="F956" i="5"/>
  <c r="F957" i="5"/>
  <c r="F958" i="5"/>
  <c r="F959" i="5"/>
  <c r="F960" i="5"/>
  <c r="F961" i="5"/>
  <c r="F962" i="5"/>
  <c r="F963" i="5"/>
  <c r="F964" i="5"/>
  <c r="F965" i="5"/>
  <c r="F966" i="5"/>
  <c r="F967" i="5"/>
  <c r="F968" i="5"/>
  <c r="F969" i="5"/>
  <c r="F970" i="5"/>
  <c r="F971" i="5"/>
  <c r="F972" i="5"/>
  <c r="F973" i="5"/>
  <c r="F974" i="5"/>
  <c r="F975" i="5"/>
  <c r="F976" i="5"/>
  <c r="F977" i="5"/>
  <c r="F978" i="5"/>
  <c r="F979" i="5"/>
  <c r="F980" i="5"/>
  <c r="F981" i="5"/>
  <c r="F982" i="5"/>
  <c r="F983" i="5"/>
  <c r="F984" i="5"/>
  <c r="F985" i="5"/>
  <c r="F986" i="5"/>
  <c r="F987" i="5"/>
  <c r="F988" i="5"/>
  <c r="F989" i="5"/>
  <c r="F990" i="5"/>
  <c r="F991" i="5"/>
  <c r="F992" i="5"/>
  <c r="F993" i="5"/>
  <c r="F994" i="5"/>
  <c r="F995" i="5"/>
  <c r="F996" i="5"/>
  <c r="F997" i="5"/>
  <c r="F998" i="5"/>
  <c r="F999" i="5"/>
  <c r="F1000" i="5"/>
  <c r="F1001" i="5"/>
  <c r="F1002" i="5"/>
  <c r="F1003" i="5"/>
  <c r="F1004" i="5"/>
  <c r="F1005" i="5"/>
  <c r="F1006" i="5"/>
  <c r="F1007" i="5"/>
  <c r="F1008" i="5"/>
  <c r="F1009" i="5"/>
  <c r="F1010" i="5"/>
  <c r="F1011" i="5"/>
  <c r="F1012" i="5"/>
  <c r="F1013" i="5"/>
  <c r="F1014" i="5"/>
  <c r="F1015" i="5"/>
  <c r="F1016" i="5"/>
  <c r="F1017" i="5"/>
  <c r="F1018" i="5"/>
  <c r="F1019" i="5"/>
  <c r="F1020" i="5"/>
  <c r="F1021" i="5"/>
  <c r="F1022" i="5"/>
  <c r="F1023" i="5"/>
  <c r="F1024" i="5"/>
  <c r="F1025" i="5"/>
  <c r="F1026" i="5"/>
  <c r="F1027" i="5"/>
  <c r="F1028" i="5"/>
  <c r="F1029" i="5"/>
  <c r="F1030" i="5"/>
  <c r="F1031" i="5"/>
  <c r="F1032" i="5"/>
  <c r="F1033" i="5"/>
  <c r="F1034" i="5"/>
  <c r="F1035" i="5"/>
  <c r="F1036" i="5"/>
  <c r="F1037" i="5"/>
  <c r="F1038" i="5"/>
  <c r="F1039" i="5"/>
  <c r="F1040" i="5"/>
  <c r="F1041" i="5"/>
  <c r="F1042" i="5"/>
  <c r="F1043" i="5"/>
  <c r="F1044" i="5"/>
  <c r="F1045" i="5"/>
  <c r="F1046" i="5"/>
  <c r="F1047" i="5"/>
  <c r="F1048" i="5"/>
  <c r="F1049" i="5"/>
  <c r="F1050" i="5"/>
  <c r="F1051" i="5"/>
  <c r="F1052" i="5"/>
  <c r="F1053" i="5"/>
  <c r="F1054" i="5"/>
  <c r="F1055" i="5"/>
  <c r="F1056" i="5"/>
  <c r="F1057" i="5"/>
  <c r="F1058" i="5"/>
  <c r="F1059" i="5"/>
  <c r="F1060" i="5"/>
  <c r="F1061" i="5"/>
  <c r="F1062" i="5"/>
  <c r="F1063" i="5"/>
  <c r="F1064" i="5"/>
  <c r="F1065" i="5"/>
  <c r="F1066" i="5"/>
  <c r="F1067" i="5"/>
  <c r="F1068" i="5"/>
  <c r="F1069" i="5"/>
  <c r="F1070" i="5"/>
  <c r="F1071" i="5"/>
  <c r="F1072" i="5"/>
  <c r="F1073" i="5"/>
  <c r="F1074" i="5"/>
  <c r="F1075" i="5"/>
  <c r="F1076" i="5"/>
  <c r="F1077" i="5"/>
  <c r="F1078" i="5"/>
  <c r="F1079" i="5"/>
  <c r="F1080" i="5"/>
  <c r="F1081" i="5"/>
  <c r="F1082" i="5"/>
  <c r="F1083" i="5"/>
  <c r="F1084" i="5"/>
  <c r="F1085" i="5"/>
  <c r="F1086" i="5"/>
  <c r="F1087" i="5"/>
  <c r="F1088" i="5"/>
  <c r="F1089" i="5"/>
  <c r="F1090" i="5"/>
  <c r="F1091" i="5"/>
  <c r="F1092" i="5"/>
  <c r="F1093" i="5"/>
  <c r="F1094" i="5"/>
  <c r="F1095" i="5"/>
  <c r="F1096" i="5"/>
  <c r="F1097" i="5"/>
  <c r="F1098" i="5"/>
  <c r="F1099" i="5"/>
  <c r="F1100" i="5"/>
  <c r="F1101" i="5"/>
  <c r="F1102" i="5"/>
  <c r="F1103" i="5"/>
  <c r="F1104" i="5"/>
  <c r="F1105" i="5"/>
  <c r="F1106" i="5"/>
  <c r="F1107" i="5"/>
  <c r="F1108" i="5"/>
  <c r="F1109" i="5"/>
  <c r="F1110" i="5"/>
  <c r="F1111" i="5"/>
  <c r="F1112" i="5"/>
  <c r="F1113" i="5"/>
  <c r="F1114" i="5"/>
  <c r="F1115" i="5"/>
  <c r="F1116" i="5"/>
  <c r="F1117" i="5"/>
  <c r="F1118" i="5"/>
  <c r="F1119" i="5"/>
  <c r="F1120" i="5"/>
  <c r="F1121" i="5"/>
  <c r="F1122" i="5"/>
  <c r="F1123" i="5"/>
  <c r="F1124" i="5"/>
  <c r="F1125" i="5"/>
  <c r="F1126" i="5"/>
  <c r="F1127" i="5"/>
  <c r="F1128" i="5"/>
  <c r="F1129" i="5"/>
  <c r="F1130" i="5"/>
  <c r="F1131" i="5"/>
  <c r="F1132" i="5"/>
  <c r="F1133" i="5"/>
  <c r="F1134" i="5"/>
  <c r="F1135" i="5"/>
  <c r="F1136" i="5"/>
  <c r="F1137" i="5"/>
  <c r="F1138" i="5"/>
  <c r="F1139" i="5"/>
  <c r="F1140" i="5"/>
  <c r="F1141" i="5"/>
  <c r="F1142" i="5"/>
  <c r="F1143" i="5"/>
  <c r="F1144" i="5"/>
  <c r="F1145" i="5"/>
  <c r="F1146" i="5"/>
  <c r="F1147" i="5"/>
  <c r="F1148" i="5"/>
  <c r="F1149" i="5"/>
  <c r="F1150" i="5"/>
  <c r="F1151" i="5"/>
  <c r="F1152" i="5"/>
  <c r="F1153" i="5"/>
  <c r="F1154" i="5"/>
  <c r="F1155" i="5"/>
  <c r="F1156" i="5"/>
  <c r="F1157" i="5"/>
  <c r="F1158" i="5"/>
  <c r="F1159" i="5"/>
  <c r="F1160" i="5"/>
  <c r="F1161" i="5"/>
  <c r="F1162" i="5"/>
  <c r="F1163" i="5"/>
  <c r="F1164" i="5"/>
  <c r="F1165" i="5"/>
  <c r="F1166" i="5"/>
  <c r="F1167" i="5"/>
  <c r="F1168" i="5"/>
  <c r="F1169" i="5"/>
  <c r="F1170" i="5"/>
  <c r="F1171" i="5"/>
  <c r="F1172" i="5"/>
  <c r="F1173" i="5"/>
  <c r="F1174" i="5"/>
  <c r="F1175" i="5"/>
  <c r="F1176" i="5"/>
  <c r="F1177" i="5"/>
  <c r="F1178" i="5"/>
  <c r="F1179" i="5"/>
  <c r="F1180" i="5"/>
  <c r="F1181" i="5"/>
  <c r="F1182" i="5"/>
  <c r="F1183" i="5"/>
  <c r="F1184" i="5"/>
  <c r="F1185" i="5"/>
  <c r="F1186" i="5"/>
  <c r="F1187" i="5"/>
  <c r="F1188" i="5"/>
  <c r="F1189" i="5"/>
  <c r="F1190" i="5"/>
  <c r="F1191" i="5"/>
  <c r="F1192" i="5"/>
  <c r="F1193" i="5"/>
  <c r="F1194" i="5"/>
  <c r="F1195" i="5"/>
  <c r="F1196" i="5"/>
  <c r="F1197" i="5"/>
  <c r="F1198" i="5"/>
  <c r="F1199" i="5"/>
  <c r="F1200" i="5"/>
  <c r="F1201" i="5"/>
  <c r="F1202" i="5"/>
  <c r="F1203" i="5"/>
  <c r="F1204" i="5"/>
  <c r="F1205" i="5"/>
  <c r="F1206" i="5"/>
  <c r="F1207" i="5"/>
  <c r="F1208" i="5"/>
  <c r="F1209" i="5"/>
  <c r="F1210" i="5"/>
  <c r="F1211" i="5"/>
  <c r="F1212" i="5"/>
  <c r="F1213" i="5"/>
  <c r="F1214" i="5"/>
  <c r="F1215" i="5"/>
  <c r="F1216" i="5"/>
  <c r="F1217" i="5"/>
  <c r="F1218" i="5"/>
  <c r="F1219" i="5"/>
  <c r="F1220" i="5"/>
  <c r="F1221" i="5"/>
  <c r="F1222" i="5"/>
  <c r="F1223" i="5"/>
  <c r="F1224" i="5"/>
  <c r="F1225" i="5"/>
  <c r="F1226" i="5"/>
  <c r="F1227" i="5"/>
  <c r="F1228" i="5"/>
  <c r="F1229" i="5"/>
  <c r="F1230" i="5"/>
  <c r="F1231" i="5"/>
  <c r="F1232" i="5"/>
  <c r="F1233" i="5"/>
  <c r="F1234" i="5"/>
  <c r="F1235" i="5"/>
  <c r="F1236" i="5"/>
  <c r="F1237" i="5"/>
  <c r="F1238" i="5"/>
  <c r="F1239" i="5"/>
  <c r="F1240" i="5"/>
  <c r="F1241" i="5"/>
  <c r="F1242" i="5"/>
  <c r="F1243" i="5"/>
  <c r="F1244" i="5"/>
  <c r="F1245" i="5"/>
  <c r="F1246" i="5"/>
  <c r="F1247" i="5"/>
  <c r="F1248" i="5"/>
  <c r="F1249" i="5"/>
  <c r="F1250" i="5"/>
  <c r="F1251" i="5"/>
  <c r="F1252" i="5"/>
  <c r="F1253" i="5"/>
  <c r="F1254" i="5"/>
  <c r="F1255" i="5"/>
  <c r="F1256" i="5"/>
  <c r="F1257" i="5"/>
  <c r="F1258" i="5"/>
  <c r="F1259" i="5"/>
  <c r="F1260" i="5"/>
  <c r="F1261" i="5"/>
  <c r="F1262" i="5"/>
  <c r="F1263" i="5"/>
  <c r="F1264" i="5"/>
  <c r="F1265" i="5"/>
  <c r="F1266" i="5"/>
  <c r="F1267" i="5"/>
  <c r="F1268" i="5"/>
  <c r="F1269" i="5"/>
  <c r="F1270" i="5"/>
  <c r="F1271" i="5"/>
  <c r="F1272" i="5"/>
  <c r="F1273" i="5"/>
  <c r="F1274" i="5"/>
  <c r="F1275" i="5"/>
  <c r="F1276" i="5"/>
  <c r="F1277" i="5"/>
  <c r="F1278" i="5"/>
  <c r="F1279" i="5"/>
  <c r="F1280" i="5"/>
  <c r="F1281" i="5"/>
  <c r="F1282" i="5"/>
  <c r="F1283" i="5"/>
  <c r="F1284" i="5"/>
  <c r="F1285" i="5"/>
  <c r="F1286" i="5"/>
  <c r="F1287" i="5"/>
  <c r="F1288" i="5"/>
  <c r="F1289" i="5"/>
  <c r="F1290" i="5"/>
  <c r="F1291" i="5"/>
  <c r="F1292" i="5"/>
  <c r="F1293" i="5"/>
  <c r="F1294" i="5"/>
  <c r="F1295" i="5"/>
  <c r="F1296" i="5"/>
  <c r="F1297" i="5"/>
  <c r="F1298" i="5"/>
  <c r="F1299" i="5"/>
  <c r="F1300" i="5"/>
  <c r="F1301" i="5"/>
  <c r="F1302" i="5"/>
  <c r="F1303" i="5"/>
  <c r="F1304" i="5"/>
  <c r="F1305" i="5"/>
  <c r="F1306" i="5"/>
  <c r="F1307" i="5"/>
  <c r="F1308" i="5"/>
  <c r="F1309" i="5"/>
  <c r="F1310" i="5"/>
  <c r="F1311" i="5"/>
  <c r="F1312" i="5"/>
  <c r="F1313" i="5"/>
  <c r="F1314" i="5"/>
  <c r="F1315" i="5"/>
  <c r="F1316" i="5"/>
  <c r="F1317" i="5"/>
  <c r="F1318" i="5"/>
  <c r="F1319" i="5"/>
  <c r="F1320" i="5"/>
  <c r="F1321" i="5"/>
  <c r="F1322" i="5"/>
  <c r="F1323" i="5"/>
  <c r="F1324" i="5"/>
  <c r="F1325" i="5"/>
  <c r="F1326" i="5"/>
  <c r="F1327" i="5"/>
  <c r="F1328" i="5"/>
  <c r="F1329" i="5"/>
  <c r="F1330" i="5"/>
  <c r="F1331" i="5"/>
  <c r="F1332" i="5"/>
  <c r="F1333" i="5"/>
  <c r="F1334" i="5"/>
  <c r="F1335" i="5"/>
  <c r="F1336" i="5"/>
  <c r="F1337" i="5"/>
  <c r="F1338" i="5"/>
  <c r="F1339" i="5"/>
  <c r="F1340" i="5"/>
  <c r="F1341" i="5"/>
  <c r="F1342" i="5"/>
  <c r="F1343" i="5"/>
  <c r="F1344" i="5"/>
  <c r="F1345" i="5"/>
  <c r="F1346" i="5"/>
  <c r="F1347" i="5"/>
  <c r="F1348" i="5"/>
  <c r="F1349" i="5"/>
  <c r="F1350" i="5"/>
  <c r="F1351" i="5"/>
  <c r="F1352" i="5"/>
  <c r="F1353" i="5"/>
  <c r="F1354" i="5"/>
  <c r="F1355" i="5"/>
  <c r="F1356" i="5"/>
  <c r="F1357" i="5"/>
  <c r="F1358" i="5"/>
  <c r="F1359" i="5"/>
  <c r="F1360" i="5"/>
  <c r="F1361" i="5"/>
  <c r="F1362" i="5"/>
  <c r="F1363" i="5"/>
  <c r="F1364" i="5"/>
  <c r="F1365" i="5"/>
  <c r="F1366" i="5"/>
  <c r="F1367" i="5"/>
  <c r="F1368" i="5"/>
  <c r="F1369" i="5"/>
  <c r="F1370" i="5"/>
  <c r="F1371" i="5"/>
  <c r="F1372" i="5"/>
  <c r="F1373" i="5"/>
  <c r="F1374" i="5"/>
  <c r="F1375" i="5"/>
  <c r="F1376" i="5"/>
  <c r="F1377" i="5"/>
  <c r="F1378" i="5"/>
  <c r="F1379" i="5"/>
  <c r="F1380" i="5"/>
  <c r="F1381" i="5"/>
  <c r="F1382" i="5"/>
  <c r="F1383" i="5"/>
  <c r="F1384" i="5"/>
  <c r="F1385" i="5"/>
  <c r="F1386" i="5"/>
  <c r="F1387" i="5"/>
  <c r="F1388" i="5"/>
  <c r="F1389" i="5"/>
  <c r="F1390" i="5"/>
  <c r="F1391" i="5"/>
  <c r="F1392" i="5"/>
  <c r="F1393" i="5"/>
  <c r="F1394" i="5"/>
  <c r="F1395" i="5"/>
  <c r="F1396" i="5"/>
  <c r="F1397" i="5"/>
  <c r="F1398" i="5"/>
  <c r="F1399" i="5"/>
  <c r="F1400" i="5"/>
  <c r="F1401" i="5"/>
  <c r="F1402" i="5"/>
  <c r="F1403" i="5"/>
  <c r="F1404" i="5"/>
  <c r="F1405" i="5"/>
  <c r="F1406" i="5"/>
  <c r="F1407" i="5"/>
  <c r="F1408" i="5"/>
  <c r="F1409" i="5"/>
  <c r="F1410" i="5"/>
  <c r="F1411" i="5"/>
  <c r="F1412" i="5"/>
  <c r="F1413" i="5"/>
  <c r="F1414" i="5"/>
  <c r="F1415" i="5"/>
  <c r="F1416" i="5"/>
  <c r="F1417" i="5"/>
  <c r="F1418" i="5"/>
  <c r="F1419" i="5"/>
  <c r="F1420" i="5"/>
  <c r="F1421" i="5"/>
  <c r="F1422" i="5"/>
  <c r="F1423" i="5"/>
  <c r="F1424" i="5"/>
  <c r="F1425" i="5"/>
  <c r="F1426" i="5"/>
  <c r="F1427" i="5"/>
  <c r="F1428" i="5"/>
  <c r="F1429" i="5"/>
  <c r="F1430" i="5"/>
  <c r="F1431" i="5"/>
  <c r="F1432" i="5"/>
  <c r="F1433" i="5"/>
  <c r="F1434" i="5"/>
  <c r="F1435" i="5"/>
  <c r="F1436" i="5"/>
  <c r="F1437" i="5"/>
  <c r="F1438" i="5"/>
  <c r="F1439" i="5"/>
  <c r="F1440" i="5"/>
  <c r="F1441" i="5"/>
  <c r="F1442" i="5"/>
  <c r="F1443" i="5"/>
  <c r="F1444" i="5"/>
  <c r="F1445" i="5"/>
  <c r="F1446" i="5"/>
  <c r="F1447" i="5"/>
  <c r="F1448" i="5"/>
  <c r="F1449" i="5"/>
  <c r="F1450" i="5"/>
  <c r="F1451" i="5"/>
  <c r="F1452" i="5"/>
  <c r="F1453" i="5"/>
  <c r="F1454" i="5"/>
  <c r="F1455" i="5"/>
  <c r="F1456" i="5"/>
  <c r="F1457" i="5"/>
  <c r="F1458" i="5"/>
  <c r="F1459" i="5"/>
  <c r="F1460" i="5"/>
  <c r="F1461" i="5"/>
  <c r="F1462" i="5"/>
  <c r="F1463" i="5"/>
  <c r="F1464" i="5"/>
  <c r="F1465" i="5"/>
  <c r="F1466" i="5"/>
  <c r="F1467" i="5"/>
  <c r="F1468" i="5"/>
  <c r="F1469" i="5"/>
  <c r="F1470" i="5"/>
  <c r="F1471" i="5"/>
  <c r="F1472" i="5"/>
  <c r="F1473" i="5"/>
  <c r="F1474" i="5"/>
  <c r="F1475" i="5"/>
  <c r="F1476" i="5"/>
  <c r="F1477" i="5"/>
  <c r="F1478" i="5"/>
  <c r="F1479" i="5"/>
  <c r="F1480" i="5"/>
  <c r="F1481" i="5"/>
  <c r="F1482" i="5"/>
  <c r="F1483" i="5"/>
  <c r="F1484" i="5"/>
  <c r="F1485" i="5"/>
  <c r="F1486" i="5"/>
  <c r="F1487" i="5"/>
  <c r="F1488" i="5"/>
  <c r="F1489" i="5"/>
  <c r="F1490" i="5"/>
  <c r="F1491" i="5"/>
  <c r="F1492" i="5"/>
  <c r="F1493" i="5"/>
  <c r="F1494" i="5"/>
  <c r="F1495" i="5"/>
  <c r="F1496" i="5"/>
  <c r="F1497" i="5"/>
  <c r="F1498" i="5"/>
  <c r="F1499" i="5"/>
  <c r="F1500" i="5"/>
  <c r="F1501" i="5"/>
  <c r="F1502" i="5"/>
  <c r="F1503" i="5"/>
  <c r="F1504" i="5"/>
  <c r="F1505" i="5"/>
  <c r="F1506" i="5"/>
  <c r="F1507" i="5"/>
  <c r="F1508" i="5"/>
  <c r="F1509" i="5"/>
  <c r="F1510" i="5"/>
  <c r="F1511" i="5"/>
  <c r="F1512" i="5"/>
  <c r="F1513" i="5"/>
  <c r="F1514" i="5"/>
  <c r="F1515" i="5"/>
  <c r="F1516" i="5"/>
  <c r="F1517" i="5"/>
  <c r="F1518" i="5"/>
  <c r="F1519" i="5"/>
  <c r="F1520" i="5"/>
  <c r="F1521" i="5"/>
  <c r="F1522" i="5"/>
  <c r="F1523" i="5"/>
  <c r="F1524" i="5"/>
  <c r="F1525" i="5"/>
  <c r="F1526" i="5"/>
  <c r="F1527" i="5"/>
  <c r="F1528" i="5"/>
  <c r="F1529" i="5"/>
  <c r="F1530" i="5"/>
  <c r="F1531" i="5"/>
  <c r="F1532" i="5"/>
  <c r="F1533" i="5"/>
  <c r="F1534" i="5"/>
  <c r="F1535" i="5"/>
  <c r="F1536" i="5"/>
  <c r="F1537" i="5"/>
  <c r="F1538" i="5"/>
  <c r="F1539" i="5"/>
  <c r="F1540" i="5"/>
  <c r="F1541" i="5"/>
  <c r="F1542" i="5"/>
  <c r="F1543" i="5"/>
  <c r="F1544" i="5"/>
  <c r="F1545" i="5"/>
  <c r="F1546" i="5"/>
  <c r="F1547" i="5"/>
  <c r="F1548" i="5"/>
  <c r="F1549" i="5"/>
  <c r="F1550" i="5"/>
  <c r="F1551" i="5"/>
  <c r="F1552" i="5"/>
  <c r="F1553" i="5"/>
  <c r="F1554" i="5"/>
  <c r="F1555" i="5"/>
  <c r="F1556" i="5"/>
  <c r="F1557" i="5"/>
  <c r="F1558" i="5"/>
  <c r="F1559" i="5"/>
  <c r="F1560" i="5"/>
  <c r="F1561" i="5"/>
  <c r="F1562" i="5"/>
  <c r="F1563" i="5"/>
  <c r="F1564" i="5"/>
  <c r="F1565" i="5"/>
  <c r="F1566" i="5"/>
  <c r="F1567" i="5"/>
  <c r="F1568" i="5"/>
  <c r="F1569" i="5"/>
  <c r="F1570" i="5"/>
  <c r="F1571" i="5"/>
  <c r="F1572" i="5"/>
  <c r="F1573" i="5"/>
  <c r="F1574" i="5"/>
  <c r="F1575" i="5"/>
  <c r="F1576" i="5"/>
  <c r="F1577" i="5"/>
  <c r="F1578" i="5"/>
  <c r="F1579" i="5"/>
  <c r="F1580" i="5"/>
  <c r="F1581" i="5"/>
  <c r="F1582" i="5"/>
  <c r="F1583" i="5"/>
  <c r="F1584" i="5"/>
  <c r="F1585" i="5"/>
  <c r="F1586" i="5"/>
  <c r="F1587" i="5"/>
  <c r="F1588" i="5"/>
  <c r="F1589" i="5"/>
  <c r="F1590" i="5"/>
  <c r="F1591" i="5"/>
  <c r="F1592" i="5"/>
  <c r="F1593" i="5"/>
  <c r="F1594" i="5"/>
  <c r="F1595" i="5"/>
  <c r="F1596" i="5"/>
  <c r="F1597" i="5"/>
  <c r="F1598" i="5"/>
  <c r="F1599" i="5"/>
  <c r="F1600" i="5"/>
  <c r="F1601" i="5"/>
  <c r="F1602" i="5"/>
  <c r="F1603" i="5"/>
  <c r="F1604" i="5"/>
  <c r="F1605" i="5"/>
  <c r="F1606" i="5"/>
  <c r="F1607" i="5"/>
  <c r="F1608" i="5"/>
  <c r="F1609" i="5"/>
  <c r="F1610" i="5"/>
  <c r="F1611" i="5"/>
  <c r="F1612" i="5"/>
  <c r="F1613" i="5"/>
  <c r="F1614" i="5"/>
  <c r="F1615" i="5"/>
  <c r="F1616" i="5"/>
  <c r="F1617" i="5"/>
  <c r="F1618" i="5"/>
  <c r="F1619" i="5"/>
  <c r="F1620" i="5"/>
  <c r="F1621" i="5"/>
  <c r="F1622" i="5"/>
  <c r="F1623" i="5"/>
  <c r="F1624" i="5"/>
  <c r="F1625" i="5"/>
  <c r="F1626" i="5"/>
  <c r="F1627" i="5"/>
  <c r="F1628" i="5"/>
  <c r="F1629" i="5"/>
  <c r="F1630" i="5"/>
  <c r="F1631" i="5"/>
  <c r="F1632" i="5"/>
  <c r="F1633" i="5"/>
  <c r="F1634" i="5"/>
  <c r="F1635" i="5"/>
  <c r="F1636" i="5"/>
  <c r="F1637" i="5"/>
  <c r="F1638" i="5"/>
  <c r="F1639" i="5"/>
  <c r="F1640" i="5"/>
  <c r="F1641" i="5"/>
  <c r="F1642" i="5"/>
  <c r="F1643" i="5"/>
  <c r="F1644" i="5"/>
  <c r="F1645" i="5"/>
  <c r="F1646" i="5"/>
  <c r="F1647" i="5"/>
  <c r="F1648" i="5"/>
  <c r="F1649" i="5"/>
  <c r="F1650" i="5"/>
  <c r="F1651" i="5"/>
  <c r="F1652" i="5"/>
  <c r="F1653" i="5"/>
  <c r="F1654" i="5"/>
  <c r="F1655" i="5"/>
  <c r="F1656" i="5"/>
  <c r="F1657" i="5"/>
  <c r="F1658" i="5"/>
  <c r="F1659" i="5"/>
  <c r="F1660" i="5"/>
  <c r="F1661" i="5"/>
  <c r="F1662" i="5"/>
  <c r="F1663" i="5"/>
  <c r="F1664" i="5"/>
  <c r="F1665" i="5"/>
  <c r="F1666" i="5"/>
  <c r="F1667" i="5"/>
  <c r="F1668" i="5"/>
  <c r="F1669" i="5"/>
  <c r="F1670" i="5"/>
  <c r="F1671" i="5"/>
  <c r="F1672" i="5"/>
  <c r="F1673" i="5"/>
  <c r="F1674" i="5"/>
  <c r="F1675" i="5"/>
  <c r="F1676" i="5"/>
  <c r="F1677" i="5"/>
  <c r="F1678" i="5"/>
  <c r="F1679" i="5"/>
  <c r="F1680" i="5"/>
  <c r="F1681" i="5"/>
  <c r="F1682" i="5"/>
  <c r="F1683" i="5"/>
  <c r="F1684" i="5"/>
  <c r="F1685" i="5"/>
  <c r="F1686" i="5"/>
  <c r="F1687" i="5"/>
  <c r="F1688" i="5"/>
  <c r="F1689" i="5"/>
  <c r="F1690" i="5"/>
  <c r="F1691" i="5"/>
  <c r="F1692" i="5"/>
  <c r="F1693" i="5"/>
  <c r="F1694" i="5"/>
  <c r="F1695" i="5"/>
  <c r="F1696" i="5"/>
  <c r="F1697" i="5"/>
  <c r="F1698" i="5"/>
  <c r="F1699" i="5"/>
  <c r="F1700" i="5"/>
  <c r="F1701" i="5"/>
  <c r="F1702" i="5"/>
  <c r="F1703" i="5"/>
  <c r="F1704" i="5"/>
  <c r="F1705" i="5"/>
  <c r="F1706" i="5"/>
  <c r="F1707" i="5"/>
  <c r="F1708" i="5"/>
  <c r="F1709" i="5"/>
  <c r="F1710" i="5"/>
  <c r="F1711" i="5"/>
  <c r="F1712" i="5"/>
  <c r="F1713" i="5"/>
  <c r="F1714" i="5"/>
  <c r="F1715" i="5"/>
  <c r="F1716" i="5"/>
  <c r="F1717" i="5"/>
  <c r="F1718" i="5"/>
  <c r="F1719" i="5"/>
  <c r="F1720" i="5"/>
  <c r="F1721" i="5"/>
  <c r="F1722" i="5"/>
  <c r="F1723" i="5"/>
  <c r="F1724" i="5"/>
  <c r="F1725" i="5"/>
  <c r="F1726" i="5"/>
  <c r="F1727" i="5"/>
  <c r="F1728" i="5"/>
  <c r="F1729" i="5"/>
  <c r="F1730" i="5"/>
  <c r="F1731" i="5"/>
  <c r="F1732" i="5"/>
  <c r="F1733" i="5"/>
  <c r="F1734" i="5"/>
  <c r="F1735" i="5"/>
  <c r="F1736" i="5"/>
  <c r="F1737" i="5"/>
  <c r="F1738" i="5"/>
  <c r="F1739" i="5"/>
  <c r="F1740" i="5"/>
  <c r="F1741" i="5"/>
  <c r="F1742" i="5"/>
  <c r="F1743" i="5"/>
  <c r="F1744" i="5"/>
  <c r="F1745" i="5"/>
  <c r="F1746" i="5"/>
  <c r="F1747" i="5"/>
  <c r="F1748" i="5"/>
  <c r="F1749" i="5"/>
  <c r="F1750" i="5"/>
  <c r="F1751" i="5"/>
  <c r="F1752" i="5"/>
  <c r="F1753" i="5"/>
  <c r="F1754" i="5"/>
  <c r="F1755" i="5"/>
  <c r="F1756" i="5"/>
  <c r="F1757" i="5"/>
  <c r="F1758" i="5"/>
  <c r="F1759" i="5"/>
  <c r="F1760" i="5"/>
  <c r="F1761" i="5"/>
  <c r="F1762" i="5"/>
  <c r="F1763" i="5"/>
  <c r="F1764" i="5"/>
  <c r="F1765" i="5"/>
  <c r="F1766" i="5"/>
  <c r="F1767" i="5"/>
  <c r="F1768" i="5"/>
  <c r="F1769" i="5"/>
  <c r="F1770" i="5"/>
  <c r="F1771" i="5"/>
  <c r="F1772" i="5"/>
  <c r="F1773" i="5"/>
  <c r="F1774" i="5"/>
  <c r="F1775" i="5"/>
  <c r="F1776" i="5"/>
  <c r="F1777" i="5"/>
  <c r="F1778" i="5"/>
  <c r="F1779" i="5"/>
  <c r="F1780" i="5"/>
  <c r="F1781" i="5"/>
  <c r="F1782" i="5"/>
  <c r="F1783" i="5"/>
  <c r="F1784" i="5"/>
  <c r="F1785" i="5"/>
  <c r="F1786" i="5"/>
  <c r="F1787" i="5"/>
  <c r="F1788" i="5"/>
  <c r="F1789" i="5"/>
  <c r="F1790" i="5"/>
  <c r="F1791" i="5"/>
  <c r="F1792" i="5"/>
  <c r="F1793" i="5"/>
  <c r="F1794" i="5"/>
  <c r="F1795" i="5"/>
  <c r="F1796" i="5"/>
  <c r="F1797" i="5"/>
  <c r="F1798" i="5"/>
  <c r="F1799" i="5"/>
  <c r="F1800" i="5"/>
  <c r="F1801" i="5"/>
  <c r="F1802" i="5"/>
  <c r="F1803" i="5"/>
  <c r="F1804" i="5"/>
  <c r="F1805" i="5"/>
  <c r="F1806" i="5"/>
  <c r="F1807" i="5"/>
  <c r="F1808" i="5"/>
  <c r="F1809" i="5"/>
  <c r="F1810" i="5"/>
  <c r="F1811" i="5"/>
  <c r="F1812" i="5"/>
  <c r="F1813" i="5"/>
  <c r="F1814" i="5"/>
  <c r="F1815" i="5"/>
  <c r="F1816" i="5"/>
  <c r="F1817" i="5"/>
  <c r="F1818" i="5"/>
  <c r="F1819" i="5"/>
  <c r="F1820" i="5"/>
  <c r="F1821" i="5"/>
  <c r="F1822" i="5"/>
  <c r="F1823" i="5"/>
  <c r="F1824" i="5"/>
  <c r="F1825" i="5"/>
  <c r="F1826" i="5"/>
  <c r="F1827" i="5"/>
  <c r="F1828" i="5"/>
  <c r="F1829" i="5"/>
  <c r="F1830" i="5"/>
  <c r="F1831" i="5"/>
  <c r="F1832" i="5"/>
  <c r="F1833" i="5"/>
  <c r="F1834" i="5"/>
  <c r="F1835" i="5"/>
  <c r="F1836" i="5"/>
  <c r="F1837" i="5"/>
  <c r="F1838" i="5"/>
  <c r="F1839" i="5"/>
  <c r="F1840" i="5"/>
  <c r="F1841" i="5"/>
  <c r="F1842" i="5"/>
  <c r="F1843" i="5"/>
  <c r="F1844" i="5"/>
  <c r="F1845" i="5"/>
  <c r="F1846" i="5"/>
  <c r="F1847" i="5"/>
  <c r="F1848" i="5"/>
  <c r="F1849" i="5"/>
  <c r="F1850" i="5"/>
  <c r="F1851" i="5"/>
  <c r="F1852" i="5"/>
  <c r="F1853" i="5"/>
  <c r="F1854" i="5"/>
  <c r="F1855" i="5"/>
  <c r="F1856" i="5"/>
  <c r="F1857" i="5"/>
  <c r="F1858" i="5"/>
  <c r="F1859" i="5"/>
  <c r="F1860" i="5"/>
  <c r="F1861" i="5"/>
  <c r="F1862" i="5"/>
  <c r="F1863" i="5"/>
  <c r="F1864" i="5"/>
  <c r="F1865" i="5"/>
  <c r="F1866" i="5"/>
  <c r="F1867" i="5"/>
  <c r="F1868" i="5"/>
  <c r="F1869" i="5"/>
  <c r="F1870" i="5"/>
  <c r="F1871" i="5"/>
  <c r="F1872" i="5"/>
  <c r="F1873" i="5"/>
  <c r="F1874" i="5"/>
  <c r="F1875" i="5"/>
  <c r="F1876" i="5"/>
  <c r="F1877" i="5"/>
  <c r="F1878" i="5"/>
  <c r="F1879" i="5"/>
  <c r="F1880" i="5"/>
  <c r="F1881" i="5"/>
  <c r="F1882" i="5"/>
  <c r="F1883" i="5"/>
  <c r="F1884" i="5"/>
  <c r="F1885" i="5"/>
  <c r="F1886" i="5"/>
  <c r="F1887" i="5"/>
  <c r="F1888" i="5"/>
  <c r="F1889" i="5"/>
  <c r="F1890" i="5"/>
  <c r="F1891" i="5"/>
  <c r="F1892" i="5"/>
  <c r="F1893" i="5"/>
  <c r="F1894" i="5"/>
  <c r="F1895" i="5"/>
  <c r="F1896" i="5"/>
  <c r="F1897" i="5"/>
  <c r="F1898" i="5"/>
  <c r="F1899" i="5"/>
  <c r="F1900" i="5"/>
  <c r="F1901" i="5"/>
  <c r="F1902" i="5"/>
  <c r="F1903" i="5"/>
  <c r="F1904" i="5"/>
  <c r="F1905" i="5"/>
  <c r="F1906" i="5"/>
  <c r="F1907" i="5"/>
  <c r="F1908" i="5"/>
  <c r="F1909" i="5"/>
  <c r="F1910" i="5"/>
  <c r="F1911" i="5"/>
  <c r="F1912" i="5"/>
  <c r="F1913" i="5"/>
  <c r="F1914" i="5"/>
  <c r="F1915" i="5"/>
  <c r="F1916" i="5"/>
  <c r="F1917" i="5"/>
  <c r="F1918" i="5"/>
  <c r="F1919" i="5"/>
  <c r="F1920" i="5"/>
  <c r="F1921" i="5"/>
  <c r="F1922" i="5"/>
  <c r="F1923" i="5"/>
  <c r="F1924" i="5"/>
  <c r="F1925" i="5"/>
  <c r="F1926" i="5"/>
  <c r="F1927" i="5"/>
  <c r="F1928" i="5"/>
  <c r="F1929" i="5"/>
  <c r="F1930" i="5"/>
  <c r="F1931" i="5"/>
  <c r="F1932" i="5"/>
  <c r="F1933" i="5"/>
  <c r="F1934" i="5"/>
  <c r="F1935" i="5"/>
  <c r="F1936" i="5"/>
  <c r="F1937" i="5"/>
  <c r="F1938" i="5"/>
  <c r="F1939" i="5"/>
  <c r="F1940" i="5"/>
  <c r="F1941" i="5"/>
  <c r="F1942" i="5"/>
  <c r="F1943" i="5"/>
  <c r="F1944" i="5"/>
  <c r="F1945" i="5"/>
  <c r="F1946" i="5"/>
  <c r="F1947" i="5"/>
  <c r="F1948" i="5"/>
  <c r="F1949" i="5"/>
  <c r="F1950" i="5"/>
  <c r="F1951" i="5"/>
  <c r="F1952" i="5"/>
  <c r="F1953" i="5"/>
  <c r="F1954" i="5"/>
  <c r="F1955" i="5"/>
  <c r="F1956" i="5"/>
  <c r="F1957" i="5"/>
  <c r="F1958" i="5"/>
  <c r="F1959" i="5"/>
  <c r="F1960" i="5"/>
  <c r="F1961" i="5"/>
  <c r="F1962" i="5"/>
  <c r="F1963" i="5"/>
  <c r="F1964" i="5"/>
  <c r="F1965" i="5"/>
  <c r="F1966" i="5"/>
  <c r="F1967" i="5"/>
  <c r="F1968" i="5"/>
  <c r="F1969" i="5"/>
  <c r="F1970" i="5"/>
  <c r="F1971" i="5"/>
  <c r="F1972" i="5"/>
  <c r="F1973" i="5"/>
  <c r="F1974" i="5"/>
  <c r="F1975" i="5"/>
  <c r="F1976" i="5"/>
  <c r="F1977" i="5"/>
  <c r="F1978" i="5"/>
  <c r="F1979" i="5"/>
  <c r="F1980" i="5"/>
  <c r="F1981" i="5"/>
  <c r="F1982" i="5"/>
  <c r="F1983" i="5"/>
  <c r="F1984" i="5"/>
  <c r="F1985" i="5"/>
  <c r="F1986" i="5"/>
  <c r="F1987" i="5"/>
  <c r="F1988" i="5"/>
  <c r="F1989" i="5"/>
  <c r="F1990" i="5"/>
  <c r="F1991" i="5"/>
  <c r="F1992" i="5"/>
  <c r="F1993" i="5"/>
  <c r="F1994" i="5"/>
  <c r="F1995" i="5"/>
  <c r="F1996" i="5"/>
  <c r="F1997" i="5"/>
  <c r="F1998" i="5"/>
  <c r="F1999" i="5"/>
  <c r="F2000" i="5"/>
  <c r="F2001" i="5"/>
  <c r="G2001" i="7"/>
  <c r="I2001" i="7"/>
  <c r="G2000" i="7"/>
  <c r="I2000" i="7"/>
  <c r="G1999" i="7"/>
  <c r="I1999" i="7"/>
  <c r="G1998" i="7"/>
  <c r="I1998" i="7"/>
  <c r="G1997" i="7"/>
  <c r="I1997" i="7"/>
  <c r="H1997" i="7"/>
  <c r="G1996" i="7"/>
  <c r="I1996" i="7"/>
  <c r="H1996" i="7"/>
  <c r="G1995" i="7"/>
  <c r="I1995" i="7"/>
  <c r="H1995" i="7"/>
  <c r="G1994" i="7"/>
  <c r="I1994" i="7"/>
  <c r="H1994" i="7"/>
  <c r="G1993" i="7"/>
  <c r="I1993" i="7"/>
  <c r="G1992" i="7"/>
  <c r="I1992" i="7"/>
  <c r="G1991" i="7"/>
  <c r="I1991" i="7"/>
  <c r="G1990" i="7"/>
  <c r="I1990" i="7"/>
  <c r="G1989" i="7"/>
  <c r="I1989" i="7"/>
  <c r="G1988" i="7"/>
  <c r="I1988" i="7"/>
  <c r="G1987" i="7"/>
  <c r="I1987" i="7"/>
  <c r="G1986" i="7"/>
  <c r="I1986" i="7"/>
  <c r="G1985" i="7"/>
  <c r="I1985" i="7"/>
  <c r="H1985" i="7"/>
  <c r="G1984" i="7"/>
  <c r="I1984" i="7"/>
  <c r="G1983" i="7"/>
  <c r="I1983" i="7"/>
  <c r="H1983" i="7"/>
  <c r="G1982" i="7"/>
  <c r="I1982" i="7"/>
  <c r="H1982" i="7"/>
  <c r="G1981" i="7"/>
  <c r="I1981" i="7"/>
  <c r="G1980" i="7"/>
  <c r="I1980" i="7"/>
  <c r="G1979" i="7"/>
  <c r="I1979" i="7"/>
  <c r="G1978" i="7"/>
  <c r="I1978" i="7"/>
  <c r="G1977" i="7"/>
  <c r="I1977" i="7"/>
  <c r="G1976" i="7"/>
  <c r="I1976" i="7"/>
  <c r="G1975" i="7"/>
  <c r="I1975" i="7"/>
  <c r="G1974" i="7"/>
  <c r="I1974" i="7"/>
  <c r="G1973" i="7"/>
  <c r="I1973" i="7"/>
  <c r="G1972" i="7"/>
  <c r="I1972" i="7"/>
  <c r="G1971" i="7"/>
  <c r="I1971" i="7"/>
  <c r="G1970" i="7"/>
  <c r="I1970" i="7"/>
  <c r="G1969" i="7"/>
  <c r="I1969" i="7"/>
  <c r="G1968" i="7"/>
  <c r="I1968" i="7"/>
  <c r="G1967" i="7"/>
  <c r="I1967" i="7"/>
  <c r="G1966" i="7"/>
  <c r="I1966" i="7"/>
  <c r="G1965" i="7"/>
  <c r="I1965" i="7"/>
  <c r="G1964" i="7"/>
  <c r="I1964" i="7"/>
  <c r="G1963" i="7"/>
  <c r="I1963" i="7"/>
  <c r="G1962" i="7"/>
  <c r="I1962" i="7"/>
  <c r="G1961" i="7"/>
  <c r="I1961" i="7"/>
  <c r="H1961" i="7"/>
  <c r="G1960" i="7"/>
  <c r="I1960" i="7"/>
  <c r="H1960" i="7"/>
  <c r="G1959" i="7"/>
  <c r="I1959" i="7"/>
  <c r="H1959" i="7"/>
  <c r="G1958" i="7"/>
  <c r="I1958" i="7"/>
  <c r="H1958" i="7"/>
  <c r="G1957" i="7"/>
  <c r="I1957" i="7"/>
  <c r="G1956" i="7"/>
  <c r="I1956" i="7"/>
  <c r="G1955" i="7"/>
  <c r="I1955" i="7"/>
  <c r="G1954" i="7"/>
  <c r="I1954" i="7"/>
  <c r="G1953" i="7"/>
  <c r="I1953" i="7"/>
  <c r="G1952" i="7"/>
  <c r="I1952" i="7"/>
  <c r="G1951" i="7"/>
  <c r="I1951" i="7"/>
  <c r="G1950" i="7"/>
  <c r="I1950" i="7"/>
  <c r="G1949" i="7"/>
  <c r="I1949" i="7"/>
  <c r="H1949" i="7"/>
  <c r="G1948" i="7"/>
  <c r="I1948" i="7"/>
  <c r="H1948" i="7"/>
  <c r="G1947" i="7"/>
  <c r="I1947" i="7"/>
  <c r="G1946" i="7"/>
  <c r="I1946" i="7"/>
  <c r="H1946" i="7"/>
  <c r="G1945" i="7"/>
  <c r="I1945" i="7"/>
  <c r="G1944" i="7"/>
  <c r="I1944" i="7"/>
  <c r="G1943" i="7"/>
  <c r="I1943" i="7"/>
  <c r="G1942" i="7"/>
  <c r="I1942" i="7"/>
  <c r="G1941" i="7"/>
  <c r="I1941" i="7"/>
  <c r="G1940" i="7"/>
  <c r="I1940" i="7"/>
  <c r="G1939" i="7"/>
  <c r="I1939" i="7"/>
  <c r="G1938" i="7"/>
  <c r="I1938" i="7"/>
  <c r="G1937" i="7"/>
  <c r="I1937" i="7"/>
  <c r="H1937" i="7"/>
  <c r="G1936" i="7"/>
  <c r="I1936" i="7"/>
  <c r="G1935" i="7"/>
  <c r="I1935" i="7"/>
  <c r="H1935" i="7"/>
  <c r="G1934" i="7"/>
  <c r="I1934" i="7"/>
  <c r="G1933" i="7"/>
  <c r="I1933" i="7"/>
  <c r="G1932" i="7"/>
  <c r="I1932" i="7"/>
  <c r="G1931" i="7"/>
  <c r="I1931" i="7"/>
  <c r="G1930" i="7"/>
  <c r="I1930" i="7"/>
  <c r="G1929" i="7"/>
  <c r="I1929" i="7"/>
  <c r="G1928" i="7"/>
  <c r="I1928" i="7"/>
  <c r="G1927" i="7"/>
  <c r="I1927" i="7"/>
  <c r="G1926" i="7"/>
  <c r="I1926" i="7"/>
  <c r="G1925" i="7"/>
  <c r="I1925" i="7"/>
  <c r="G1924" i="7"/>
  <c r="I1924" i="7"/>
  <c r="H1924" i="7"/>
  <c r="G1923" i="7"/>
  <c r="I1923" i="7"/>
  <c r="G1922" i="7"/>
  <c r="I1922" i="7"/>
  <c r="G1921" i="7"/>
  <c r="I1921" i="7"/>
  <c r="G1920" i="7"/>
  <c r="I1920" i="7"/>
  <c r="G1919" i="7"/>
  <c r="I1919" i="7"/>
  <c r="G1918" i="7"/>
  <c r="I1918" i="7"/>
  <c r="G1917" i="7"/>
  <c r="I1917" i="7"/>
  <c r="G1916" i="7"/>
  <c r="I1916" i="7"/>
  <c r="G1915" i="7"/>
  <c r="I1915" i="7"/>
  <c r="G1914" i="7"/>
  <c r="I1914" i="7"/>
  <c r="G1913" i="7"/>
  <c r="I1913" i="7"/>
  <c r="G1912" i="7"/>
  <c r="I1912" i="7"/>
  <c r="H1912" i="7"/>
  <c r="G1911" i="7"/>
  <c r="I1911" i="7"/>
  <c r="G1910" i="7"/>
  <c r="I1910" i="7"/>
  <c r="H1910" i="7"/>
  <c r="G1909" i="7"/>
  <c r="I1909" i="7"/>
  <c r="G1908" i="7"/>
  <c r="I1908" i="7"/>
  <c r="G1907" i="7"/>
  <c r="I1907" i="7"/>
  <c r="G1906" i="7"/>
  <c r="I1906" i="7"/>
  <c r="G1905" i="7"/>
  <c r="I1905" i="7"/>
  <c r="G1904" i="7"/>
  <c r="I1904" i="7"/>
  <c r="G1903" i="7"/>
  <c r="I1903" i="7"/>
  <c r="G1902" i="7"/>
  <c r="I1902" i="7"/>
  <c r="G1901" i="7"/>
  <c r="I1901" i="7"/>
  <c r="H1901" i="7"/>
  <c r="G1900" i="7"/>
  <c r="I1900" i="7"/>
  <c r="H1900" i="7"/>
  <c r="G1899" i="7"/>
  <c r="I1899" i="7"/>
  <c r="H1899" i="7"/>
  <c r="G1898" i="7"/>
  <c r="I1898" i="7"/>
  <c r="G1897" i="7"/>
  <c r="I1897" i="7"/>
  <c r="G1896" i="7"/>
  <c r="I1896" i="7"/>
  <c r="G1895" i="7"/>
  <c r="I1895" i="7"/>
  <c r="G1894" i="7"/>
  <c r="I1894" i="7"/>
  <c r="H1894" i="7"/>
  <c r="G1893" i="7"/>
  <c r="I1893" i="7"/>
  <c r="G1892" i="7"/>
  <c r="I1892" i="7"/>
  <c r="G1891" i="7"/>
  <c r="I1891" i="7"/>
  <c r="G1890" i="7"/>
  <c r="I1890" i="7"/>
  <c r="G1889" i="7"/>
  <c r="I1889" i="7"/>
  <c r="H1889" i="7"/>
  <c r="G1888" i="7"/>
  <c r="I1888" i="7"/>
  <c r="G1887" i="7"/>
  <c r="I1887" i="7"/>
  <c r="H1887" i="7"/>
  <c r="G1886" i="7"/>
  <c r="I1886" i="7"/>
  <c r="G1885" i="7"/>
  <c r="I1885" i="7"/>
  <c r="G1884" i="7"/>
  <c r="I1884" i="7"/>
  <c r="G1883" i="7"/>
  <c r="I1883" i="7"/>
  <c r="G1882" i="7"/>
  <c r="I1882" i="7"/>
  <c r="G1881" i="7"/>
  <c r="I1881" i="7"/>
  <c r="G1880" i="7"/>
  <c r="I1880" i="7"/>
  <c r="G1879" i="7"/>
  <c r="I1879" i="7"/>
  <c r="G1878" i="7"/>
  <c r="I1878" i="7"/>
  <c r="G1877" i="7"/>
  <c r="I1877" i="7"/>
  <c r="G1876" i="7"/>
  <c r="I1876" i="7"/>
  <c r="G1875" i="7"/>
  <c r="I1875" i="7"/>
  <c r="G1874" i="7"/>
  <c r="I1874" i="7"/>
  <c r="G1873" i="7"/>
  <c r="I1873" i="7"/>
  <c r="G1872" i="7"/>
  <c r="I1872" i="7"/>
  <c r="G1871" i="7"/>
  <c r="I1871" i="7"/>
  <c r="G1870" i="7"/>
  <c r="I1870" i="7"/>
  <c r="G1869" i="7"/>
  <c r="I1869" i="7"/>
  <c r="G1868" i="7"/>
  <c r="I1868" i="7"/>
  <c r="G1867" i="7"/>
  <c r="I1867" i="7"/>
  <c r="G1866" i="7"/>
  <c r="I1866" i="7"/>
  <c r="G1865" i="7"/>
  <c r="I1865" i="7"/>
  <c r="G1864" i="7"/>
  <c r="I1864" i="7"/>
  <c r="H1864" i="7"/>
  <c r="G1863" i="7"/>
  <c r="I1863" i="7"/>
  <c r="G1862" i="7"/>
  <c r="I1862" i="7"/>
  <c r="G1861" i="7"/>
  <c r="I1861" i="7"/>
  <c r="G1860" i="7"/>
  <c r="I1860" i="7"/>
  <c r="G1859" i="7"/>
  <c r="I1859" i="7"/>
  <c r="G1858" i="7"/>
  <c r="I1858" i="7"/>
  <c r="G1857" i="7"/>
  <c r="I1857" i="7"/>
  <c r="G1856" i="7"/>
  <c r="I1856" i="7"/>
  <c r="G1855" i="7"/>
  <c r="I1855" i="7"/>
  <c r="G1854" i="7"/>
  <c r="I1854" i="7"/>
  <c r="G1853" i="7"/>
  <c r="I1853" i="7"/>
  <c r="G1852" i="7"/>
  <c r="I1852" i="7"/>
  <c r="G1851" i="7"/>
  <c r="I1851" i="7"/>
  <c r="H1851" i="7"/>
  <c r="G1850" i="7"/>
  <c r="I1850" i="7"/>
  <c r="G1849" i="7"/>
  <c r="I1849" i="7"/>
  <c r="G1848" i="7"/>
  <c r="I1848" i="7"/>
  <c r="G1847" i="7"/>
  <c r="I1847" i="7"/>
  <c r="G1846" i="7"/>
  <c r="I1846" i="7"/>
  <c r="G1845" i="7"/>
  <c r="I1845" i="7"/>
  <c r="G1844" i="7"/>
  <c r="I1844" i="7"/>
  <c r="G1843" i="7"/>
  <c r="I1843" i="7"/>
  <c r="G1842" i="7"/>
  <c r="I1842" i="7"/>
  <c r="G1841" i="7"/>
  <c r="I1841" i="7"/>
  <c r="H1841" i="7"/>
  <c r="G1840" i="7"/>
  <c r="I1840" i="7"/>
  <c r="H1840" i="7"/>
  <c r="G1839" i="7"/>
  <c r="I1839" i="7"/>
  <c r="H1839" i="7"/>
  <c r="G1838" i="7"/>
  <c r="I1838" i="7"/>
  <c r="G1837" i="7"/>
  <c r="I1837" i="7"/>
  <c r="G1836" i="7"/>
  <c r="I1836" i="7"/>
  <c r="G1835" i="7"/>
  <c r="I1835" i="7"/>
  <c r="G1834" i="7"/>
  <c r="I1834" i="7"/>
  <c r="G1833" i="7"/>
  <c r="I1833" i="7"/>
  <c r="G1832" i="7"/>
  <c r="I1832" i="7"/>
  <c r="G1831" i="7"/>
  <c r="I1831" i="7"/>
  <c r="G1830" i="7"/>
  <c r="I1830" i="7"/>
  <c r="G1829" i="7"/>
  <c r="I1829" i="7"/>
  <c r="H1829" i="7"/>
  <c r="G1828" i="7"/>
  <c r="I1828" i="7"/>
  <c r="H1828" i="7"/>
  <c r="G1827" i="7"/>
  <c r="I1827" i="7"/>
  <c r="G1826" i="7"/>
  <c r="I1826" i="7"/>
  <c r="G1825" i="7"/>
  <c r="I1825" i="7"/>
  <c r="G1824" i="7"/>
  <c r="I1824" i="7"/>
  <c r="G1823" i="7"/>
  <c r="I1823" i="7"/>
  <c r="G1822" i="7"/>
  <c r="I1822" i="7"/>
  <c r="G1821" i="7"/>
  <c r="I1821" i="7"/>
  <c r="G1820" i="7"/>
  <c r="I1820" i="7"/>
  <c r="G1819" i="7"/>
  <c r="I1819" i="7"/>
  <c r="G1818" i="7"/>
  <c r="I1818" i="7"/>
  <c r="G1817" i="7"/>
  <c r="I1817" i="7"/>
  <c r="H1817" i="7"/>
  <c r="G1816" i="7"/>
  <c r="I1816" i="7"/>
  <c r="G1815" i="7"/>
  <c r="I1815" i="7"/>
  <c r="H1815" i="7"/>
  <c r="G1814" i="7"/>
  <c r="I1814" i="7"/>
  <c r="H1814" i="7"/>
  <c r="G1813" i="7"/>
  <c r="I1813" i="7"/>
  <c r="G1812" i="7"/>
  <c r="I1812" i="7"/>
  <c r="G1811" i="7"/>
  <c r="I1811" i="7"/>
  <c r="G1810" i="7"/>
  <c r="I1810" i="7"/>
  <c r="G1809" i="7"/>
  <c r="I1809" i="7"/>
  <c r="G1808" i="7"/>
  <c r="I1808" i="7"/>
  <c r="G1807" i="7"/>
  <c r="I1807" i="7"/>
  <c r="G1806" i="7"/>
  <c r="I1806" i="7"/>
  <c r="G1805" i="7"/>
  <c r="I1805" i="7"/>
  <c r="G1804" i="7"/>
  <c r="I1804" i="7"/>
  <c r="H1804" i="7"/>
  <c r="G1803" i="7"/>
  <c r="I1803" i="7"/>
  <c r="H1803" i="7"/>
  <c r="G1802" i="7"/>
  <c r="I1802" i="7"/>
  <c r="G1801" i="7"/>
  <c r="I1801" i="7"/>
  <c r="G1800" i="7"/>
  <c r="I1800" i="7"/>
  <c r="G1799" i="7"/>
  <c r="I1799" i="7"/>
  <c r="G1798" i="7"/>
  <c r="I1798" i="7"/>
  <c r="G1797" i="7"/>
  <c r="I1797" i="7"/>
  <c r="G1796" i="7"/>
  <c r="I1796" i="7"/>
  <c r="G1795" i="7"/>
  <c r="I1795" i="7"/>
  <c r="G1794" i="7"/>
  <c r="I1794" i="7"/>
  <c r="G1793" i="7"/>
  <c r="I1793" i="7"/>
  <c r="H1793" i="7"/>
  <c r="G1792" i="7"/>
  <c r="I1792" i="7"/>
  <c r="H1792" i="7"/>
  <c r="G1791" i="7"/>
  <c r="I1791" i="7"/>
  <c r="H1791" i="7"/>
  <c r="G1790" i="7"/>
  <c r="I1790" i="7"/>
  <c r="G1789" i="7"/>
  <c r="I1789" i="7"/>
  <c r="G1788" i="7"/>
  <c r="I1788" i="7"/>
  <c r="G1787" i="7"/>
  <c r="I1787" i="7"/>
  <c r="G1786" i="7"/>
  <c r="I1786" i="7"/>
  <c r="G1785" i="7"/>
  <c r="I1785" i="7"/>
  <c r="G1784" i="7"/>
  <c r="I1784" i="7"/>
  <c r="G1783" i="7"/>
  <c r="I1783" i="7"/>
  <c r="G1782" i="7"/>
  <c r="I1782" i="7"/>
  <c r="G1781" i="7"/>
  <c r="I1781" i="7"/>
  <c r="G1780" i="7"/>
  <c r="I1780" i="7"/>
  <c r="G1779" i="7"/>
  <c r="I1779" i="7"/>
  <c r="G1778" i="7"/>
  <c r="I1778" i="7"/>
  <c r="H1778" i="7"/>
  <c r="G1777" i="7"/>
  <c r="I1777" i="7"/>
  <c r="G1776" i="7"/>
  <c r="I1776" i="7"/>
  <c r="G1775" i="7"/>
  <c r="I1775" i="7"/>
  <c r="G1774" i="7"/>
  <c r="I1774" i="7"/>
  <c r="G1773" i="7"/>
  <c r="I1773" i="7"/>
  <c r="G1772" i="7"/>
  <c r="I1772" i="7"/>
  <c r="G1771" i="7"/>
  <c r="I1771" i="7"/>
  <c r="G1770" i="7"/>
  <c r="I1770" i="7"/>
  <c r="G1769" i="7"/>
  <c r="I1769" i="7"/>
  <c r="H1769" i="7"/>
  <c r="G1768" i="7"/>
  <c r="I1768" i="7"/>
  <c r="G1767" i="7"/>
  <c r="I1767" i="7"/>
  <c r="H1767" i="7"/>
  <c r="G1766" i="7"/>
  <c r="I1766" i="7"/>
  <c r="G1765" i="7"/>
  <c r="I1765" i="7"/>
  <c r="G1764" i="7"/>
  <c r="I1764" i="7"/>
  <c r="G1763" i="7"/>
  <c r="I1763" i="7"/>
  <c r="G1762" i="7"/>
  <c r="I1762" i="7"/>
  <c r="G1761" i="7"/>
  <c r="I1761" i="7"/>
  <c r="G1760" i="7"/>
  <c r="I1760" i="7"/>
  <c r="G1759" i="7"/>
  <c r="I1759" i="7"/>
  <c r="G1758" i="7"/>
  <c r="I1758" i="7"/>
  <c r="G1757" i="7"/>
  <c r="I1757" i="7"/>
  <c r="G1756" i="7"/>
  <c r="I1756" i="7"/>
  <c r="H1756" i="7"/>
  <c r="G1755" i="7"/>
  <c r="I1755" i="7"/>
  <c r="H1755" i="7"/>
  <c r="G1754" i="7"/>
  <c r="I1754" i="7"/>
  <c r="H1754" i="7"/>
  <c r="G1753" i="7"/>
  <c r="I1753" i="7"/>
  <c r="G1752" i="7"/>
  <c r="I1752" i="7"/>
  <c r="G1751" i="7"/>
  <c r="I1751" i="7"/>
  <c r="G1750" i="7"/>
  <c r="I1750" i="7"/>
  <c r="G1749" i="7"/>
  <c r="I1749" i="7"/>
  <c r="G1748" i="7"/>
  <c r="I1748" i="7"/>
  <c r="G1747" i="7"/>
  <c r="I1747" i="7"/>
  <c r="G1746" i="7"/>
  <c r="I1746" i="7"/>
  <c r="G1745" i="7"/>
  <c r="I1745" i="7"/>
  <c r="G1744" i="7"/>
  <c r="I1744" i="7"/>
  <c r="G1743" i="7"/>
  <c r="I1743" i="7"/>
  <c r="G1742" i="7"/>
  <c r="I1742" i="7"/>
  <c r="H1742" i="7"/>
  <c r="G1741" i="7"/>
  <c r="I1741" i="7"/>
  <c r="G1740" i="7"/>
  <c r="I1740" i="7"/>
  <c r="G1739" i="7"/>
  <c r="I1739" i="7"/>
  <c r="G1738" i="7"/>
  <c r="I1738" i="7"/>
  <c r="G1737" i="7"/>
  <c r="I1737" i="7"/>
  <c r="G1736" i="7"/>
  <c r="I1736" i="7"/>
  <c r="G1735" i="7"/>
  <c r="I1735" i="7"/>
  <c r="G1734" i="7"/>
  <c r="I1734" i="7"/>
  <c r="G1733" i="7"/>
  <c r="I1733" i="7"/>
  <c r="H1733" i="7"/>
  <c r="G1732" i="7"/>
  <c r="I1732" i="7"/>
  <c r="H1732" i="7"/>
  <c r="G1731" i="7"/>
  <c r="I1731" i="7"/>
  <c r="G1730" i="7"/>
  <c r="I1730" i="7"/>
  <c r="G1729" i="7"/>
  <c r="I1729" i="7"/>
  <c r="G1728" i="7"/>
  <c r="I1728" i="7"/>
  <c r="G1727" i="7"/>
  <c r="I1727" i="7"/>
  <c r="G1726" i="7"/>
  <c r="I1726" i="7"/>
  <c r="G1725" i="7"/>
  <c r="I1725" i="7"/>
  <c r="G1724" i="7"/>
  <c r="I1724" i="7"/>
  <c r="G1723" i="7"/>
  <c r="I1723" i="7"/>
  <c r="G1722" i="7"/>
  <c r="I1722" i="7"/>
  <c r="G1721" i="7"/>
  <c r="I1721" i="7"/>
  <c r="H1721" i="7"/>
  <c r="G1720" i="7"/>
  <c r="I1720" i="7"/>
  <c r="H1720" i="7"/>
  <c r="G1719" i="7"/>
  <c r="I1719" i="7"/>
  <c r="H1719" i="7"/>
  <c r="G1718" i="7"/>
  <c r="I1718" i="7"/>
  <c r="H1718" i="7"/>
  <c r="G1717" i="7"/>
  <c r="I1717" i="7"/>
  <c r="G1716" i="7"/>
  <c r="I1716" i="7"/>
  <c r="G1715" i="7"/>
  <c r="I1715" i="7"/>
  <c r="G1714" i="7"/>
  <c r="I1714" i="7"/>
  <c r="G1713" i="7"/>
  <c r="I1713" i="7"/>
  <c r="G1712" i="7"/>
  <c r="I1712" i="7"/>
  <c r="G1711" i="7"/>
  <c r="I1711" i="7"/>
  <c r="G1710" i="7"/>
  <c r="I1710" i="7"/>
  <c r="G1709" i="7"/>
  <c r="I1709" i="7"/>
  <c r="H1709" i="7"/>
  <c r="G1708" i="7"/>
  <c r="I1708" i="7"/>
  <c r="H1708" i="7"/>
  <c r="G1707" i="7"/>
  <c r="I1707" i="7"/>
  <c r="H1707" i="7"/>
  <c r="G1706" i="7"/>
  <c r="I1706" i="7"/>
  <c r="G1705" i="7"/>
  <c r="I1705" i="7"/>
  <c r="G1704" i="7"/>
  <c r="I1704" i="7"/>
  <c r="G1703" i="7"/>
  <c r="I1703" i="7"/>
  <c r="G1702" i="7"/>
  <c r="I1702" i="7"/>
  <c r="G1701" i="7"/>
  <c r="I1701" i="7"/>
  <c r="G1700" i="7"/>
  <c r="I1700" i="7"/>
  <c r="G1699" i="7"/>
  <c r="I1699" i="7"/>
  <c r="G1698" i="7"/>
  <c r="I1698" i="7"/>
  <c r="G1697" i="7"/>
  <c r="I1697" i="7"/>
  <c r="G1696" i="7"/>
  <c r="I1696" i="7"/>
  <c r="G1695" i="7"/>
  <c r="I1695" i="7"/>
  <c r="G1694" i="7"/>
  <c r="I1694" i="7"/>
  <c r="G1693" i="7"/>
  <c r="I1693" i="7"/>
  <c r="G1692" i="7"/>
  <c r="I1692" i="7"/>
  <c r="G1691" i="7"/>
  <c r="I1691" i="7"/>
  <c r="G1690" i="7"/>
  <c r="I1690" i="7"/>
  <c r="G1689" i="7"/>
  <c r="I1689" i="7"/>
  <c r="G1688" i="7"/>
  <c r="I1688" i="7"/>
  <c r="G1687" i="7"/>
  <c r="I1687" i="7"/>
  <c r="G1686" i="7"/>
  <c r="I1686" i="7"/>
  <c r="G1685" i="7"/>
  <c r="I1685" i="7"/>
  <c r="G1684" i="7"/>
  <c r="I1684" i="7"/>
  <c r="H1684" i="7"/>
  <c r="G1683" i="7"/>
  <c r="I1683" i="7"/>
  <c r="G1682" i="7"/>
  <c r="I1682" i="7"/>
  <c r="H1682" i="7"/>
  <c r="G1681" i="7"/>
  <c r="I1681" i="7"/>
  <c r="G1680" i="7"/>
  <c r="I1680" i="7"/>
  <c r="G1679" i="7"/>
  <c r="I1679" i="7"/>
  <c r="G1678" i="7"/>
  <c r="I1678" i="7"/>
  <c r="G1677" i="7"/>
  <c r="I1677" i="7"/>
  <c r="G1676" i="7"/>
  <c r="I1676" i="7"/>
  <c r="G1675" i="7"/>
  <c r="I1675" i="7"/>
  <c r="G1674" i="7"/>
  <c r="I1674" i="7"/>
  <c r="G1673" i="7"/>
  <c r="I1673" i="7"/>
  <c r="H1673" i="7"/>
  <c r="G1672" i="7"/>
  <c r="I1672" i="7"/>
  <c r="H1672" i="7"/>
  <c r="G1671" i="7"/>
  <c r="I1671" i="7"/>
  <c r="G1670" i="7"/>
  <c r="I1670" i="7"/>
  <c r="G1669" i="7"/>
  <c r="I1669" i="7"/>
  <c r="G1668" i="7"/>
  <c r="I1668" i="7"/>
  <c r="G1667" i="7"/>
  <c r="I1667" i="7"/>
  <c r="G1666" i="7"/>
  <c r="I1666" i="7"/>
  <c r="G1665" i="7"/>
  <c r="I1665" i="7"/>
  <c r="G1664" i="7"/>
  <c r="I1664" i="7"/>
  <c r="G1663" i="7"/>
  <c r="I1663" i="7"/>
  <c r="G1662" i="7"/>
  <c r="I1662" i="7"/>
  <c r="G1661" i="7"/>
  <c r="I1661" i="7"/>
  <c r="H1661" i="7"/>
  <c r="G1660" i="7"/>
  <c r="I1660" i="7"/>
  <c r="H1660" i="7"/>
  <c r="G1659" i="7"/>
  <c r="I1659" i="7"/>
  <c r="H1659" i="7"/>
  <c r="G1658" i="7"/>
  <c r="I1658" i="7"/>
  <c r="H1658" i="7"/>
  <c r="G1657" i="7"/>
  <c r="I1657" i="7"/>
  <c r="G1656" i="7"/>
  <c r="I1656" i="7"/>
  <c r="G1655" i="7"/>
  <c r="I1655" i="7"/>
  <c r="G1654" i="7"/>
  <c r="I1654" i="7"/>
  <c r="G1653" i="7"/>
  <c r="I1653" i="7"/>
  <c r="G1652" i="7"/>
  <c r="I1652" i="7"/>
  <c r="G1651" i="7"/>
  <c r="I1651" i="7"/>
  <c r="G1650" i="7"/>
  <c r="I1650" i="7"/>
  <c r="H1650" i="7"/>
  <c r="G1649" i="7"/>
  <c r="I1649" i="7"/>
  <c r="G1648" i="7"/>
  <c r="I1648" i="7"/>
  <c r="H1648" i="7"/>
  <c r="G1647" i="7"/>
  <c r="I1647" i="7"/>
  <c r="H1647" i="7"/>
  <c r="G1646" i="7"/>
  <c r="I1646" i="7"/>
  <c r="H1646" i="7"/>
  <c r="G1645" i="7"/>
  <c r="I1645" i="7"/>
  <c r="G1644" i="7"/>
  <c r="I1644" i="7"/>
  <c r="G1643" i="7"/>
  <c r="I1643" i="7"/>
  <c r="G1642" i="7"/>
  <c r="I1642" i="7"/>
  <c r="G1641" i="7"/>
  <c r="I1641" i="7"/>
  <c r="G1640" i="7"/>
  <c r="I1640" i="7"/>
  <c r="G1639" i="7"/>
  <c r="I1639" i="7"/>
  <c r="G1638" i="7"/>
  <c r="I1638" i="7"/>
  <c r="G1637" i="7"/>
  <c r="I1637" i="7"/>
  <c r="H1637" i="7"/>
  <c r="G1636" i="7"/>
  <c r="I1636" i="7"/>
  <c r="G1635" i="7"/>
  <c r="I1635" i="7"/>
  <c r="H1635" i="7"/>
  <c r="G1634" i="7"/>
  <c r="I1634" i="7"/>
  <c r="G1633" i="7"/>
  <c r="I1633" i="7"/>
  <c r="G1632" i="7"/>
  <c r="I1632" i="7"/>
  <c r="G1631" i="7"/>
  <c r="I1631" i="7"/>
  <c r="G1630" i="7"/>
  <c r="I1630" i="7"/>
  <c r="G1629" i="7"/>
  <c r="I1629" i="7"/>
  <c r="G1628" i="7"/>
  <c r="I1628" i="7"/>
  <c r="G1627" i="7"/>
  <c r="I1627" i="7"/>
  <c r="G1626" i="7"/>
  <c r="I1626" i="7"/>
  <c r="G1625" i="7"/>
  <c r="I1625" i="7"/>
  <c r="H1625" i="7"/>
  <c r="G1624" i="7"/>
  <c r="I1624" i="7"/>
  <c r="H1624" i="7"/>
  <c r="G1623" i="7"/>
  <c r="I1623" i="7"/>
  <c r="H1623" i="7"/>
  <c r="G1622" i="7"/>
  <c r="I1622" i="7"/>
  <c r="H1622" i="7"/>
  <c r="G1621" i="7"/>
  <c r="I1621" i="7"/>
  <c r="G1620" i="7"/>
  <c r="I1620" i="7"/>
  <c r="G1619" i="7"/>
  <c r="I1619" i="7"/>
  <c r="G1618" i="7"/>
  <c r="I1618" i="7"/>
  <c r="G1617" i="7"/>
  <c r="I1617" i="7"/>
  <c r="G1616" i="7"/>
  <c r="I1616" i="7"/>
  <c r="G1615" i="7"/>
  <c r="I1615" i="7"/>
  <c r="G1614" i="7"/>
  <c r="I1614" i="7"/>
  <c r="G1613" i="7"/>
  <c r="I1613" i="7"/>
  <c r="H1613" i="7"/>
  <c r="G1612" i="7"/>
  <c r="I1612" i="7"/>
  <c r="H1612" i="7"/>
  <c r="G1611" i="7"/>
  <c r="I1611" i="7"/>
  <c r="G1610" i="7"/>
  <c r="I1610" i="7"/>
  <c r="G1609" i="7"/>
  <c r="I1609" i="7"/>
  <c r="G1608" i="7"/>
  <c r="I1608" i="7"/>
  <c r="G1607" i="7"/>
  <c r="I1607" i="7"/>
  <c r="G1606" i="7"/>
  <c r="I1606" i="7"/>
  <c r="G1605" i="7"/>
  <c r="I1605" i="7"/>
  <c r="G1604" i="7"/>
  <c r="I1604" i="7"/>
  <c r="G1603" i="7"/>
  <c r="I1603" i="7"/>
  <c r="G1602" i="7"/>
  <c r="I1602" i="7"/>
  <c r="G1601" i="7"/>
  <c r="I1601" i="7"/>
  <c r="G1600" i="7"/>
  <c r="I1600" i="7"/>
  <c r="H1600" i="7"/>
  <c r="G1599" i="7"/>
  <c r="I1599" i="7"/>
  <c r="H1599" i="7"/>
  <c r="G1598" i="7"/>
  <c r="I1598" i="7"/>
  <c r="G1597" i="7"/>
  <c r="I1597" i="7"/>
  <c r="G1596" i="7"/>
  <c r="I1596" i="7"/>
  <c r="G1595" i="7"/>
  <c r="I1595" i="7"/>
  <c r="G1594" i="7"/>
  <c r="I1594" i="7"/>
  <c r="G1593" i="7"/>
  <c r="I1593" i="7"/>
  <c r="G1592" i="7"/>
  <c r="I1592" i="7"/>
  <c r="G1591" i="7"/>
  <c r="I1591" i="7"/>
  <c r="G1590" i="7"/>
  <c r="I1590" i="7"/>
  <c r="G1589" i="7"/>
  <c r="I1589" i="7"/>
  <c r="H1589" i="7"/>
  <c r="G1588" i="7"/>
  <c r="I1588" i="7"/>
  <c r="H1588" i="7"/>
  <c r="G1587" i="7"/>
  <c r="I1587" i="7"/>
  <c r="H1587" i="7"/>
  <c r="G1586" i="7"/>
  <c r="I1586" i="7"/>
  <c r="G1585" i="7"/>
  <c r="I1585" i="7"/>
  <c r="G1584" i="7"/>
  <c r="I1584" i="7"/>
  <c r="G1583" i="7"/>
  <c r="I1583" i="7"/>
  <c r="G1582" i="7"/>
  <c r="I1582" i="7"/>
  <c r="G1581" i="7"/>
  <c r="I1581" i="7"/>
  <c r="G1580" i="7"/>
  <c r="I1580" i="7"/>
  <c r="G1579" i="7"/>
  <c r="I1579" i="7"/>
  <c r="G1578" i="7"/>
  <c r="I1578" i="7"/>
  <c r="G1577" i="7"/>
  <c r="I1577" i="7"/>
  <c r="H1577" i="7"/>
  <c r="G1576" i="7"/>
  <c r="I1576" i="7"/>
  <c r="H1576" i="7"/>
  <c r="G1575" i="7"/>
  <c r="I1575" i="7"/>
  <c r="H1575" i="7"/>
  <c r="G1574" i="7"/>
  <c r="I1574" i="7"/>
  <c r="H1574" i="7"/>
  <c r="G1573" i="7"/>
  <c r="I1573" i="7"/>
  <c r="G1572" i="7"/>
  <c r="I1572" i="7"/>
  <c r="G1571" i="7"/>
  <c r="I1571" i="7"/>
  <c r="G1570" i="7"/>
  <c r="I1570" i="7"/>
  <c r="G1569" i="7"/>
  <c r="I1569" i="7"/>
  <c r="G1568" i="7"/>
  <c r="I1568" i="7"/>
  <c r="G1567" i="7"/>
  <c r="I1567" i="7"/>
  <c r="G1566" i="7"/>
  <c r="I1566" i="7"/>
  <c r="H1566" i="7"/>
  <c r="G1565" i="7"/>
  <c r="I1565" i="7"/>
  <c r="G1564" i="7"/>
  <c r="I1564" i="7"/>
  <c r="H1564" i="7"/>
  <c r="G1563" i="7"/>
  <c r="I1563" i="7"/>
  <c r="G1562" i="7"/>
  <c r="I1562" i="7"/>
  <c r="H1562" i="7"/>
  <c r="G1561" i="7"/>
  <c r="I1561" i="7"/>
  <c r="G1560" i="7"/>
  <c r="I1560" i="7"/>
  <c r="G1559" i="7"/>
  <c r="I1559" i="7"/>
  <c r="G1558" i="7"/>
  <c r="I1558" i="7"/>
  <c r="G1557" i="7"/>
  <c r="I1557" i="7"/>
  <c r="G1556" i="7"/>
  <c r="I1556" i="7"/>
  <c r="G1555" i="7"/>
  <c r="I1555" i="7"/>
  <c r="G1554" i="7"/>
  <c r="I1554" i="7"/>
  <c r="G1553" i="7"/>
  <c r="I1553" i="7"/>
  <c r="H1553" i="7"/>
  <c r="G1552" i="7"/>
  <c r="I1552" i="7"/>
  <c r="H1552" i="7"/>
  <c r="G1551" i="7"/>
  <c r="I1551" i="7"/>
  <c r="H1551" i="7"/>
  <c r="G1550" i="7"/>
  <c r="I1550" i="7"/>
  <c r="G1549" i="7"/>
  <c r="I1549" i="7"/>
  <c r="G1548" i="7"/>
  <c r="I1548" i="7"/>
  <c r="G1547" i="7"/>
  <c r="I1547" i="7"/>
  <c r="G1546" i="7"/>
  <c r="I1546" i="7"/>
  <c r="G1545" i="7"/>
  <c r="I1545" i="7"/>
  <c r="G1544" i="7"/>
  <c r="I1544" i="7"/>
  <c r="G1543" i="7"/>
  <c r="I1543" i="7"/>
  <c r="G1542" i="7"/>
  <c r="I1542" i="7"/>
  <c r="G1541" i="7"/>
  <c r="I1541" i="7"/>
  <c r="H1541" i="7"/>
  <c r="G1540" i="7"/>
  <c r="I1540" i="7"/>
  <c r="G1539" i="7"/>
  <c r="I1539" i="7"/>
  <c r="H1539" i="7"/>
  <c r="G1538" i="7"/>
  <c r="I1538" i="7"/>
  <c r="H1538" i="7"/>
  <c r="G1537" i="7"/>
  <c r="I1537" i="7"/>
  <c r="G1536" i="7"/>
  <c r="I1536" i="7"/>
  <c r="G1535" i="7"/>
  <c r="I1535" i="7"/>
  <c r="G1534" i="7"/>
  <c r="I1534" i="7"/>
  <c r="G1533" i="7"/>
  <c r="I1533" i="7"/>
  <c r="G1532" i="7"/>
  <c r="I1532" i="7"/>
  <c r="G1531" i="7"/>
  <c r="I1531" i="7"/>
  <c r="G1530" i="7"/>
  <c r="I1530" i="7"/>
  <c r="G1529" i="7"/>
  <c r="I1529" i="7"/>
  <c r="G1528" i="7"/>
  <c r="I1528" i="7"/>
  <c r="H1528" i="7"/>
  <c r="G1527" i="7"/>
  <c r="I1527" i="7"/>
  <c r="H1527" i="7"/>
  <c r="G1526" i="7"/>
  <c r="I1526" i="7"/>
  <c r="G1525" i="7"/>
  <c r="I1525" i="7"/>
  <c r="G1524" i="7"/>
  <c r="I1524" i="7"/>
  <c r="G1523" i="7"/>
  <c r="I1523" i="7"/>
  <c r="G1522" i="7"/>
  <c r="I1522" i="7"/>
  <c r="G1521" i="7"/>
  <c r="I1521" i="7"/>
  <c r="G1520" i="7"/>
  <c r="I1520" i="7"/>
  <c r="G1519" i="7"/>
  <c r="I1519" i="7"/>
  <c r="G1518" i="7"/>
  <c r="I1518" i="7"/>
  <c r="G1517" i="7"/>
  <c r="I1517" i="7"/>
  <c r="H1517" i="7"/>
  <c r="G1516" i="7"/>
  <c r="I1516" i="7"/>
  <c r="H1516" i="7"/>
  <c r="G1515" i="7"/>
  <c r="I1515" i="7"/>
  <c r="H1515" i="7"/>
  <c r="G1514" i="7"/>
  <c r="I1514" i="7"/>
  <c r="G1513" i="7"/>
  <c r="I1513" i="7"/>
  <c r="G1512" i="7"/>
  <c r="I1512" i="7"/>
  <c r="G1511" i="7"/>
  <c r="I1511" i="7"/>
  <c r="G1510" i="7"/>
  <c r="I1510" i="7"/>
  <c r="G1509" i="7"/>
  <c r="I1509" i="7"/>
  <c r="G1508" i="7"/>
  <c r="I1508" i="7"/>
  <c r="G1507" i="7"/>
  <c r="I1507" i="7"/>
  <c r="G1506" i="7"/>
  <c r="I1506" i="7"/>
  <c r="G1505" i="7"/>
  <c r="I1505" i="7"/>
  <c r="G1504" i="7"/>
  <c r="I1504" i="7"/>
  <c r="H1504" i="7"/>
  <c r="G1503" i="7"/>
  <c r="I1503" i="7"/>
  <c r="H1503" i="7"/>
  <c r="G1502" i="7"/>
  <c r="I1502" i="7"/>
  <c r="H1502" i="7"/>
  <c r="G1501" i="7"/>
  <c r="I1501" i="7"/>
  <c r="G1500" i="7"/>
  <c r="I1500" i="7"/>
  <c r="G1499" i="7"/>
  <c r="I1499" i="7"/>
  <c r="G1498" i="7"/>
  <c r="I1498" i="7"/>
  <c r="G1497" i="7"/>
  <c r="I1497" i="7"/>
  <c r="G1496" i="7"/>
  <c r="I1496" i="7"/>
  <c r="G1495" i="7"/>
  <c r="I1495" i="7"/>
  <c r="G1494" i="7"/>
  <c r="I1494" i="7"/>
  <c r="G1493" i="7"/>
  <c r="I1493" i="7"/>
  <c r="H1493" i="7"/>
  <c r="G1492" i="7"/>
  <c r="I1492" i="7"/>
  <c r="G1491" i="7"/>
  <c r="I1491" i="7"/>
  <c r="H1491" i="7"/>
  <c r="G1490" i="7"/>
  <c r="I1490" i="7"/>
  <c r="H1490" i="7"/>
  <c r="G1489" i="7"/>
  <c r="I1489" i="7"/>
  <c r="G1488" i="7"/>
  <c r="I1488" i="7"/>
  <c r="G1487" i="7"/>
  <c r="I1487" i="7"/>
  <c r="G1486" i="7"/>
  <c r="I1486" i="7"/>
  <c r="G1485" i="7"/>
  <c r="I1485" i="7"/>
  <c r="G1484" i="7"/>
  <c r="I1484" i="7"/>
  <c r="G1483" i="7"/>
  <c r="I1483" i="7"/>
  <c r="G1482" i="7"/>
  <c r="I1482" i="7"/>
  <c r="H1482" i="7"/>
  <c r="G1481" i="7"/>
  <c r="I1481" i="7"/>
  <c r="G1480" i="7"/>
  <c r="I1480" i="7"/>
  <c r="G1479" i="7"/>
  <c r="I1479" i="7"/>
  <c r="H1479" i="7"/>
  <c r="G1478" i="7"/>
  <c r="I1478" i="7"/>
  <c r="H1478" i="7"/>
  <c r="G1477" i="7"/>
  <c r="I1477" i="7"/>
  <c r="G1476" i="7"/>
  <c r="I1476" i="7"/>
  <c r="G1475" i="7"/>
  <c r="I1475" i="7"/>
  <c r="G1474" i="7"/>
  <c r="I1474" i="7"/>
  <c r="G1473" i="7"/>
  <c r="I1473" i="7"/>
  <c r="G1472" i="7"/>
  <c r="I1472" i="7"/>
  <c r="G1471" i="7"/>
  <c r="I1471" i="7"/>
  <c r="G1470" i="7"/>
  <c r="I1470" i="7"/>
  <c r="G1469" i="7"/>
  <c r="I1469" i="7"/>
  <c r="H1469" i="7"/>
  <c r="G1468" i="7"/>
  <c r="I1468" i="7"/>
  <c r="H1468" i="7"/>
  <c r="G1467" i="7"/>
  <c r="I1467" i="7"/>
  <c r="H1467" i="7"/>
  <c r="G1466" i="7"/>
  <c r="I1466" i="7"/>
  <c r="H1466" i="7"/>
  <c r="G1465" i="7"/>
  <c r="I1465" i="7"/>
  <c r="G1464" i="7"/>
  <c r="I1464" i="7"/>
  <c r="G1463" i="7"/>
  <c r="I1463" i="7"/>
  <c r="G1462" i="7"/>
  <c r="I1462" i="7"/>
  <c r="G1461" i="7"/>
  <c r="I1461" i="7"/>
  <c r="G1460" i="7"/>
  <c r="I1460" i="7"/>
  <c r="G1459" i="7"/>
  <c r="I1459" i="7"/>
  <c r="G1458" i="7"/>
  <c r="I1458" i="7"/>
  <c r="G1457" i="7"/>
  <c r="I1457" i="7"/>
  <c r="H1457" i="7"/>
  <c r="G1456" i="7"/>
  <c r="I1456" i="7"/>
  <c r="G1455" i="7"/>
  <c r="I1455" i="7"/>
  <c r="G1454" i="7"/>
  <c r="I1454" i="7"/>
  <c r="H1454" i="7"/>
  <c r="G1453" i="7"/>
  <c r="I1453" i="7"/>
  <c r="G1452" i="7"/>
  <c r="I1452" i="7"/>
  <c r="G1451" i="7"/>
  <c r="I1451" i="7"/>
  <c r="G1450" i="7"/>
  <c r="I1450" i="7"/>
  <c r="G1449" i="7"/>
  <c r="I1449" i="7"/>
  <c r="G1448" i="7"/>
  <c r="I1448" i="7"/>
  <c r="G1447" i="7"/>
  <c r="I1447" i="7"/>
  <c r="G1446" i="7"/>
  <c r="I1446" i="7"/>
  <c r="G1445" i="7"/>
  <c r="I1445" i="7"/>
  <c r="G1444" i="7"/>
  <c r="I1444" i="7"/>
  <c r="H1444" i="7"/>
  <c r="G1443" i="7"/>
  <c r="I1443" i="7"/>
  <c r="H1443" i="7"/>
  <c r="G1442" i="7"/>
  <c r="I1442" i="7"/>
  <c r="H1442" i="7"/>
  <c r="G1441" i="7"/>
  <c r="I1441" i="7"/>
  <c r="G1440" i="7"/>
  <c r="I1440" i="7"/>
  <c r="G1439" i="7"/>
  <c r="I1439" i="7"/>
  <c r="G1438" i="7"/>
  <c r="I1438" i="7"/>
  <c r="G1437" i="7"/>
  <c r="I1437" i="7"/>
  <c r="G1436" i="7"/>
  <c r="I1436" i="7"/>
  <c r="G1435" i="7"/>
  <c r="I1435" i="7"/>
  <c r="G1434" i="7"/>
  <c r="I1434" i="7"/>
  <c r="G1433" i="7"/>
  <c r="I1433" i="7"/>
  <c r="H1433" i="7"/>
  <c r="G1432" i="7"/>
  <c r="I1432" i="7"/>
  <c r="H1432" i="7"/>
  <c r="G1431" i="7"/>
  <c r="I1431" i="7"/>
  <c r="H1431" i="7"/>
  <c r="G1430" i="7"/>
  <c r="I1430" i="7"/>
  <c r="G1429" i="7"/>
  <c r="I1429" i="7"/>
  <c r="G1428" i="7"/>
  <c r="I1428" i="7"/>
  <c r="G1427" i="7"/>
  <c r="I1427" i="7"/>
  <c r="G1426" i="7"/>
  <c r="I1426" i="7"/>
  <c r="G1425" i="7"/>
  <c r="I1425" i="7"/>
  <c r="G1424" i="7"/>
  <c r="I1424" i="7"/>
  <c r="G1423" i="7"/>
  <c r="I1423" i="7"/>
  <c r="G1422" i="7"/>
  <c r="I1422" i="7"/>
  <c r="G1421" i="7"/>
  <c r="I1421" i="7"/>
  <c r="H1421" i="7"/>
  <c r="G1420" i="7"/>
  <c r="I1420" i="7"/>
  <c r="H1420" i="7"/>
  <c r="G1419" i="7"/>
  <c r="I1419" i="7"/>
  <c r="H1419" i="7"/>
  <c r="G1418" i="7"/>
  <c r="I1418" i="7"/>
  <c r="H1418" i="7"/>
  <c r="G1417" i="7"/>
  <c r="I1417" i="7"/>
  <c r="G1416" i="7"/>
  <c r="I1416" i="7"/>
  <c r="G1415" i="7"/>
  <c r="I1415" i="7"/>
  <c r="G1414" i="7"/>
  <c r="I1414" i="7"/>
  <c r="G1413" i="7"/>
  <c r="I1413" i="7"/>
  <c r="G1412" i="7"/>
  <c r="I1412" i="7"/>
  <c r="G1411" i="7"/>
  <c r="I1411" i="7"/>
  <c r="G1410" i="7"/>
  <c r="I1410" i="7"/>
  <c r="H1410" i="7"/>
  <c r="G1409" i="7"/>
  <c r="I1409" i="7"/>
  <c r="G1408" i="7"/>
  <c r="I1408" i="7"/>
  <c r="H1408" i="7"/>
  <c r="G1407" i="7"/>
  <c r="I1407" i="7"/>
  <c r="H1407" i="7"/>
  <c r="G1406" i="7"/>
  <c r="I1406" i="7"/>
  <c r="H1406" i="7"/>
  <c r="G1405" i="7"/>
  <c r="I1405" i="7"/>
  <c r="G1404" i="7"/>
  <c r="I1404" i="7"/>
  <c r="G1403" i="7"/>
  <c r="I1403" i="7"/>
  <c r="G1402" i="7"/>
  <c r="I1402" i="7"/>
  <c r="G1401" i="7"/>
  <c r="I1401" i="7"/>
  <c r="G1400" i="7"/>
  <c r="I1400" i="7"/>
  <c r="G1399" i="7"/>
  <c r="I1399" i="7"/>
  <c r="G1398" i="7"/>
  <c r="I1398" i="7"/>
  <c r="G1397" i="7"/>
  <c r="I1397" i="7"/>
  <c r="H1397" i="7"/>
  <c r="G1396" i="7"/>
  <c r="I1396" i="7"/>
  <c r="H1396" i="7"/>
  <c r="G1395" i="7"/>
  <c r="I1395" i="7"/>
  <c r="H1395" i="7"/>
  <c r="G1394" i="7"/>
  <c r="I1394" i="7"/>
  <c r="H1394" i="7"/>
  <c r="G1393" i="7"/>
  <c r="I1393" i="7"/>
  <c r="G1392" i="7"/>
  <c r="I1392" i="7"/>
  <c r="G1391" i="7"/>
  <c r="I1391" i="7"/>
  <c r="G1390" i="7"/>
  <c r="I1390" i="7"/>
  <c r="G1389" i="7"/>
  <c r="I1389" i="7"/>
  <c r="G1388" i="7"/>
  <c r="I1388" i="7"/>
  <c r="G1387" i="7"/>
  <c r="I1387" i="7"/>
  <c r="G1386" i="7"/>
  <c r="I1386" i="7"/>
  <c r="G1385" i="7"/>
  <c r="I1385" i="7"/>
  <c r="H1385" i="7"/>
  <c r="G1384" i="7"/>
  <c r="I1384" i="7"/>
  <c r="G1383" i="7"/>
  <c r="I1383" i="7"/>
  <c r="H1383" i="7"/>
  <c r="G1382" i="7"/>
  <c r="I1382" i="7"/>
  <c r="H1382" i="7"/>
  <c r="G1381" i="7"/>
  <c r="I1381" i="7"/>
  <c r="G1380" i="7"/>
  <c r="I1380" i="7"/>
  <c r="G1379" i="7"/>
  <c r="I1379" i="7"/>
  <c r="G1378" i="7"/>
  <c r="I1378" i="7"/>
  <c r="G1377" i="7"/>
  <c r="I1377" i="7"/>
  <c r="G1376" i="7"/>
  <c r="I1376" i="7"/>
  <c r="G1375" i="7"/>
  <c r="I1375" i="7"/>
  <c r="G1374" i="7"/>
  <c r="I1374" i="7"/>
  <c r="G1373" i="7"/>
  <c r="I1373" i="7"/>
  <c r="G1372" i="7"/>
  <c r="I1372" i="7"/>
  <c r="H1372" i="7"/>
  <c r="G1371" i="7"/>
  <c r="I1371" i="7"/>
  <c r="H1371" i="7"/>
  <c r="G1370" i="7"/>
  <c r="I1370" i="7"/>
  <c r="H1370" i="7"/>
  <c r="G1369" i="7"/>
  <c r="I1369" i="7"/>
  <c r="G1368" i="7"/>
  <c r="I1368" i="7"/>
  <c r="G1367" i="7"/>
  <c r="I1367" i="7"/>
  <c r="G1366" i="7"/>
  <c r="I1366" i="7"/>
  <c r="G1365" i="7"/>
  <c r="I1365" i="7"/>
  <c r="G1364" i="7"/>
  <c r="I1364" i="7"/>
  <c r="G1363" i="7"/>
  <c r="I1363" i="7"/>
  <c r="G1362" i="7"/>
  <c r="I1362" i="7"/>
  <c r="G1361" i="7"/>
  <c r="I1361" i="7"/>
  <c r="H1361" i="7"/>
  <c r="G1360" i="7"/>
  <c r="I1360" i="7"/>
  <c r="H1360" i="7"/>
  <c r="G1359" i="7"/>
  <c r="I1359" i="7"/>
  <c r="H1359" i="7"/>
  <c r="G1358" i="7"/>
  <c r="I1358" i="7"/>
  <c r="H1358" i="7"/>
  <c r="G1357" i="7"/>
  <c r="I1357" i="7"/>
  <c r="G1356" i="7"/>
  <c r="I1356" i="7"/>
  <c r="G1355" i="7"/>
  <c r="I1355" i="7"/>
  <c r="G1354" i="7"/>
  <c r="I1354" i="7"/>
  <c r="G1353" i="7"/>
  <c r="I1353" i="7"/>
  <c r="G1352" i="7"/>
  <c r="I1352" i="7"/>
  <c r="G1351" i="7"/>
  <c r="I1351" i="7"/>
  <c r="G1350" i="7"/>
  <c r="I1350" i="7"/>
  <c r="G1349" i="7"/>
  <c r="I1349" i="7"/>
  <c r="H1349" i="7"/>
  <c r="G1348" i="7"/>
  <c r="I1348" i="7"/>
  <c r="G1347" i="7"/>
  <c r="I1347" i="7"/>
  <c r="H1347" i="7"/>
  <c r="G1346" i="7"/>
  <c r="I1346" i="7"/>
  <c r="H1346" i="7"/>
  <c r="G1345" i="7"/>
  <c r="I1345" i="7"/>
  <c r="G1344" i="7"/>
  <c r="I1344" i="7"/>
  <c r="G1343" i="7"/>
  <c r="I1343" i="7"/>
  <c r="G1342" i="7"/>
  <c r="I1342" i="7"/>
  <c r="G1341" i="7"/>
  <c r="I1341" i="7"/>
  <c r="G1340" i="7"/>
  <c r="I1340" i="7"/>
  <c r="G1339" i="7"/>
  <c r="I1339" i="7"/>
  <c r="G1338" i="7"/>
  <c r="I1338" i="7"/>
  <c r="G1337" i="7"/>
  <c r="I1337" i="7"/>
  <c r="H1337" i="7"/>
  <c r="G1336" i="7"/>
  <c r="I1336" i="7"/>
  <c r="H1336" i="7"/>
  <c r="G1335" i="7"/>
  <c r="I1335" i="7"/>
  <c r="H1335" i="7"/>
  <c r="G1334" i="7"/>
  <c r="I1334" i="7"/>
  <c r="H1334" i="7"/>
  <c r="G1333" i="7"/>
  <c r="I1333" i="7"/>
  <c r="G1332" i="7"/>
  <c r="I1332" i="7"/>
  <c r="G1331" i="7"/>
  <c r="I1331" i="7"/>
  <c r="G1330" i="7"/>
  <c r="I1330" i="7"/>
  <c r="G1329" i="7"/>
  <c r="I1329" i="7"/>
  <c r="G1328" i="7"/>
  <c r="I1328" i="7"/>
  <c r="G1327" i="7"/>
  <c r="I1327" i="7"/>
  <c r="G1326" i="7"/>
  <c r="I1326" i="7"/>
  <c r="G1325" i="7"/>
  <c r="I1325" i="7"/>
  <c r="H1325" i="7"/>
  <c r="G1324" i="7"/>
  <c r="I1324" i="7"/>
  <c r="H1324" i="7"/>
  <c r="G1323" i="7"/>
  <c r="I1323" i="7"/>
  <c r="H1323" i="7"/>
  <c r="G1322" i="7"/>
  <c r="I1322" i="7"/>
  <c r="H1322" i="7"/>
  <c r="G1321" i="7"/>
  <c r="I1321" i="7"/>
  <c r="G1320" i="7"/>
  <c r="I1320" i="7"/>
  <c r="G1319" i="7"/>
  <c r="I1319" i="7"/>
  <c r="G1318" i="7"/>
  <c r="I1318" i="7"/>
  <c r="G1317" i="7"/>
  <c r="I1317" i="7"/>
  <c r="G1316" i="7"/>
  <c r="I1316" i="7"/>
  <c r="G1315" i="7"/>
  <c r="I1315" i="7"/>
  <c r="G1314" i="7"/>
  <c r="I1314" i="7"/>
  <c r="G1313" i="7"/>
  <c r="I1313" i="7"/>
  <c r="H1313" i="7"/>
  <c r="G1312" i="7"/>
  <c r="I1312" i="7"/>
  <c r="H1312" i="7"/>
  <c r="G1311" i="7"/>
  <c r="I1311" i="7"/>
  <c r="H1311" i="7"/>
  <c r="G1310" i="7"/>
  <c r="I1310" i="7"/>
  <c r="H1310" i="7"/>
  <c r="G1309" i="7"/>
  <c r="I1309" i="7"/>
  <c r="G1308" i="7"/>
  <c r="I1308" i="7"/>
  <c r="G1307" i="7"/>
  <c r="I1307" i="7"/>
  <c r="G1306" i="7"/>
  <c r="I1306" i="7"/>
  <c r="G1305" i="7"/>
  <c r="I1305" i="7"/>
  <c r="G1304" i="7"/>
  <c r="I1304" i="7"/>
  <c r="G1303" i="7"/>
  <c r="I1303" i="7"/>
  <c r="G1302" i="7"/>
  <c r="I1302" i="7"/>
  <c r="G1301" i="7"/>
  <c r="I1301" i="7"/>
  <c r="H1301" i="7"/>
  <c r="G1300" i="7"/>
  <c r="I1300" i="7"/>
  <c r="H1300" i="7"/>
  <c r="G1299" i="7"/>
  <c r="I1299" i="7"/>
  <c r="H1299" i="7"/>
  <c r="G1298" i="7"/>
  <c r="I1298" i="7"/>
  <c r="H1298" i="7"/>
  <c r="G1297" i="7"/>
  <c r="I1297" i="7"/>
  <c r="G1296" i="7"/>
  <c r="I1296" i="7"/>
  <c r="G1295" i="7"/>
  <c r="I1295" i="7"/>
  <c r="G1294" i="7"/>
  <c r="I1294" i="7"/>
  <c r="G1293" i="7"/>
  <c r="I1293" i="7"/>
  <c r="G1292" i="7"/>
  <c r="I1292" i="7"/>
  <c r="G1291" i="7"/>
  <c r="I1291" i="7"/>
  <c r="G1290" i="7"/>
  <c r="I1290" i="7"/>
  <c r="G1289" i="7"/>
  <c r="I1289" i="7"/>
  <c r="H1289" i="7"/>
  <c r="G1288" i="7"/>
  <c r="I1288" i="7"/>
  <c r="H1288" i="7"/>
  <c r="G1287" i="7"/>
  <c r="I1287" i="7"/>
  <c r="H1287" i="7"/>
  <c r="G1286" i="7"/>
  <c r="I1286" i="7"/>
  <c r="H1286" i="7"/>
  <c r="G1285" i="7"/>
  <c r="I1285" i="7"/>
  <c r="G1284" i="7"/>
  <c r="I1284" i="7"/>
  <c r="G1283" i="7"/>
  <c r="I1283" i="7"/>
  <c r="G1282" i="7"/>
  <c r="I1282" i="7"/>
  <c r="G1281" i="7"/>
  <c r="I1281" i="7"/>
  <c r="G1280" i="7"/>
  <c r="I1280" i="7"/>
  <c r="G1279" i="7"/>
  <c r="I1279" i="7"/>
  <c r="G1278" i="7"/>
  <c r="I1278" i="7"/>
  <c r="G1277" i="7"/>
  <c r="I1277" i="7"/>
  <c r="H1277" i="7"/>
  <c r="G1276" i="7"/>
  <c r="I1276" i="7"/>
  <c r="H1276" i="7"/>
  <c r="G1275" i="7"/>
  <c r="I1275" i="7"/>
  <c r="H1275" i="7"/>
  <c r="G1274" i="7"/>
  <c r="I1274" i="7"/>
  <c r="H1274" i="7"/>
  <c r="G1273" i="7"/>
  <c r="I1273" i="7"/>
  <c r="G1272" i="7"/>
  <c r="I1272" i="7"/>
  <c r="G1271" i="7"/>
  <c r="I1271" i="7"/>
  <c r="G1270" i="7"/>
  <c r="I1270" i="7"/>
  <c r="G1269" i="7"/>
  <c r="I1269" i="7"/>
  <c r="G1268" i="7"/>
  <c r="I1268" i="7"/>
  <c r="G1267" i="7"/>
  <c r="I1267" i="7"/>
  <c r="G1266" i="7"/>
  <c r="I1266" i="7"/>
  <c r="G1265" i="7"/>
  <c r="I1265" i="7"/>
  <c r="H1265" i="7"/>
  <c r="G1264" i="7"/>
  <c r="I1264" i="7"/>
  <c r="H1264" i="7"/>
  <c r="G1263" i="7"/>
  <c r="I1263" i="7"/>
  <c r="H1263" i="7"/>
  <c r="G1262" i="7"/>
  <c r="I1262" i="7"/>
  <c r="G1261" i="7"/>
  <c r="I1261" i="7"/>
  <c r="G1260" i="7"/>
  <c r="I1260" i="7"/>
  <c r="G1259" i="7"/>
  <c r="I1259" i="7"/>
  <c r="G1258" i="7"/>
  <c r="I1258" i="7"/>
  <c r="H1258" i="7"/>
  <c r="G1257" i="7"/>
  <c r="I1257" i="7"/>
  <c r="G1256" i="7"/>
  <c r="I1256" i="7"/>
  <c r="G1255" i="7"/>
  <c r="I1255" i="7"/>
  <c r="G1254" i="7"/>
  <c r="I1254" i="7"/>
  <c r="G1253" i="7"/>
  <c r="I1253" i="7"/>
  <c r="H1253" i="7"/>
  <c r="G1252" i="7"/>
  <c r="I1252" i="7"/>
  <c r="G1251" i="7"/>
  <c r="I1251" i="7"/>
  <c r="H1251" i="7"/>
  <c r="G1250" i="7"/>
  <c r="I1250" i="7"/>
  <c r="H1250" i="7"/>
  <c r="G1249" i="7"/>
  <c r="I1249" i="7"/>
  <c r="G1248" i="7"/>
  <c r="I1248" i="7"/>
  <c r="G1247" i="7"/>
  <c r="I1247" i="7"/>
  <c r="G1246" i="7"/>
  <c r="I1246" i="7"/>
  <c r="G1245" i="7"/>
  <c r="I1245" i="7"/>
  <c r="G1244" i="7"/>
  <c r="I1244" i="7"/>
  <c r="G1243" i="7"/>
  <c r="I1243" i="7"/>
  <c r="G1242" i="7"/>
  <c r="I1242" i="7"/>
  <c r="G1241" i="7"/>
  <c r="I1241" i="7"/>
  <c r="G1240" i="7"/>
  <c r="I1240" i="7"/>
  <c r="H1240" i="7"/>
  <c r="G1239" i="7"/>
  <c r="I1239" i="7"/>
  <c r="H1239" i="7"/>
  <c r="G1238" i="7"/>
  <c r="I1238" i="7"/>
  <c r="H1238" i="7"/>
  <c r="G1237" i="7"/>
  <c r="I1237" i="7"/>
  <c r="G1236" i="7"/>
  <c r="I1236" i="7"/>
  <c r="G1235" i="7"/>
  <c r="I1235" i="7"/>
  <c r="G1234" i="7"/>
  <c r="I1234" i="7"/>
  <c r="G1233" i="7"/>
  <c r="I1233" i="7"/>
  <c r="G1232" i="7"/>
  <c r="I1232" i="7"/>
  <c r="H1232" i="7"/>
  <c r="G1231" i="7"/>
  <c r="I1231" i="7"/>
  <c r="G1230" i="7"/>
  <c r="I1230" i="7"/>
  <c r="G1229" i="7"/>
  <c r="I1229" i="7"/>
  <c r="H1229" i="7"/>
  <c r="G1228" i="7"/>
  <c r="I1228" i="7"/>
  <c r="H1228" i="7"/>
  <c r="G1227" i="7"/>
  <c r="I1227" i="7"/>
  <c r="H1227" i="7"/>
  <c r="G1226" i="7"/>
  <c r="I1226" i="7"/>
  <c r="H1226" i="7"/>
  <c r="G1225" i="7"/>
  <c r="I1225" i="7"/>
  <c r="G1224" i="7"/>
  <c r="I1224" i="7"/>
  <c r="G1223" i="7"/>
  <c r="I1223" i="7"/>
  <c r="G1222" i="7"/>
  <c r="I1222" i="7"/>
  <c r="G1221" i="7"/>
  <c r="I1221" i="7"/>
  <c r="G1220" i="7"/>
  <c r="I1220" i="7"/>
  <c r="G1219" i="7"/>
  <c r="I1219" i="7"/>
  <c r="G1218" i="7"/>
  <c r="I1218" i="7"/>
  <c r="H1218" i="7"/>
  <c r="G1217" i="7"/>
  <c r="I1217" i="7"/>
  <c r="H1217" i="7"/>
  <c r="G1216" i="7"/>
  <c r="I1216" i="7"/>
  <c r="H1216" i="7"/>
  <c r="G1215" i="7"/>
  <c r="I1215" i="7"/>
  <c r="H1215" i="7"/>
  <c r="G1214" i="7"/>
  <c r="I1214" i="7"/>
  <c r="H1214" i="7"/>
  <c r="G1213" i="7"/>
  <c r="I1213" i="7"/>
  <c r="G1212" i="7"/>
  <c r="I1212" i="7"/>
  <c r="G1211" i="7"/>
  <c r="I1211" i="7"/>
  <c r="G1210" i="7"/>
  <c r="I1210" i="7"/>
  <c r="G1209" i="7"/>
  <c r="I1209" i="7"/>
  <c r="G1208" i="7"/>
  <c r="I1208" i="7"/>
  <c r="H1208" i="7"/>
  <c r="G1207" i="7"/>
  <c r="I1207" i="7"/>
  <c r="G1206" i="7"/>
  <c r="I1206" i="7"/>
  <c r="G1205" i="7"/>
  <c r="I1205" i="7"/>
  <c r="H1205" i="7"/>
  <c r="G1204" i="7"/>
  <c r="I1204" i="7"/>
  <c r="H1204" i="7"/>
  <c r="G1203" i="7"/>
  <c r="I1203" i="7"/>
  <c r="H1203" i="7"/>
  <c r="G1202" i="7"/>
  <c r="I1202" i="7"/>
  <c r="G1201" i="7"/>
  <c r="I1201" i="7"/>
  <c r="G1200" i="7"/>
  <c r="I1200" i="7"/>
  <c r="G1199" i="7"/>
  <c r="I1199" i="7"/>
  <c r="G1198" i="7"/>
  <c r="I1198" i="7"/>
  <c r="G1197" i="7"/>
  <c r="I1197" i="7"/>
  <c r="G1196" i="7"/>
  <c r="I1196" i="7"/>
  <c r="G1195" i="7"/>
  <c r="I1195" i="7"/>
  <c r="G1194" i="7"/>
  <c r="I1194" i="7"/>
  <c r="G1193" i="7"/>
  <c r="I1193" i="7"/>
  <c r="H1193" i="7"/>
  <c r="G1192" i="7"/>
  <c r="I1192" i="7"/>
  <c r="H1192" i="7"/>
  <c r="G1191" i="7"/>
  <c r="I1191" i="7"/>
  <c r="H1191" i="7"/>
  <c r="G1190" i="7"/>
  <c r="I1190" i="7"/>
  <c r="H1190" i="7"/>
  <c r="G1189" i="7"/>
  <c r="I1189" i="7"/>
  <c r="G1188" i="7"/>
  <c r="I1188" i="7"/>
  <c r="G1187" i="7"/>
  <c r="I1187" i="7"/>
  <c r="G1186" i="7"/>
  <c r="I1186" i="7"/>
  <c r="G1185" i="7"/>
  <c r="I1185" i="7"/>
  <c r="G1184" i="7"/>
  <c r="I1184" i="7"/>
  <c r="G1183" i="7"/>
  <c r="I1183" i="7"/>
  <c r="G1182" i="7"/>
  <c r="I1182" i="7"/>
  <c r="H1182" i="7"/>
  <c r="G1181" i="7"/>
  <c r="I1181" i="7"/>
  <c r="G1180" i="7"/>
  <c r="I1180" i="7"/>
  <c r="H1180" i="7"/>
  <c r="G1179" i="7"/>
  <c r="I1179" i="7"/>
  <c r="H1179" i="7"/>
  <c r="G1178" i="7"/>
  <c r="I1178" i="7"/>
  <c r="H1178" i="7"/>
  <c r="G1177" i="7"/>
  <c r="I1177" i="7"/>
  <c r="G1176" i="7"/>
  <c r="I1176" i="7"/>
  <c r="G1175" i="7"/>
  <c r="I1175" i="7"/>
  <c r="G1174" i="7"/>
  <c r="I1174" i="7"/>
  <c r="G1173" i="7"/>
  <c r="I1173" i="7"/>
  <c r="G1172" i="7"/>
  <c r="I1172" i="7"/>
  <c r="G1171" i="7"/>
  <c r="I1171" i="7"/>
  <c r="G1170" i="7"/>
  <c r="I1170" i="7"/>
  <c r="G1169" i="7"/>
  <c r="I1169" i="7"/>
  <c r="H1169" i="7"/>
  <c r="G1168" i="7"/>
  <c r="I1168" i="7"/>
  <c r="H1168" i="7"/>
  <c r="G1167" i="7"/>
  <c r="I1167" i="7"/>
  <c r="H1167" i="7"/>
  <c r="G1166" i="7"/>
  <c r="I1166" i="7"/>
  <c r="H1166" i="7"/>
  <c r="G1165" i="7"/>
  <c r="I1165" i="7"/>
  <c r="G1164" i="7"/>
  <c r="I1164" i="7"/>
  <c r="G1163" i="7"/>
  <c r="I1163" i="7"/>
  <c r="G1162" i="7"/>
  <c r="I1162" i="7"/>
  <c r="G1161" i="7"/>
  <c r="I1161" i="7"/>
  <c r="G1160" i="7"/>
  <c r="I1160" i="7"/>
  <c r="G1159" i="7"/>
  <c r="I1159" i="7"/>
  <c r="G1158" i="7"/>
  <c r="I1158" i="7"/>
  <c r="G1157" i="7"/>
  <c r="I1157" i="7"/>
  <c r="H1157" i="7"/>
  <c r="G1156" i="7"/>
  <c r="I1156" i="7"/>
  <c r="G1155" i="7"/>
  <c r="I1155" i="7"/>
  <c r="H1155" i="7"/>
  <c r="G1154" i="7"/>
  <c r="I1154" i="7"/>
  <c r="H1154" i="7"/>
  <c r="G1153" i="7"/>
  <c r="I1153" i="7"/>
  <c r="G1152" i="7"/>
  <c r="I1152" i="7"/>
  <c r="G1151" i="7"/>
  <c r="I1151" i="7"/>
  <c r="G1150" i="7"/>
  <c r="I1150" i="7"/>
  <c r="G1149" i="7"/>
  <c r="I1149" i="7"/>
  <c r="G1148" i="7"/>
  <c r="I1148" i="7"/>
  <c r="G1147" i="7"/>
  <c r="I1147" i="7"/>
  <c r="G1146" i="7"/>
  <c r="I1146" i="7"/>
  <c r="G1145" i="7"/>
  <c r="I1145" i="7"/>
  <c r="G1144" i="7"/>
  <c r="I1144" i="7"/>
  <c r="H1144" i="7"/>
  <c r="G1143" i="7"/>
  <c r="I1143" i="7"/>
  <c r="H1143" i="7"/>
  <c r="G1142" i="7"/>
  <c r="I1142" i="7"/>
  <c r="H1142" i="7"/>
  <c r="G1141" i="7"/>
  <c r="I1141" i="7"/>
  <c r="G1140" i="7"/>
  <c r="I1140" i="7"/>
  <c r="G1139" i="7"/>
  <c r="I1139" i="7"/>
  <c r="G1138" i="7"/>
  <c r="I1138" i="7"/>
  <c r="H1138" i="7"/>
  <c r="G1137" i="7"/>
  <c r="I1137" i="7"/>
  <c r="G1136" i="7"/>
  <c r="I1136" i="7"/>
  <c r="G1135" i="7"/>
  <c r="I1135" i="7"/>
  <c r="G1134" i="7"/>
  <c r="I1134" i="7"/>
  <c r="H1134" i="7"/>
  <c r="G1133" i="7"/>
  <c r="I1133" i="7"/>
  <c r="H1133" i="7"/>
  <c r="G1132" i="7"/>
  <c r="I1132" i="7"/>
  <c r="H1132" i="7"/>
  <c r="G1131" i="7"/>
  <c r="I1131" i="7"/>
  <c r="H1131" i="7"/>
  <c r="G1130" i="7"/>
  <c r="I1130" i="7"/>
  <c r="H1130" i="7"/>
  <c r="G1129" i="7"/>
  <c r="I1129" i="7"/>
  <c r="G1128" i="7"/>
  <c r="I1128" i="7"/>
  <c r="G1127" i="7"/>
  <c r="I1127" i="7"/>
  <c r="G1126" i="7"/>
  <c r="I1126" i="7"/>
  <c r="G1125" i="7"/>
  <c r="I1125" i="7"/>
  <c r="G1124" i="7"/>
  <c r="I1124" i="7"/>
  <c r="G1123" i="7"/>
  <c r="I1123" i="7"/>
  <c r="G1122" i="7"/>
  <c r="I1122" i="7"/>
  <c r="H1122" i="7"/>
  <c r="G1121" i="7"/>
  <c r="I1121" i="7"/>
  <c r="G1120" i="7"/>
  <c r="I1120" i="7"/>
  <c r="H1120" i="7"/>
  <c r="G1119" i="7"/>
  <c r="I1119" i="7"/>
  <c r="H1119" i="7"/>
  <c r="G1118" i="7"/>
  <c r="I1118" i="7"/>
  <c r="H1118" i="7"/>
  <c r="G1117" i="7"/>
  <c r="I1117" i="7"/>
  <c r="G1116" i="7"/>
  <c r="I1116" i="7"/>
  <c r="G1115" i="7"/>
  <c r="I1115" i="7"/>
  <c r="G1114" i="7"/>
  <c r="I1114" i="7"/>
  <c r="G1113" i="7"/>
  <c r="I1113" i="7"/>
  <c r="G1112" i="7"/>
  <c r="I1112" i="7"/>
  <c r="G1111" i="7"/>
  <c r="I1111" i="7"/>
  <c r="G1110" i="7"/>
  <c r="I1110" i="7"/>
  <c r="G1109" i="7"/>
  <c r="I1109" i="7"/>
  <c r="H1109" i="7"/>
  <c r="G1108" i="7"/>
  <c r="I1108" i="7"/>
  <c r="H1108" i="7"/>
  <c r="G1107" i="7"/>
  <c r="I1107" i="7"/>
  <c r="H1107" i="7"/>
  <c r="G1106" i="7"/>
  <c r="I1106" i="7"/>
  <c r="H1106" i="7"/>
  <c r="G1105" i="7"/>
  <c r="I1105" i="7"/>
  <c r="G1104" i="7"/>
  <c r="I1104" i="7"/>
  <c r="G1103" i="7"/>
  <c r="I1103" i="7"/>
  <c r="G1102" i="7"/>
  <c r="I1102" i="7"/>
  <c r="G1101" i="7"/>
  <c r="I1101" i="7"/>
  <c r="G1100" i="7"/>
  <c r="I1100" i="7"/>
  <c r="G1099" i="7"/>
  <c r="I1099" i="7"/>
  <c r="G1098" i="7"/>
  <c r="I1098" i="7"/>
  <c r="G1097" i="7"/>
  <c r="I1097" i="7"/>
  <c r="H1097" i="7"/>
  <c r="G1096" i="7"/>
  <c r="I1096" i="7"/>
  <c r="G1095" i="7"/>
  <c r="I1095" i="7"/>
  <c r="H1095" i="7"/>
  <c r="G1094" i="7"/>
  <c r="I1094" i="7"/>
  <c r="H1094" i="7"/>
  <c r="G1093" i="7"/>
  <c r="I1093" i="7"/>
  <c r="G1092" i="7"/>
  <c r="I1092" i="7"/>
  <c r="G1091" i="7"/>
  <c r="I1091" i="7"/>
  <c r="G1090" i="7"/>
  <c r="I1090" i="7"/>
  <c r="G1089" i="7"/>
  <c r="I1089" i="7"/>
  <c r="G1088" i="7"/>
  <c r="I1088" i="7"/>
  <c r="G1087" i="7"/>
  <c r="I1087" i="7"/>
  <c r="G1086" i="7"/>
  <c r="I1086" i="7"/>
  <c r="H1086" i="7"/>
  <c r="G1085" i="7"/>
  <c r="I1085" i="7"/>
  <c r="G1084" i="7"/>
  <c r="I1084" i="7"/>
  <c r="H1084" i="7"/>
  <c r="G1083" i="7"/>
  <c r="I1083" i="7"/>
  <c r="H1083" i="7"/>
  <c r="G1082" i="7"/>
  <c r="I1082" i="7"/>
  <c r="H1082" i="7"/>
  <c r="G1081" i="7"/>
  <c r="I1081" i="7"/>
  <c r="G1080" i="7"/>
  <c r="I1080" i="7"/>
  <c r="G1079" i="7"/>
  <c r="I1079" i="7"/>
  <c r="G1078" i="7"/>
  <c r="I1078" i="7"/>
  <c r="G1077" i="7"/>
  <c r="I1077" i="7"/>
  <c r="G1076" i="7"/>
  <c r="I1076" i="7"/>
  <c r="G1075" i="7"/>
  <c r="I1075" i="7"/>
  <c r="G1074" i="7"/>
  <c r="I1074" i="7"/>
  <c r="H1074" i="7"/>
  <c r="G1073" i="7"/>
  <c r="I1073" i="7"/>
  <c r="H1073" i="7"/>
  <c r="G1072" i="7"/>
  <c r="I1072" i="7"/>
  <c r="H1072" i="7"/>
  <c r="G1071" i="7"/>
  <c r="I1071" i="7"/>
  <c r="H1071" i="7"/>
  <c r="G1070" i="7"/>
  <c r="I1070" i="7"/>
  <c r="H1070" i="7"/>
  <c r="G1069" i="7"/>
  <c r="I1069" i="7"/>
  <c r="G1068" i="7"/>
  <c r="I1068" i="7"/>
  <c r="G1067" i="7"/>
  <c r="I1067" i="7"/>
  <c r="G1066" i="7"/>
  <c r="I1066" i="7"/>
  <c r="G1065" i="7"/>
  <c r="I1065" i="7"/>
  <c r="G1064" i="7"/>
  <c r="I1064" i="7"/>
  <c r="G1063" i="7"/>
  <c r="I1063" i="7"/>
  <c r="G1062" i="7"/>
  <c r="I1062" i="7"/>
  <c r="H1062" i="7"/>
  <c r="G1061" i="7"/>
  <c r="I1061" i="7"/>
  <c r="G1060" i="7"/>
  <c r="I1060" i="7"/>
  <c r="H1060" i="7"/>
  <c r="G1059" i="7"/>
  <c r="I1059" i="7"/>
  <c r="H1059" i="7"/>
  <c r="G1058" i="7"/>
  <c r="I1058" i="7"/>
  <c r="H1058" i="7"/>
  <c r="G1057" i="7"/>
  <c r="I1057" i="7"/>
  <c r="G1056" i="7"/>
  <c r="I1056" i="7"/>
  <c r="G1055" i="7"/>
  <c r="I1055" i="7"/>
  <c r="G1054" i="7"/>
  <c r="I1054" i="7"/>
  <c r="G1053" i="7"/>
  <c r="I1053" i="7"/>
  <c r="G1052" i="7"/>
  <c r="I1052" i="7"/>
  <c r="G1051" i="7"/>
  <c r="I1051" i="7"/>
  <c r="G1050" i="7"/>
  <c r="I1050" i="7"/>
  <c r="G1049" i="7"/>
  <c r="I1049" i="7"/>
  <c r="H1049" i="7"/>
  <c r="G1048" i="7"/>
  <c r="I1048" i="7"/>
  <c r="H1048" i="7"/>
  <c r="G1047" i="7"/>
  <c r="I1047" i="7"/>
  <c r="H1047" i="7"/>
  <c r="G1046" i="7"/>
  <c r="I1046" i="7"/>
  <c r="H1046" i="7"/>
  <c r="G1045" i="7"/>
  <c r="I1045" i="7"/>
  <c r="G1044" i="7"/>
  <c r="I1044" i="7"/>
  <c r="G1043" i="7"/>
  <c r="I1043" i="7"/>
  <c r="G1042" i="7"/>
  <c r="I1042" i="7"/>
  <c r="G1041" i="7"/>
  <c r="I1041" i="7"/>
  <c r="G1040" i="7"/>
  <c r="I1040" i="7"/>
  <c r="G1039" i="7"/>
  <c r="I1039" i="7"/>
  <c r="G1038" i="7"/>
  <c r="I1038" i="7"/>
  <c r="G1037" i="7"/>
  <c r="I1037" i="7"/>
  <c r="H1037" i="7"/>
  <c r="G1036" i="7"/>
  <c r="I1036" i="7"/>
  <c r="G1035" i="7"/>
  <c r="I1035" i="7"/>
  <c r="H1035" i="7"/>
  <c r="G1034" i="7"/>
  <c r="I1034" i="7"/>
  <c r="H1034" i="7"/>
  <c r="G1033" i="7"/>
  <c r="I1033" i="7"/>
  <c r="G1032" i="7"/>
  <c r="I1032" i="7"/>
  <c r="G1031" i="7"/>
  <c r="I1031" i="7"/>
  <c r="G1030" i="7"/>
  <c r="I1030" i="7"/>
  <c r="G1029" i="7"/>
  <c r="I1029" i="7"/>
  <c r="G1028" i="7"/>
  <c r="I1028" i="7"/>
  <c r="G1027" i="7"/>
  <c r="I1027" i="7"/>
  <c r="G1026" i="7"/>
  <c r="I1026" i="7"/>
  <c r="G1025" i="7"/>
  <c r="I1025" i="7"/>
  <c r="G1024" i="7"/>
  <c r="I1024" i="7"/>
  <c r="H1024" i="7"/>
  <c r="G1023" i="7"/>
  <c r="I1023" i="7"/>
  <c r="H1023" i="7"/>
  <c r="G1022" i="7"/>
  <c r="I1022" i="7"/>
  <c r="H1022" i="7"/>
  <c r="G1021" i="7"/>
  <c r="I1021" i="7"/>
  <c r="G1020" i="7"/>
  <c r="I1020" i="7"/>
  <c r="G1019" i="7"/>
  <c r="I1019" i="7"/>
  <c r="G1018" i="7"/>
  <c r="I1018" i="7"/>
  <c r="G1017" i="7"/>
  <c r="I1017" i="7"/>
  <c r="G1016" i="7"/>
  <c r="I1016" i="7"/>
  <c r="G1015" i="7"/>
  <c r="I1015" i="7"/>
  <c r="G1014" i="7"/>
  <c r="I1014" i="7"/>
  <c r="G1013" i="7"/>
  <c r="I1013" i="7"/>
  <c r="H1013" i="7"/>
  <c r="G1012" i="7"/>
  <c r="I1012" i="7"/>
  <c r="H1012" i="7"/>
  <c r="G1011" i="7"/>
  <c r="I1011" i="7"/>
  <c r="H1011" i="7"/>
  <c r="G1010" i="7"/>
  <c r="I1010" i="7"/>
  <c r="H1010" i="7"/>
  <c r="G1009" i="7"/>
  <c r="I1009" i="7"/>
  <c r="G1008" i="7"/>
  <c r="I1008" i="7"/>
  <c r="G1007" i="7"/>
  <c r="I1007" i="7"/>
  <c r="G1006" i="7"/>
  <c r="I1006" i="7"/>
  <c r="G1005" i="7"/>
  <c r="I1005" i="7"/>
  <c r="G1004" i="7"/>
  <c r="I1004" i="7"/>
  <c r="G1003" i="7"/>
  <c r="I1003" i="7"/>
  <c r="G1002" i="7"/>
  <c r="I1002" i="7"/>
  <c r="H1002" i="7"/>
  <c r="G1001" i="7"/>
  <c r="I1001" i="7"/>
  <c r="H1001" i="7"/>
  <c r="G1000" i="7"/>
  <c r="I1000" i="7"/>
  <c r="H1000" i="7"/>
  <c r="G999" i="7"/>
  <c r="I999" i="7"/>
  <c r="H999" i="7"/>
  <c r="G998" i="7"/>
  <c r="I998" i="7"/>
  <c r="H998" i="7"/>
  <c r="G997" i="7"/>
  <c r="I997" i="7"/>
  <c r="G996" i="7"/>
  <c r="I996" i="7"/>
  <c r="G995" i="7"/>
  <c r="I995" i="7"/>
  <c r="G994" i="7"/>
  <c r="I994" i="7"/>
  <c r="G993" i="7"/>
  <c r="I993" i="7"/>
  <c r="G992" i="7"/>
  <c r="I992" i="7"/>
  <c r="G991" i="7"/>
  <c r="I991" i="7"/>
  <c r="G990" i="7"/>
  <c r="I990" i="7"/>
  <c r="G989" i="7"/>
  <c r="I989" i="7"/>
  <c r="H989" i="7"/>
  <c r="G988" i="7"/>
  <c r="I988" i="7"/>
  <c r="H988" i="7"/>
  <c r="G987" i="7"/>
  <c r="I987" i="7"/>
  <c r="H987" i="7"/>
  <c r="G986" i="7"/>
  <c r="I986" i="7"/>
  <c r="H986" i="7"/>
  <c r="G985" i="7"/>
  <c r="I985" i="7"/>
  <c r="G984" i="7"/>
  <c r="I984" i="7"/>
  <c r="G983" i="7"/>
  <c r="I983" i="7"/>
  <c r="G982" i="7"/>
  <c r="I982" i="7"/>
  <c r="G981" i="7"/>
  <c r="I981" i="7"/>
  <c r="G980" i="7"/>
  <c r="I980" i="7"/>
  <c r="G979" i="7"/>
  <c r="I979" i="7"/>
  <c r="G978" i="7"/>
  <c r="I978" i="7"/>
  <c r="H978" i="7"/>
  <c r="G977" i="7"/>
  <c r="I977" i="7"/>
  <c r="H977" i="7"/>
  <c r="G976" i="7"/>
  <c r="I976" i="7"/>
  <c r="G975" i="7"/>
  <c r="I975" i="7"/>
  <c r="H975" i="7"/>
  <c r="G974" i="7"/>
  <c r="I974" i="7"/>
  <c r="H974" i="7"/>
  <c r="G973" i="7"/>
  <c r="I973" i="7"/>
  <c r="G972" i="7"/>
  <c r="I972" i="7"/>
  <c r="G971" i="7"/>
  <c r="I971" i="7"/>
  <c r="G970" i="7"/>
  <c r="I970" i="7"/>
  <c r="G969" i="7"/>
  <c r="I969" i="7"/>
  <c r="G968" i="7"/>
  <c r="I968" i="7"/>
  <c r="G967" i="7"/>
  <c r="I967" i="7"/>
  <c r="G966" i="7"/>
  <c r="I966" i="7"/>
  <c r="G965" i="7"/>
  <c r="I965" i="7"/>
  <c r="G964" i="7"/>
  <c r="I964" i="7"/>
  <c r="H964" i="7"/>
  <c r="G963" i="7"/>
  <c r="I963" i="7"/>
  <c r="H963" i="7"/>
  <c r="G962" i="7"/>
  <c r="I962" i="7"/>
  <c r="H962" i="7"/>
  <c r="G961" i="7"/>
  <c r="I961" i="7"/>
  <c r="G960" i="7"/>
  <c r="I960" i="7"/>
  <c r="G959" i="7"/>
  <c r="I959" i="7"/>
  <c r="G958" i="7"/>
  <c r="I958" i="7"/>
  <c r="G957" i="7"/>
  <c r="I957" i="7"/>
  <c r="G956" i="7"/>
  <c r="I956" i="7"/>
  <c r="G955" i="7"/>
  <c r="I955" i="7"/>
  <c r="G954" i="7"/>
  <c r="I954" i="7"/>
  <c r="G953" i="7"/>
  <c r="I953" i="7"/>
  <c r="H953" i="7"/>
  <c r="G952" i="7"/>
  <c r="I952" i="7"/>
  <c r="H952" i="7"/>
  <c r="G951" i="7"/>
  <c r="I951" i="7"/>
  <c r="H951" i="7"/>
  <c r="G950" i="7"/>
  <c r="I950" i="7"/>
  <c r="H950" i="7"/>
  <c r="G949" i="7"/>
  <c r="I949" i="7"/>
  <c r="G948" i="7"/>
  <c r="I948" i="7"/>
  <c r="G947" i="7"/>
  <c r="I947" i="7"/>
  <c r="G946" i="7"/>
  <c r="I946" i="7"/>
  <c r="G945" i="7"/>
  <c r="I945" i="7"/>
  <c r="G944" i="7"/>
  <c r="I944" i="7"/>
  <c r="G943" i="7"/>
  <c r="I943" i="7"/>
  <c r="G942" i="7"/>
  <c r="I942" i="7"/>
  <c r="H942" i="7"/>
  <c r="G941" i="7"/>
  <c r="I941" i="7"/>
  <c r="H941" i="7"/>
  <c r="G940" i="7"/>
  <c r="I940" i="7"/>
  <c r="H940" i="7"/>
  <c r="G939" i="7"/>
  <c r="I939" i="7"/>
  <c r="H939" i="7"/>
  <c r="G938" i="7"/>
  <c r="I938" i="7"/>
  <c r="H938" i="7"/>
  <c r="G937" i="7"/>
  <c r="I937" i="7"/>
  <c r="G936" i="7"/>
  <c r="I936" i="7"/>
  <c r="G935" i="7"/>
  <c r="I935" i="7"/>
  <c r="G934" i="7"/>
  <c r="I934" i="7"/>
  <c r="G933" i="7"/>
  <c r="I933" i="7"/>
  <c r="G932" i="7"/>
  <c r="I932" i="7"/>
  <c r="G931" i="7"/>
  <c r="I931" i="7"/>
  <c r="G930" i="7"/>
  <c r="I930" i="7"/>
  <c r="G929" i="7"/>
  <c r="I929" i="7"/>
  <c r="H929" i="7"/>
  <c r="G928" i="7"/>
  <c r="I928" i="7"/>
  <c r="H928" i="7"/>
  <c r="G927" i="7"/>
  <c r="I927" i="7"/>
  <c r="H927" i="7"/>
  <c r="G926" i="7"/>
  <c r="I926" i="7"/>
  <c r="H926" i="7"/>
  <c r="G925" i="7"/>
  <c r="I925" i="7"/>
  <c r="G924" i="7"/>
  <c r="I924" i="7"/>
  <c r="G923" i="7"/>
  <c r="I923" i="7"/>
  <c r="G922" i="7"/>
  <c r="I922" i="7"/>
  <c r="G921" i="7"/>
  <c r="I921" i="7"/>
  <c r="G920" i="7"/>
  <c r="I920" i="7"/>
  <c r="G919" i="7"/>
  <c r="I919" i="7"/>
  <c r="G918" i="7"/>
  <c r="I918" i="7"/>
  <c r="H918" i="7"/>
  <c r="G917" i="7"/>
  <c r="I917" i="7"/>
  <c r="H917" i="7"/>
  <c r="G916" i="7"/>
  <c r="I916" i="7"/>
  <c r="G915" i="7"/>
  <c r="I915" i="7"/>
  <c r="H915" i="7"/>
  <c r="G914" i="7"/>
  <c r="I914" i="7"/>
  <c r="H914" i="7"/>
  <c r="G913" i="7"/>
  <c r="I913" i="7"/>
  <c r="G912" i="7"/>
  <c r="I912" i="7"/>
  <c r="G911" i="7"/>
  <c r="I911" i="7"/>
  <c r="G910" i="7"/>
  <c r="I910" i="7"/>
  <c r="G909" i="7"/>
  <c r="I909" i="7"/>
  <c r="G908" i="7"/>
  <c r="I908" i="7"/>
  <c r="G907" i="7"/>
  <c r="I907" i="7"/>
  <c r="G906" i="7"/>
  <c r="I906" i="7"/>
  <c r="H906" i="7"/>
  <c r="G905" i="7"/>
  <c r="I905" i="7"/>
  <c r="G904" i="7"/>
  <c r="I904" i="7"/>
  <c r="H904" i="7"/>
  <c r="G903" i="7"/>
  <c r="I903" i="7"/>
  <c r="H903" i="7"/>
  <c r="G902" i="7"/>
  <c r="I902" i="7"/>
  <c r="H902" i="7"/>
  <c r="G901" i="7"/>
  <c r="I901" i="7"/>
  <c r="G900" i="7"/>
  <c r="I900" i="7"/>
  <c r="G899" i="7"/>
  <c r="I899" i="7"/>
  <c r="G898" i="7"/>
  <c r="I898" i="7"/>
  <c r="G897" i="7"/>
  <c r="I897" i="7"/>
  <c r="G896" i="7"/>
  <c r="I896" i="7"/>
  <c r="G895" i="7"/>
  <c r="I895" i="7"/>
  <c r="G894" i="7"/>
  <c r="I894" i="7"/>
  <c r="G893" i="7"/>
  <c r="I893" i="7"/>
  <c r="H893" i="7"/>
  <c r="G892" i="7"/>
  <c r="I892" i="7"/>
  <c r="H892" i="7"/>
  <c r="G891" i="7"/>
  <c r="I891" i="7"/>
  <c r="H891" i="7"/>
  <c r="G890" i="7"/>
  <c r="I890" i="7"/>
  <c r="H890" i="7"/>
  <c r="G889" i="7"/>
  <c r="I889" i="7"/>
  <c r="G888" i="7"/>
  <c r="I888" i="7"/>
  <c r="G887" i="7"/>
  <c r="I887" i="7"/>
  <c r="G886" i="7"/>
  <c r="I886" i="7"/>
  <c r="G885" i="7"/>
  <c r="I885" i="7"/>
  <c r="G884" i="7"/>
  <c r="I884" i="7"/>
  <c r="G883" i="7"/>
  <c r="I883" i="7"/>
  <c r="G882" i="7"/>
  <c r="I882" i="7"/>
  <c r="G881" i="7"/>
  <c r="I881" i="7"/>
  <c r="H881" i="7"/>
  <c r="G880" i="7"/>
  <c r="I880" i="7"/>
  <c r="H880" i="7"/>
  <c r="G879" i="7"/>
  <c r="I879" i="7"/>
  <c r="H879" i="7"/>
  <c r="G878" i="7"/>
  <c r="I878" i="7"/>
  <c r="H878" i="7"/>
  <c r="G877" i="7"/>
  <c r="I877" i="7"/>
  <c r="G876" i="7"/>
  <c r="I876" i="7"/>
  <c r="G875" i="7"/>
  <c r="I875" i="7"/>
  <c r="G874" i="7"/>
  <c r="I874" i="7"/>
  <c r="G873" i="7"/>
  <c r="I873" i="7"/>
  <c r="G872" i="7"/>
  <c r="I872" i="7"/>
  <c r="G871" i="7"/>
  <c r="I871" i="7"/>
  <c r="G870" i="7"/>
  <c r="I870" i="7"/>
  <c r="G869" i="7"/>
  <c r="I869" i="7"/>
  <c r="H869" i="7"/>
  <c r="G868" i="7"/>
  <c r="I868" i="7"/>
  <c r="H868" i="7"/>
  <c r="G867" i="7"/>
  <c r="I867" i="7"/>
  <c r="H867" i="7"/>
  <c r="G866" i="7"/>
  <c r="I866" i="7"/>
  <c r="H866" i="7"/>
  <c r="G865" i="7"/>
  <c r="I865" i="7"/>
  <c r="G864" i="7"/>
  <c r="I864" i="7"/>
  <c r="G863" i="7"/>
  <c r="I863" i="7"/>
  <c r="G862" i="7"/>
  <c r="I862" i="7"/>
  <c r="G861" i="7"/>
  <c r="I861" i="7"/>
  <c r="G860" i="7"/>
  <c r="I860" i="7"/>
  <c r="G859" i="7"/>
  <c r="I859" i="7"/>
  <c r="G858" i="7"/>
  <c r="I858" i="7"/>
  <c r="H858" i="7"/>
  <c r="G857" i="7"/>
  <c r="I857" i="7"/>
  <c r="H857" i="7"/>
  <c r="G856" i="7"/>
  <c r="I856" i="7"/>
  <c r="G855" i="7"/>
  <c r="I855" i="7"/>
  <c r="H855" i="7"/>
  <c r="G854" i="7"/>
  <c r="I854" i="7"/>
  <c r="H854" i="7"/>
  <c r="G853" i="7"/>
  <c r="I853" i="7"/>
  <c r="G852" i="7"/>
  <c r="I852" i="7"/>
  <c r="G851" i="7"/>
  <c r="I851" i="7"/>
  <c r="G850" i="7"/>
  <c r="I850" i="7"/>
  <c r="G849" i="7"/>
  <c r="I849" i="7"/>
  <c r="G848" i="7"/>
  <c r="I848" i="7"/>
  <c r="G847" i="7"/>
  <c r="I847" i="7"/>
  <c r="G846" i="7"/>
  <c r="I846" i="7"/>
  <c r="H846" i="7"/>
  <c r="G845" i="7"/>
  <c r="I845" i="7"/>
  <c r="G844" i="7"/>
  <c r="I844" i="7"/>
  <c r="H844" i="7"/>
  <c r="G843" i="7"/>
  <c r="I843" i="7"/>
  <c r="H843" i="7"/>
  <c r="G842" i="7"/>
  <c r="I842" i="7"/>
  <c r="H842" i="7"/>
  <c r="G841" i="7"/>
  <c r="I841" i="7"/>
  <c r="G840" i="7"/>
  <c r="I840" i="7"/>
  <c r="G839" i="7"/>
  <c r="I839" i="7"/>
  <c r="G838" i="7"/>
  <c r="I838" i="7"/>
  <c r="G837" i="7"/>
  <c r="I837" i="7"/>
  <c r="G836" i="7"/>
  <c r="I836" i="7"/>
  <c r="G835" i="7"/>
  <c r="I835" i="7"/>
  <c r="G834" i="7"/>
  <c r="I834" i="7"/>
  <c r="H834" i="7"/>
  <c r="G833" i="7"/>
  <c r="I833" i="7"/>
  <c r="H833" i="7"/>
  <c r="G832" i="7"/>
  <c r="I832" i="7"/>
  <c r="H832" i="7"/>
  <c r="G831" i="7"/>
  <c r="I831" i="7"/>
  <c r="H831" i="7"/>
  <c r="G830" i="7"/>
  <c r="I830" i="7"/>
  <c r="H830" i="7"/>
  <c r="G829" i="7"/>
  <c r="I829" i="7"/>
  <c r="G828" i="7"/>
  <c r="I828" i="7"/>
  <c r="G827" i="7"/>
  <c r="I827" i="7"/>
  <c r="G826" i="7"/>
  <c r="I826" i="7"/>
  <c r="G825" i="7"/>
  <c r="I825" i="7"/>
  <c r="G824" i="7"/>
  <c r="I824" i="7"/>
  <c r="G823" i="7"/>
  <c r="I823" i="7"/>
  <c r="G822" i="7"/>
  <c r="I822" i="7"/>
  <c r="G821" i="7"/>
  <c r="I821" i="7"/>
  <c r="H821" i="7"/>
  <c r="G820" i="7"/>
  <c r="I820" i="7"/>
  <c r="H820" i="7"/>
  <c r="G819" i="7"/>
  <c r="I819" i="7"/>
  <c r="H819" i="7"/>
  <c r="G818" i="7"/>
  <c r="I818" i="7"/>
  <c r="H818" i="7"/>
  <c r="G817" i="7"/>
  <c r="I817" i="7"/>
  <c r="G816" i="7"/>
  <c r="I816" i="7"/>
  <c r="G815" i="7"/>
  <c r="I815" i="7"/>
  <c r="G814" i="7"/>
  <c r="I814" i="7"/>
  <c r="G813" i="7"/>
  <c r="I813" i="7"/>
  <c r="G812" i="7"/>
  <c r="I812" i="7"/>
  <c r="G811" i="7"/>
  <c r="I811" i="7"/>
  <c r="G810" i="7"/>
  <c r="I810" i="7"/>
  <c r="G809" i="7"/>
  <c r="I809" i="7"/>
  <c r="H809" i="7"/>
  <c r="G808" i="7"/>
  <c r="I808" i="7"/>
  <c r="H808" i="7"/>
  <c r="G807" i="7"/>
  <c r="I807" i="7"/>
  <c r="H807" i="7"/>
  <c r="G806" i="7"/>
  <c r="I806" i="7"/>
  <c r="H806" i="7"/>
  <c r="G805" i="7"/>
  <c r="I805" i="7"/>
  <c r="G804" i="7"/>
  <c r="I804" i="7"/>
  <c r="G803" i="7"/>
  <c r="I803" i="7"/>
  <c r="G802" i="7"/>
  <c r="I802" i="7"/>
  <c r="G801" i="7"/>
  <c r="I801" i="7"/>
  <c r="G800" i="7"/>
  <c r="I800" i="7"/>
  <c r="G799" i="7"/>
  <c r="I799" i="7"/>
  <c r="G798" i="7"/>
  <c r="I798" i="7"/>
  <c r="H798" i="7"/>
  <c r="G797" i="7"/>
  <c r="I797" i="7"/>
  <c r="H797" i="7"/>
  <c r="G796" i="7"/>
  <c r="I796" i="7"/>
  <c r="G795" i="7"/>
  <c r="I795" i="7"/>
  <c r="H795" i="7"/>
  <c r="G794" i="7"/>
  <c r="I794" i="7"/>
  <c r="H794" i="7"/>
  <c r="G793" i="7"/>
  <c r="I793" i="7"/>
  <c r="G792" i="7"/>
  <c r="I792" i="7"/>
  <c r="G791" i="7"/>
  <c r="I791" i="7"/>
  <c r="G790" i="7"/>
  <c r="I790" i="7"/>
  <c r="G789" i="7"/>
  <c r="I789" i="7"/>
  <c r="G788" i="7"/>
  <c r="I788" i="7"/>
  <c r="G787" i="7"/>
  <c r="I787" i="7"/>
  <c r="G786" i="7"/>
  <c r="I786" i="7"/>
  <c r="H786" i="7"/>
  <c r="G785" i="7"/>
  <c r="I785" i="7"/>
  <c r="G784" i="7"/>
  <c r="I784" i="7"/>
  <c r="H784" i="7"/>
  <c r="G783" i="7"/>
  <c r="I783" i="7"/>
  <c r="H783" i="7"/>
  <c r="G782" i="7"/>
  <c r="I782" i="7"/>
  <c r="H782" i="7"/>
  <c r="G781" i="7"/>
  <c r="I781" i="7"/>
  <c r="G780" i="7"/>
  <c r="I780" i="7"/>
  <c r="G779" i="7"/>
  <c r="I779" i="7"/>
  <c r="G778" i="7"/>
  <c r="I778" i="7"/>
  <c r="G777" i="7"/>
  <c r="I777" i="7"/>
  <c r="G776" i="7"/>
  <c r="I776" i="7"/>
  <c r="G775" i="7"/>
  <c r="I775" i="7"/>
  <c r="G774" i="7"/>
  <c r="I774" i="7"/>
  <c r="H774" i="7"/>
  <c r="G773" i="7"/>
  <c r="I773" i="7"/>
  <c r="H773" i="7"/>
  <c r="G772" i="7"/>
  <c r="I772" i="7"/>
  <c r="H772" i="7"/>
  <c r="G771" i="7"/>
  <c r="I771" i="7"/>
  <c r="H771" i="7"/>
  <c r="G770" i="7"/>
  <c r="I770" i="7"/>
  <c r="H770" i="7"/>
  <c r="G769" i="7"/>
  <c r="I769" i="7"/>
  <c r="G768" i="7"/>
  <c r="I768" i="7"/>
  <c r="G767" i="7"/>
  <c r="I767" i="7"/>
  <c r="G766" i="7"/>
  <c r="I766" i="7"/>
  <c r="G765" i="7"/>
  <c r="I765" i="7"/>
  <c r="G764" i="7"/>
  <c r="I764" i="7"/>
  <c r="G763" i="7"/>
  <c r="I763" i="7"/>
  <c r="G762" i="7"/>
  <c r="I762" i="7"/>
  <c r="H762" i="7"/>
  <c r="G761" i="7"/>
  <c r="I761" i="7"/>
  <c r="G760" i="7"/>
  <c r="I760" i="7"/>
  <c r="H760" i="7"/>
  <c r="G759" i="7"/>
  <c r="I759" i="7"/>
  <c r="H759" i="7"/>
  <c r="G758" i="7"/>
  <c r="I758" i="7"/>
  <c r="H758" i="7"/>
  <c r="G757" i="7"/>
  <c r="I757" i="7"/>
  <c r="G756" i="7"/>
  <c r="I756" i="7"/>
  <c r="G755" i="7"/>
  <c r="I755" i="7"/>
  <c r="G754" i="7"/>
  <c r="I754" i="7"/>
  <c r="G753" i="7"/>
  <c r="I753" i="7"/>
  <c r="G752" i="7"/>
  <c r="I752" i="7"/>
  <c r="H752" i="7"/>
  <c r="G751" i="7"/>
  <c r="I751" i="7"/>
  <c r="G750" i="7"/>
  <c r="I750" i="7"/>
  <c r="G749" i="7"/>
  <c r="I749" i="7"/>
  <c r="H749" i="7"/>
  <c r="G748" i="7"/>
  <c r="I748" i="7"/>
  <c r="H748" i="7"/>
  <c r="G747" i="7"/>
  <c r="I747" i="7"/>
  <c r="H747" i="7"/>
  <c r="G746" i="7"/>
  <c r="I746" i="7"/>
  <c r="H746" i="7"/>
  <c r="G745" i="7"/>
  <c r="I745" i="7"/>
  <c r="G744" i="7"/>
  <c r="I744" i="7"/>
  <c r="G743" i="7"/>
  <c r="I743" i="7"/>
  <c r="G742" i="7"/>
  <c r="I742" i="7"/>
  <c r="G741" i="7"/>
  <c r="I741" i="7"/>
  <c r="G740" i="7"/>
  <c r="I740" i="7"/>
  <c r="G739" i="7"/>
  <c r="I739" i="7"/>
  <c r="G738" i="7"/>
  <c r="I738" i="7"/>
  <c r="G737" i="7"/>
  <c r="I737" i="7"/>
  <c r="H737" i="7"/>
  <c r="G736" i="7"/>
  <c r="I736" i="7"/>
  <c r="G735" i="7"/>
  <c r="I735" i="7"/>
  <c r="H735" i="7"/>
  <c r="G734" i="7"/>
  <c r="I734" i="7"/>
  <c r="H734" i="7"/>
  <c r="G733" i="7"/>
  <c r="I733" i="7"/>
  <c r="G732" i="7"/>
  <c r="I732" i="7"/>
  <c r="G731" i="7"/>
  <c r="I731" i="7"/>
  <c r="G730" i="7"/>
  <c r="I730" i="7"/>
  <c r="G729" i="7"/>
  <c r="I729" i="7"/>
  <c r="G728" i="7"/>
  <c r="I728" i="7"/>
  <c r="G727" i="7"/>
  <c r="I727" i="7"/>
  <c r="G726" i="7"/>
  <c r="I726" i="7"/>
  <c r="H726" i="7"/>
  <c r="G725" i="7"/>
  <c r="I725" i="7"/>
  <c r="G724" i="7"/>
  <c r="I724" i="7"/>
  <c r="H724" i="7"/>
  <c r="G723" i="7"/>
  <c r="I723" i="7"/>
  <c r="H723" i="7"/>
  <c r="G722" i="7"/>
  <c r="I722" i="7"/>
  <c r="H722" i="7"/>
  <c r="G721" i="7"/>
  <c r="I721" i="7"/>
  <c r="G720" i="7"/>
  <c r="I720" i="7"/>
  <c r="G719" i="7"/>
  <c r="I719" i="7"/>
  <c r="G718" i="7"/>
  <c r="I718" i="7"/>
  <c r="G717" i="7"/>
  <c r="I717" i="7"/>
  <c r="G716" i="7"/>
  <c r="I716" i="7"/>
  <c r="G715" i="7"/>
  <c r="I715" i="7"/>
  <c r="G714" i="7"/>
  <c r="I714" i="7"/>
  <c r="H714" i="7"/>
  <c r="G713" i="7"/>
  <c r="I713" i="7"/>
  <c r="H713" i="7"/>
  <c r="G712" i="7"/>
  <c r="I712" i="7"/>
  <c r="H712" i="7"/>
  <c r="G711" i="7"/>
  <c r="I711" i="7"/>
  <c r="H711" i="7"/>
  <c r="G710" i="7"/>
  <c r="I710" i="7"/>
  <c r="H710" i="7"/>
  <c r="G709" i="7"/>
  <c r="I709" i="7"/>
  <c r="G708" i="7"/>
  <c r="I708" i="7"/>
  <c r="G707" i="7"/>
  <c r="I707" i="7"/>
  <c r="G706" i="7"/>
  <c r="I706" i="7"/>
  <c r="G705" i="7"/>
  <c r="I705" i="7"/>
  <c r="G704" i="7"/>
  <c r="I704" i="7"/>
  <c r="G703" i="7"/>
  <c r="I703" i="7"/>
  <c r="G702" i="7"/>
  <c r="I702" i="7"/>
  <c r="H702" i="7"/>
  <c r="G701" i="7"/>
  <c r="I701" i="7"/>
  <c r="G700" i="7"/>
  <c r="I700" i="7"/>
  <c r="H700" i="7"/>
  <c r="G699" i="7"/>
  <c r="I699" i="7"/>
  <c r="H699" i="7"/>
  <c r="G698" i="7"/>
  <c r="I698" i="7"/>
  <c r="H698" i="7"/>
  <c r="G697" i="7"/>
  <c r="I697" i="7"/>
  <c r="G696" i="7"/>
  <c r="I696" i="7"/>
  <c r="G695" i="7"/>
  <c r="I695" i="7"/>
  <c r="G694" i="7"/>
  <c r="I694" i="7"/>
  <c r="G693" i="7"/>
  <c r="I693" i="7"/>
  <c r="G692" i="7"/>
  <c r="I692" i="7"/>
  <c r="G691" i="7"/>
  <c r="I691" i="7"/>
  <c r="G690" i="7"/>
  <c r="I690" i="7"/>
  <c r="G689" i="7"/>
  <c r="I689" i="7"/>
  <c r="H689" i="7"/>
  <c r="G688" i="7"/>
  <c r="I688" i="7"/>
  <c r="H688" i="7"/>
  <c r="G687" i="7"/>
  <c r="I687" i="7"/>
  <c r="H687" i="7"/>
  <c r="G686" i="7"/>
  <c r="I686" i="7"/>
  <c r="H686" i="7"/>
  <c r="G685" i="7"/>
  <c r="I685" i="7"/>
  <c r="G684" i="7"/>
  <c r="I684" i="7"/>
  <c r="G683" i="7"/>
  <c r="I683" i="7"/>
  <c r="G682" i="7"/>
  <c r="I682" i="7"/>
  <c r="G681" i="7"/>
  <c r="I681" i="7"/>
  <c r="G680" i="7"/>
  <c r="I680" i="7"/>
  <c r="G679" i="7"/>
  <c r="I679" i="7"/>
  <c r="G678" i="7"/>
  <c r="I678" i="7"/>
  <c r="G677" i="7"/>
  <c r="I677" i="7"/>
  <c r="H677" i="7"/>
  <c r="G676" i="7"/>
  <c r="I676" i="7"/>
  <c r="G675" i="7"/>
  <c r="I675" i="7"/>
  <c r="H675" i="7"/>
  <c r="G674" i="7"/>
  <c r="I674" i="7"/>
  <c r="H674" i="7"/>
  <c r="G673" i="7"/>
  <c r="I673" i="7"/>
  <c r="G672" i="7"/>
  <c r="I672" i="7"/>
  <c r="G671" i="7"/>
  <c r="I671" i="7"/>
  <c r="G670" i="7"/>
  <c r="I670" i="7"/>
  <c r="G669" i="7"/>
  <c r="I669" i="7"/>
  <c r="G668" i="7"/>
  <c r="I668" i="7"/>
  <c r="G667" i="7"/>
  <c r="I667" i="7"/>
  <c r="G666" i="7"/>
  <c r="I666" i="7"/>
  <c r="G665" i="7"/>
  <c r="I665" i="7"/>
  <c r="G664" i="7"/>
  <c r="I664" i="7"/>
  <c r="H664" i="7"/>
  <c r="G663" i="7"/>
  <c r="I663" i="7"/>
  <c r="H663" i="7"/>
  <c r="G662" i="7"/>
  <c r="I662" i="7"/>
  <c r="H662" i="7"/>
  <c r="G661" i="7"/>
  <c r="I661" i="7"/>
  <c r="G660" i="7"/>
  <c r="I660" i="7"/>
  <c r="G659" i="7"/>
  <c r="I659" i="7"/>
  <c r="G658" i="7"/>
  <c r="I658" i="7"/>
  <c r="G657" i="7"/>
  <c r="I657" i="7"/>
  <c r="G656" i="7"/>
  <c r="I656" i="7"/>
  <c r="G655" i="7"/>
  <c r="I655" i="7"/>
  <c r="G654" i="7"/>
  <c r="I654" i="7"/>
  <c r="G653" i="7"/>
  <c r="I653" i="7"/>
  <c r="H653" i="7"/>
  <c r="G652" i="7"/>
  <c r="I652" i="7"/>
  <c r="H652" i="7"/>
  <c r="G651" i="7"/>
  <c r="I651" i="7"/>
  <c r="H651" i="7"/>
  <c r="G650" i="7"/>
  <c r="I650" i="7"/>
  <c r="H650" i="7"/>
  <c r="G649" i="7"/>
  <c r="I649" i="7"/>
  <c r="G648" i="7"/>
  <c r="I648" i="7"/>
  <c r="G647" i="7"/>
  <c r="I647" i="7"/>
  <c r="G646" i="7"/>
  <c r="I646" i="7"/>
  <c r="G645" i="7"/>
  <c r="I645" i="7"/>
  <c r="G644" i="7"/>
  <c r="I644" i="7"/>
  <c r="G643" i="7"/>
  <c r="I643" i="7"/>
  <c r="G642" i="7"/>
  <c r="I642" i="7"/>
  <c r="H642" i="7"/>
  <c r="G641" i="7"/>
  <c r="I641" i="7"/>
  <c r="H641" i="7"/>
  <c r="G640" i="7"/>
  <c r="I640" i="7"/>
  <c r="H640" i="7"/>
  <c r="G639" i="7"/>
  <c r="I639" i="7"/>
  <c r="H639" i="7"/>
  <c r="G638" i="7"/>
  <c r="I638" i="7"/>
  <c r="H638" i="7"/>
  <c r="G637" i="7"/>
  <c r="I637" i="7"/>
  <c r="G636" i="7"/>
  <c r="I636" i="7"/>
  <c r="G635" i="7"/>
  <c r="I635" i="7"/>
  <c r="G634" i="7"/>
  <c r="I634" i="7"/>
  <c r="G633" i="7"/>
  <c r="I633" i="7"/>
  <c r="G632" i="7"/>
  <c r="I632" i="7"/>
  <c r="G631" i="7"/>
  <c r="I631" i="7"/>
  <c r="G630" i="7"/>
  <c r="I630" i="7"/>
  <c r="G629" i="7"/>
  <c r="I629" i="7"/>
  <c r="H629" i="7"/>
  <c r="G628" i="7"/>
  <c r="I628" i="7"/>
  <c r="H628" i="7"/>
  <c r="G627" i="7"/>
  <c r="I627" i="7"/>
  <c r="H627" i="7"/>
  <c r="G626" i="7"/>
  <c r="I626" i="7"/>
  <c r="H626" i="7"/>
  <c r="G625" i="7"/>
  <c r="I625" i="7"/>
  <c r="G624" i="7"/>
  <c r="I624" i="7"/>
  <c r="G623" i="7"/>
  <c r="I623" i="7"/>
  <c r="G622" i="7"/>
  <c r="I622" i="7"/>
  <c r="G621" i="7"/>
  <c r="I621" i="7"/>
  <c r="G620" i="7"/>
  <c r="I620" i="7"/>
  <c r="G619" i="7"/>
  <c r="I619" i="7"/>
  <c r="G618" i="7"/>
  <c r="I618" i="7"/>
  <c r="H618" i="7"/>
  <c r="G617" i="7"/>
  <c r="I617" i="7"/>
  <c r="H617" i="7"/>
  <c r="G616" i="7"/>
  <c r="I616" i="7"/>
  <c r="G615" i="7"/>
  <c r="I615" i="7"/>
  <c r="H615" i="7"/>
  <c r="G614" i="7"/>
  <c r="I614" i="7"/>
  <c r="H614" i="7"/>
  <c r="G613" i="7"/>
  <c r="I613" i="7"/>
  <c r="G612" i="7"/>
  <c r="I612" i="7"/>
  <c r="G611" i="7"/>
  <c r="I611" i="7"/>
  <c r="G610" i="7"/>
  <c r="I610" i="7"/>
  <c r="G609" i="7"/>
  <c r="I609" i="7"/>
  <c r="G608" i="7"/>
  <c r="I608" i="7"/>
  <c r="G607" i="7"/>
  <c r="I607" i="7"/>
  <c r="G606" i="7"/>
  <c r="I606" i="7"/>
  <c r="G605" i="7"/>
  <c r="I605" i="7"/>
  <c r="G604" i="7"/>
  <c r="I604" i="7"/>
  <c r="H604" i="7"/>
  <c r="G603" i="7"/>
  <c r="I603" i="7"/>
  <c r="H603" i="7"/>
  <c r="G602" i="7"/>
  <c r="I602" i="7"/>
  <c r="H602" i="7"/>
  <c r="G601" i="7"/>
  <c r="I601" i="7"/>
  <c r="G600" i="7"/>
  <c r="I600" i="7"/>
  <c r="G599" i="7"/>
  <c r="I599" i="7"/>
  <c r="G598" i="7"/>
  <c r="I598" i="7"/>
  <c r="G597" i="7"/>
  <c r="I597" i="7"/>
  <c r="G596" i="7"/>
  <c r="I596" i="7"/>
  <c r="G595" i="7"/>
  <c r="I595" i="7"/>
  <c r="G594" i="7"/>
  <c r="I594" i="7"/>
  <c r="G593" i="7"/>
  <c r="I593" i="7"/>
  <c r="H593" i="7"/>
  <c r="G592" i="7"/>
  <c r="I592" i="7"/>
  <c r="H592" i="7"/>
  <c r="G591" i="7"/>
  <c r="I591" i="7"/>
  <c r="H591" i="7"/>
  <c r="G590" i="7"/>
  <c r="I590" i="7"/>
  <c r="H590" i="7"/>
  <c r="G589" i="7"/>
  <c r="I589" i="7"/>
  <c r="G588" i="7"/>
  <c r="I588" i="7"/>
  <c r="G587" i="7"/>
  <c r="I587" i="7"/>
  <c r="G586" i="7"/>
  <c r="I586" i="7"/>
  <c r="G585" i="7"/>
  <c r="I585" i="7"/>
  <c r="G584" i="7"/>
  <c r="I584" i="7"/>
  <c r="G583" i="7"/>
  <c r="I583" i="7"/>
  <c r="G582" i="7"/>
  <c r="I582" i="7"/>
  <c r="H582" i="7"/>
  <c r="G581" i="7"/>
  <c r="I581" i="7"/>
  <c r="H581" i="7"/>
  <c r="G580" i="7"/>
  <c r="I580" i="7"/>
  <c r="H580" i="7"/>
  <c r="G579" i="7"/>
  <c r="I579" i="7"/>
  <c r="H579" i="7"/>
  <c r="G578" i="7"/>
  <c r="I578" i="7"/>
  <c r="H578" i="7"/>
  <c r="G577" i="7"/>
  <c r="I577" i="7"/>
  <c r="G576" i="7"/>
  <c r="I576" i="7"/>
  <c r="G575" i="7"/>
  <c r="I575" i="7"/>
  <c r="G574" i="7"/>
  <c r="I574" i="7"/>
  <c r="G573" i="7"/>
  <c r="I573" i="7"/>
  <c r="G572" i="7"/>
  <c r="I572" i="7"/>
  <c r="G571" i="7"/>
  <c r="I571" i="7"/>
  <c r="G570" i="7"/>
  <c r="I570" i="7"/>
  <c r="G569" i="7"/>
  <c r="I569" i="7"/>
  <c r="H569" i="7"/>
  <c r="G568" i="7"/>
  <c r="I568" i="7"/>
  <c r="H568" i="7"/>
  <c r="G567" i="7"/>
  <c r="I567" i="7"/>
  <c r="H567" i="7"/>
  <c r="G566" i="7"/>
  <c r="I566" i="7"/>
  <c r="H566" i="7"/>
  <c r="G565" i="7"/>
  <c r="I565" i="7"/>
  <c r="G564" i="7"/>
  <c r="I564" i="7"/>
  <c r="G563" i="7"/>
  <c r="I563" i="7"/>
  <c r="G562" i="7"/>
  <c r="I562" i="7"/>
  <c r="G561" i="7"/>
  <c r="I561" i="7"/>
  <c r="H561" i="7"/>
  <c r="G560" i="7"/>
  <c r="I560" i="7"/>
  <c r="G559" i="7"/>
  <c r="I559" i="7"/>
  <c r="G558" i="7"/>
  <c r="I558" i="7"/>
  <c r="H558" i="7"/>
  <c r="G557" i="7"/>
  <c r="I557" i="7"/>
  <c r="H557" i="7"/>
  <c r="G556" i="7"/>
  <c r="I556" i="7"/>
  <c r="G555" i="7"/>
  <c r="I555" i="7"/>
  <c r="H555" i="7"/>
  <c r="G554" i="7"/>
  <c r="I554" i="7"/>
  <c r="H554" i="7"/>
  <c r="G553" i="7"/>
  <c r="I553" i="7"/>
  <c r="G552" i="7"/>
  <c r="I552" i="7"/>
  <c r="G551" i="7"/>
  <c r="I551" i="7"/>
  <c r="G550" i="7"/>
  <c r="I550" i="7"/>
  <c r="G549" i="7"/>
  <c r="I549" i="7"/>
  <c r="G548" i="7"/>
  <c r="I548" i="7"/>
  <c r="G547" i="7"/>
  <c r="I547" i="7"/>
  <c r="G546" i="7"/>
  <c r="I546" i="7"/>
  <c r="H546" i="7"/>
  <c r="G545" i="7"/>
  <c r="I545" i="7"/>
  <c r="H545" i="7"/>
  <c r="G544" i="7"/>
  <c r="I544" i="7"/>
  <c r="H544" i="7"/>
  <c r="G543" i="7"/>
  <c r="I543" i="7"/>
  <c r="H543" i="7"/>
  <c r="G542" i="7"/>
  <c r="I542" i="7"/>
  <c r="H542" i="7"/>
  <c r="G541" i="7"/>
  <c r="I541" i="7"/>
  <c r="G540" i="7"/>
  <c r="I540" i="7"/>
  <c r="G539" i="7"/>
  <c r="I539" i="7"/>
  <c r="G538" i="7"/>
  <c r="I538" i="7"/>
  <c r="G537" i="7"/>
  <c r="I537" i="7"/>
  <c r="G536" i="7"/>
  <c r="I536" i="7"/>
  <c r="G535" i="7"/>
  <c r="I535" i="7"/>
  <c r="G534" i="7"/>
  <c r="I534" i="7"/>
  <c r="G533" i="7"/>
  <c r="I533" i="7"/>
  <c r="H533" i="7"/>
  <c r="G532" i="7"/>
  <c r="I532" i="7"/>
  <c r="H532" i="7"/>
  <c r="G531" i="7"/>
  <c r="I531" i="7"/>
  <c r="H531" i="7"/>
  <c r="G530" i="7"/>
  <c r="I530" i="7"/>
  <c r="H530" i="7"/>
  <c r="G529" i="7"/>
  <c r="I529" i="7"/>
  <c r="G528" i="7"/>
  <c r="I528" i="7"/>
  <c r="G527" i="7"/>
  <c r="I527" i="7"/>
  <c r="G526" i="7"/>
  <c r="I526" i="7"/>
  <c r="G525" i="7"/>
  <c r="I525" i="7"/>
  <c r="G524" i="7"/>
  <c r="I524" i="7"/>
  <c r="G523" i="7"/>
  <c r="I523" i="7"/>
  <c r="G522" i="7"/>
  <c r="I522" i="7"/>
  <c r="G521" i="7"/>
  <c r="I521" i="7"/>
  <c r="H521" i="7"/>
  <c r="G520" i="7"/>
  <c r="I520" i="7"/>
  <c r="H520" i="7"/>
  <c r="G519" i="7"/>
  <c r="I519" i="7"/>
  <c r="H519" i="7"/>
  <c r="G518" i="7"/>
  <c r="I518" i="7"/>
  <c r="H518" i="7"/>
  <c r="G517" i="7"/>
  <c r="I517" i="7"/>
  <c r="G516" i="7"/>
  <c r="I516" i="7"/>
  <c r="G515" i="7"/>
  <c r="I515" i="7"/>
  <c r="G514" i="7"/>
  <c r="I514" i="7"/>
  <c r="G513" i="7"/>
  <c r="I513" i="7"/>
  <c r="G512" i="7"/>
  <c r="I512" i="7"/>
  <c r="H512" i="7"/>
  <c r="G511" i="7"/>
  <c r="I511" i="7"/>
  <c r="G510" i="7"/>
  <c r="I510" i="7"/>
  <c r="G509" i="7"/>
  <c r="I509" i="7"/>
  <c r="H509" i="7"/>
  <c r="G508" i="7"/>
  <c r="I508" i="7"/>
  <c r="H508" i="7"/>
  <c r="G507" i="7"/>
  <c r="I507" i="7"/>
  <c r="H507" i="7"/>
  <c r="G506" i="7"/>
  <c r="I506" i="7"/>
  <c r="H506" i="7"/>
  <c r="G505" i="7"/>
  <c r="I505" i="7"/>
  <c r="G504" i="7"/>
  <c r="I504" i="7"/>
  <c r="G503" i="7"/>
  <c r="I503" i="7"/>
  <c r="G502" i="7"/>
  <c r="I502" i="7"/>
  <c r="G501" i="7"/>
  <c r="I501" i="7"/>
  <c r="G500" i="7"/>
  <c r="I500" i="7"/>
  <c r="G499" i="7"/>
  <c r="I499" i="7"/>
  <c r="G498" i="7"/>
  <c r="I498" i="7"/>
  <c r="H498" i="7"/>
  <c r="G497" i="7"/>
  <c r="I497" i="7"/>
  <c r="H497" i="7"/>
  <c r="G496" i="7"/>
  <c r="I496" i="7"/>
  <c r="H496" i="7"/>
  <c r="G495" i="7"/>
  <c r="I495" i="7"/>
  <c r="H495" i="7"/>
  <c r="G494" i="7"/>
  <c r="I494" i="7"/>
  <c r="H494" i="7"/>
  <c r="G493" i="7"/>
  <c r="I493" i="7"/>
  <c r="G492" i="7"/>
  <c r="I492" i="7"/>
  <c r="G491" i="7"/>
  <c r="I491" i="7"/>
  <c r="G490" i="7"/>
  <c r="I490" i="7"/>
  <c r="G489" i="7"/>
  <c r="I489" i="7"/>
  <c r="G488" i="7"/>
  <c r="I488" i="7"/>
  <c r="G487" i="7"/>
  <c r="I487" i="7"/>
  <c r="G486" i="7"/>
  <c r="I486" i="7"/>
  <c r="G485" i="7"/>
  <c r="I485" i="7"/>
  <c r="H485" i="7"/>
  <c r="G484" i="7"/>
  <c r="I484" i="7"/>
  <c r="H484" i="7"/>
  <c r="G483" i="7"/>
  <c r="I483" i="7"/>
  <c r="H483" i="7"/>
  <c r="G482" i="7"/>
  <c r="I482" i="7"/>
  <c r="H482" i="7"/>
  <c r="G481" i="7"/>
  <c r="I481" i="7"/>
  <c r="G480" i="7"/>
  <c r="I480" i="7"/>
  <c r="G479" i="7"/>
  <c r="I479" i="7"/>
  <c r="G478" i="7"/>
  <c r="I478" i="7"/>
  <c r="G477" i="7"/>
  <c r="I477" i="7"/>
  <c r="G476" i="7"/>
  <c r="I476" i="7"/>
  <c r="G475" i="7"/>
  <c r="I475" i="7"/>
  <c r="G474" i="7"/>
  <c r="I474" i="7"/>
  <c r="H474" i="7"/>
  <c r="G473" i="7"/>
  <c r="I473" i="7"/>
  <c r="H473" i="7"/>
  <c r="G472" i="7"/>
  <c r="I472" i="7"/>
  <c r="H472" i="7"/>
  <c r="G471" i="7"/>
  <c r="I471" i="7"/>
  <c r="H471" i="7"/>
  <c r="G470" i="7"/>
  <c r="I470" i="7"/>
  <c r="H470" i="7"/>
  <c r="G469" i="7"/>
  <c r="I469" i="7"/>
  <c r="G468" i="7"/>
  <c r="I468" i="7"/>
  <c r="G467" i="7"/>
  <c r="I467" i="7"/>
  <c r="G466" i="7"/>
  <c r="I466" i="7"/>
  <c r="G465" i="7"/>
  <c r="I465" i="7"/>
  <c r="G464" i="7"/>
  <c r="I464" i="7"/>
  <c r="G463" i="7"/>
  <c r="I463" i="7"/>
  <c r="G462" i="7"/>
  <c r="I462" i="7"/>
  <c r="G461" i="7"/>
  <c r="I461" i="7"/>
  <c r="G460" i="7"/>
  <c r="I460" i="7"/>
  <c r="H460" i="7"/>
  <c r="G459" i="7"/>
  <c r="I459" i="7"/>
  <c r="H459" i="7"/>
  <c r="G458" i="7"/>
  <c r="I458" i="7"/>
  <c r="H458" i="7"/>
  <c r="G457" i="7"/>
  <c r="I457" i="7"/>
  <c r="G456" i="7"/>
  <c r="I456" i="7"/>
  <c r="G455" i="7"/>
  <c r="I455" i="7"/>
  <c r="G454" i="7"/>
  <c r="I454" i="7"/>
  <c r="G453" i="7"/>
  <c r="I453" i="7"/>
  <c r="H453" i="7"/>
  <c r="G452" i="7"/>
  <c r="I452" i="7"/>
  <c r="G451" i="7"/>
  <c r="I451" i="7"/>
  <c r="G450" i="7"/>
  <c r="I450" i="7"/>
  <c r="G449" i="7"/>
  <c r="I449" i="7"/>
  <c r="H449" i="7"/>
  <c r="G448" i="7"/>
  <c r="I448" i="7"/>
  <c r="H448" i="7"/>
  <c r="G447" i="7"/>
  <c r="I447" i="7"/>
  <c r="H447" i="7"/>
  <c r="G446" i="7"/>
  <c r="I446" i="7"/>
  <c r="H446" i="7"/>
  <c r="G445" i="7"/>
  <c r="I445" i="7"/>
  <c r="G444" i="7"/>
  <c r="I444" i="7"/>
  <c r="G443" i="7"/>
  <c r="I443" i="7"/>
  <c r="G442" i="7"/>
  <c r="I442" i="7"/>
  <c r="G441" i="7"/>
  <c r="I441" i="7"/>
  <c r="G440" i="7"/>
  <c r="I440" i="7"/>
  <c r="G439" i="7"/>
  <c r="I439" i="7"/>
  <c r="G438" i="7"/>
  <c r="I438" i="7"/>
  <c r="H438" i="7"/>
  <c r="G437" i="7"/>
  <c r="I437" i="7"/>
  <c r="H437" i="7"/>
  <c r="G436" i="7"/>
  <c r="I436" i="7"/>
  <c r="H436" i="7"/>
  <c r="G435" i="7"/>
  <c r="I435" i="7"/>
  <c r="H435" i="7"/>
  <c r="G434" i="7"/>
  <c r="I434" i="7"/>
  <c r="H434" i="7"/>
  <c r="G433" i="7"/>
  <c r="I433" i="7"/>
  <c r="G432" i="7"/>
  <c r="I432" i="7"/>
  <c r="G431" i="7"/>
  <c r="I431" i="7"/>
  <c r="G430" i="7"/>
  <c r="I430" i="7"/>
  <c r="G429" i="7"/>
  <c r="I429" i="7"/>
  <c r="G428" i="7"/>
  <c r="I428" i="7"/>
  <c r="G427" i="7"/>
  <c r="I427" i="7"/>
  <c r="G426" i="7"/>
  <c r="I426" i="7"/>
  <c r="G425" i="7"/>
  <c r="I425" i="7"/>
  <c r="H425" i="7"/>
  <c r="G424" i="7"/>
  <c r="I424" i="7"/>
  <c r="H424" i="7"/>
  <c r="G423" i="7"/>
  <c r="I423" i="7"/>
  <c r="H423" i="7"/>
  <c r="G422" i="7"/>
  <c r="I422" i="7"/>
  <c r="H422" i="7"/>
  <c r="G421" i="7"/>
  <c r="I421" i="7"/>
  <c r="G420" i="7"/>
  <c r="I420" i="7"/>
  <c r="G419" i="7"/>
  <c r="I419" i="7"/>
  <c r="G418" i="7"/>
  <c r="I418" i="7"/>
  <c r="G417" i="7"/>
  <c r="I417" i="7"/>
  <c r="G416" i="7"/>
  <c r="I416" i="7"/>
  <c r="G415" i="7"/>
  <c r="I415" i="7"/>
  <c r="G414" i="7"/>
  <c r="I414" i="7"/>
  <c r="H414" i="7"/>
  <c r="G413" i="7"/>
  <c r="I413" i="7"/>
  <c r="H413" i="7"/>
  <c r="G412" i="7"/>
  <c r="I412" i="7"/>
  <c r="H412" i="7"/>
  <c r="G411" i="7"/>
  <c r="I411" i="7"/>
  <c r="H411" i="7"/>
  <c r="G410" i="7"/>
  <c r="I410" i="7"/>
  <c r="H410" i="7"/>
  <c r="G409" i="7"/>
  <c r="I409" i="7"/>
  <c r="G408" i="7"/>
  <c r="I408" i="7"/>
  <c r="G407" i="7"/>
  <c r="I407" i="7"/>
  <c r="G406" i="7"/>
  <c r="I406" i="7"/>
  <c r="G405" i="7"/>
  <c r="I405" i="7"/>
  <c r="G404" i="7"/>
  <c r="I404" i="7"/>
  <c r="G403" i="7"/>
  <c r="I403" i="7"/>
  <c r="G402" i="7"/>
  <c r="I402" i="7"/>
  <c r="H402" i="7"/>
  <c r="G401" i="7"/>
  <c r="I401" i="7"/>
  <c r="G400" i="7"/>
  <c r="I400" i="7"/>
  <c r="H400" i="7"/>
  <c r="G399" i="7"/>
  <c r="I399" i="7"/>
  <c r="H399" i="7"/>
  <c r="G398" i="7"/>
  <c r="I398" i="7"/>
  <c r="H398" i="7"/>
  <c r="G397" i="7"/>
  <c r="I397" i="7"/>
  <c r="G396" i="7"/>
  <c r="I396" i="7"/>
  <c r="G395" i="7"/>
  <c r="I395" i="7"/>
  <c r="G394" i="7"/>
  <c r="I394" i="7"/>
  <c r="G393" i="7"/>
  <c r="I393" i="7"/>
  <c r="G392" i="7"/>
  <c r="I392" i="7"/>
  <c r="G391" i="7"/>
  <c r="I391" i="7"/>
  <c r="G390" i="7"/>
  <c r="I390" i="7"/>
  <c r="G389" i="7"/>
  <c r="I389" i="7"/>
  <c r="H389" i="7"/>
  <c r="G388" i="7"/>
  <c r="I388" i="7"/>
  <c r="H388" i="7"/>
  <c r="G387" i="7"/>
  <c r="I387" i="7"/>
  <c r="H387" i="7"/>
  <c r="G386" i="7"/>
  <c r="I386" i="7"/>
  <c r="H386" i="7"/>
  <c r="G385" i="7"/>
  <c r="I385" i="7"/>
  <c r="G384" i="7"/>
  <c r="I384" i="7"/>
  <c r="G383" i="7"/>
  <c r="I383" i="7"/>
  <c r="G382" i="7"/>
  <c r="I382" i="7"/>
  <c r="G381" i="7"/>
  <c r="I381" i="7"/>
  <c r="G380" i="7"/>
  <c r="I380" i="7"/>
  <c r="G379" i="7"/>
  <c r="I379" i="7"/>
  <c r="G378" i="7"/>
  <c r="I378" i="7"/>
  <c r="G377" i="7"/>
  <c r="I377" i="7"/>
  <c r="H377" i="7"/>
  <c r="G376" i="7"/>
  <c r="I376" i="7"/>
  <c r="G375" i="7"/>
  <c r="I375" i="7"/>
  <c r="H375" i="7"/>
  <c r="G374" i="7"/>
  <c r="I374" i="7"/>
  <c r="H374" i="7"/>
  <c r="G373" i="7"/>
  <c r="I373" i="7"/>
  <c r="G372" i="7"/>
  <c r="I372" i="7"/>
  <c r="G371" i="7"/>
  <c r="I371" i="7"/>
  <c r="G370" i="7"/>
  <c r="I370" i="7"/>
  <c r="G369" i="7"/>
  <c r="I369" i="7"/>
  <c r="G368" i="7"/>
  <c r="I368" i="7"/>
  <c r="G367" i="7"/>
  <c r="I367" i="7"/>
  <c r="G366" i="7"/>
  <c r="I366" i="7"/>
  <c r="H366" i="7"/>
  <c r="G365" i="7"/>
  <c r="I365" i="7"/>
  <c r="G364" i="7"/>
  <c r="I364" i="7"/>
  <c r="H364" i="7"/>
  <c r="G363" i="7"/>
  <c r="I363" i="7"/>
  <c r="H363" i="7"/>
  <c r="G362" i="7"/>
  <c r="I362" i="7"/>
  <c r="H362" i="7"/>
  <c r="G361" i="7"/>
  <c r="I361" i="7"/>
  <c r="G360" i="7"/>
  <c r="I360" i="7"/>
  <c r="G359" i="7"/>
  <c r="I359" i="7"/>
  <c r="G358" i="7"/>
  <c r="I358" i="7"/>
  <c r="G357" i="7"/>
  <c r="I357" i="7"/>
  <c r="G356" i="7"/>
  <c r="I356" i="7"/>
  <c r="G355" i="7"/>
  <c r="I355" i="7"/>
  <c r="G354" i="7"/>
  <c r="I354" i="7"/>
  <c r="H354" i="7"/>
  <c r="G353" i="7"/>
  <c r="I353" i="7"/>
  <c r="H353" i="7"/>
  <c r="G352" i="7"/>
  <c r="I352" i="7"/>
  <c r="H352" i="7"/>
  <c r="G351" i="7"/>
  <c r="I351" i="7"/>
  <c r="H351" i="7"/>
  <c r="G350" i="7"/>
  <c r="I350" i="7"/>
  <c r="H350" i="7"/>
  <c r="G349" i="7"/>
  <c r="I349" i="7"/>
  <c r="G348" i="7"/>
  <c r="I348" i="7"/>
  <c r="G347" i="7"/>
  <c r="I347" i="7"/>
  <c r="G346" i="7"/>
  <c r="I346" i="7"/>
  <c r="G345" i="7"/>
  <c r="I345" i="7"/>
  <c r="G344" i="7"/>
  <c r="I344" i="7"/>
  <c r="G343" i="7"/>
  <c r="I343" i="7"/>
  <c r="G342" i="7"/>
  <c r="I342" i="7"/>
  <c r="H342" i="7"/>
  <c r="G341" i="7"/>
  <c r="I341" i="7"/>
  <c r="G340" i="7"/>
  <c r="I340" i="7"/>
  <c r="H340" i="7"/>
  <c r="G339" i="7"/>
  <c r="I339" i="7"/>
  <c r="H339" i="7"/>
  <c r="G338" i="7"/>
  <c r="I338" i="7"/>
  <c r="H338" i="7"/>
  <c r="G337" i="7"/>
  <c r="I337" i="7"/>
  <c r="G336" i="7"/>
  <c r="I336" i="7"/>
  <c r="G335" i="7"/>
  <c r="I335" i="7"/>
  <c r="G334" i="7"/>
  <c r="I334" i="7"/>
  <c r="G333" i="7"/>
  <c r="I333" i="7"/>
  <c r="G332" i="7"/>
  <c r="I332" i="7"/>
  <c r="G331" i="7"/>
  <c r="I331" i="7"/>
  <c r="G330" i="7"/>
  <c r="I330" i="7"/>
  <c r="G329" i="7"/>
  <c r="I329" i="7"/>
  <c r="H329" i="7"/>
  <c r="G328" i="7"/>
  <c r="I328" i="7"/>
  <c r="H328" i="7"/>
  <c r="G327" i="7"/>
  <c r="I327" i="7"/>
  <c r="H327" i="7"/>
  <c r="G326" i="7"/>
  <c r="I326" i="7"/>
  <c r="H326" i="7"/>
  <c r="G325" i="7"/>
  <c r="I325" i="7"/>
  <c r="G324" i="7"/>
  <c r="I324" i="7"/>
  <c r="G323" i="7"/>
  <c r="I323" i="7"/>
  <c r="G322" i="7"/>
  <c r="I322" i="7"/>
  <c r="G321" i="7"/>
  <c r="I321" i="7"/>
  <c r="G320" i="7"/>
  <c r="I320" i="7"/>
  <c r="G319" i="7"/>
  <c r="I319" i="7"/>
  <c r="G318" i="7"/>
  <c r="I318" i="7"/>
  <c r="G317" i="7"/>
  <c r="I317" i="7"/>
  <c r="H317" i="7"/>
  <c r="G316" i="7"/>
  <c r="I316" i="7"/>
  <c r="G315" i="7"/>
  <c r="I315" i="7"/>
  <c r="H315" i="7"/>
  <c r="G314" i="7"/>
  <c r="I314" i="7"/>
  <c r="H314" i="7"/>
  <c r="G313" i="7"/>
  <c r="I313" i="7"/>
  <c r="G312" i="7"/>
  <c r="I312" i="7"/>
  <c r="G311" i="7"/>
  <c r="I311" i="7"/>
  <c r="G310" i="7"/>
  <c r="I310" i="7"/>
  <c r="G309" i="7"/>
  <c r="I309" i="7"/>
  <c r="G308" i="7"/>
  <c r="I308" i="7"/>
  <c r="G307" i="7"/>
  <c r="I307" i="7"/>
  <c r="G306" i="7"/>
  <c r="I306" i="7"/>
  <c r="G305" i="7"/>
  <c r="I305" i="7"/>
  <c r="G304" i="7"/>
  <c r="I304" i="7"/>
  <c r="H304" i="7"/>
  <c r="G303" i="7"/>
  <c r="I303" i="7"/>
  <c r="H303" i="7"/>
  <c r="G302" i="7"/>
  <c r="I302" i="7"/>
  <c r="H302" i="7"/>
  <c r="G301" i="7"/>
  <c r="I301" i="7"/>
  <c r="G300" i="7"/>
  <c r="I300" i="7"/>
  <c r="G299" i="7"/>
  <c r="I299" i="7"/>
  <c r="G298" i="7"/>
  <c r="I298" i="7"/>
  <c r="G297" i="7"/>
  <c r="I297" i="7"/>
  <c r="G296" i="7"/>
  <c r="I296" i="7"/>
  <c r="G295" i="7"/>
  <c r="I295" i="7"/>
  <c r="G294" i="7"/>
  <c r="I294" i="7"/>
  <c r="G293" i="7"/>
  <c r="I293" i="7"/>
  <c r="H293" i="7"/>
  <c r="G292" i="7"/>
  <c r="I292" i="7"/>
  <c r="H292" i="7"/>
  <c r="G291" i="7"/>
  <c r="I291" i="7"/>
  <c r="H291" i="7"/>
  <c r="G290" i="7"/>
  <c r="I290" i="7"/>
  <c r="H290" i="7"/>
  <c r="G289" i="7"/>
  <c r="I289" i="7"/>
  <c r="G288" i="7"/>
  <c r="I288" i="7"/>
  <c r="G287" i="7"/>
  <c r="I287" i="7"/>
  <c r="G286" i="7"/>
  <c r="I286" i="7"/>
  <c r="G285" i="7"/>
  <c r="I285" i="7"/>
  <c r="G284" i="7"/>
  <c r="I284" i="7"/>
  <c r="G283" i="7"/>
  <c r="I283" i="7"/>
  <c r="H283" i="7"/>
  <c r="G282" i="7"/>
  <c r="I282" i="7"/>
  <c r="G281" i="7"/>
  <c r="I281" i="7"/>
  <c r="H281" i="7"/>
  <c r="G280" i="7"/>
  <c r="I280" i="7"/>
  <c r="H280" i="7"/>
  <c r="G279" i="7"/>
  <c r="I279" i="7"/>
  <c r="H279" i="7"/>
  <c r="G278" i="7"/>
  <c r="I278" i="7"/>
  <c r="H278" i="7"/>
  <c r="G277" i="7"/>
  <c r="I277" i="7"/>
  <c r="G276" i="7"/>
  <c r="I276" i="7"/>
  <c r="G275" i="7"/>
  <c r="I275" i="7"/>
  <c r="G274" i="7"/>
  <c r="I274" i="7"/>
  <c r="G273" i="7"/>
  <c r="I273" i="7"/>
  <c r="G272" i="7"/>
  <c r="I272" i="7"/>
  <c r="G271" i="7"/>
  <c r="I271" i="7"/>
  <c r="H271" i="7"/>
  <c r="G270" i="7"/>
  <c r="I270" i="7"/>
  <c r="G269" i="7"/>
  <c r="I269" i="7"/>
  <c r="H269" i="7"/>
  <c r="G268" i="7"/>
  <c r="I268" i="7"/>
  <c r="H268" i="7"/>
  <c r="G267" i="7"/>
  <c r="I267" i="7"/>
  <c r="H267" i="7"/>
  <c r="G266" i="7"/>
  <c r="I266" i="7"/>
  <c r="H266" i="7"/>
  <c r="G265" i="7"/>
  <c r="I265" i="7"/>
  <c r="G264" i="7"/>
  <c r="I264" i="7"/>
  <c r="G263" i="7"/>
  <c r="I263" i="7"/>
  <c r="G262" i="7"/>
  <c r="I262" i="7"/>
  <c r="G261" i="7"/>
  <c r="I261" i="7"/>
  <c r="G260" i="7"/>
  <c r="I260" i="7"/>
  <c r="G259" i="7"/>
  <c r="I259" i="7"/>
  <c r="H259" i="7"/>
  <c r="G258" i="7"/>
  <c r="I258" i="7"/>
  <c r="G257" i="7"/>
  <c r="I257" i="7"/>
  <c r="H257" i="7"/>
  <c r="G256" i="7"/>
  <c r="I256" i="7"/>
  <c r="H256" i="7"/>
  <c r="G255" i="7"/>
  <c r="I255" i="7"/>
  <c r="H255" i="7"/>
  <c r="G254" i="7"/>
  <c r="I254" i="7"/>
  <c r="H254" i="7"/>
  <c r="G253" i="7"/>
  <c r="I253" i="7"/>
  <c r="G252" i="7"/>
  <c r="I252" i="7"/>
  <c r="G251" i="7"/>
  <c r="I251" i="7"/>
  <c r="G250" i="7"/>
  <c r="I250" i="7"/>
  <c r="G249" i="7"/>
  <c r="I249" i="7"/>
  <c r="G248" i="7"/>
  <c r="I248" i="7"/>
  <c r="G247" i="7"/>
  <c r="I247" i="7"/>
  <c r="H247" i="7"/>
  <c r="G246" i="7"/>
  <c r="I246" i="7"/>
  <c r="G245" i="7"/>
  <c r="I245" i="7"/>
  <c r="H245" i="7"/>
  <c r="G244" i="7"/>
  <c r="I244" i="7"/>
  <c r="H244" i="7"/>
  <c r="G243" i="7"/>
  <c r="I243" i="7"/>
  <c r="H243" i="7"/>
  <c r="G242" i="7"/>
  <c r="I242" i="7"/>
  <c r="H242" i="7"/>
  <c r="G241" i="7"/>
  <c r="I241" i="7"/>
  <c r="G240" i="7"/>
  <c r="I240" i="7"/>
  <c r="G239" i="7"/>
  <c r="I239" i="7"/>
  <c r="G238" i="7"/>
  <c r="I238" i="7"/>
  <c r="G237" i="7"/>
  <c r="I237" i="7"/>
  <c r="G236" i="7"/>
  <c r="I236" i="7"/>
  <c r="G235" i="7"/>
  <c r="I235" i="7"/>
  <c r="H235" i="7"/>
  <c r="G234" i="7"/>
  <c r="I234" i="7"/>
  <c r="G233" i="7"/>
  <c r="I233" i="7"/>
  <c r="H233" i="7"/>
  <c r="G232" i="7"/>
  <c r="I232" i="7"/>
  <c r="H232" i="7"/>
  <c r="G231" i="7"/>
  <c r="I231" i="7"/>
  <c r="H231" i="7"/>
  <c r="G230" i="7"/>
  <c r="I230" i="7"/>
  <c r="H230" i="7"/>
  <c r="G229" i="7"/>
  <c r="I229" i="7"/>
  <c r="G228" i="7"/>
  <c r="I228" i="7"/>
  <c r="G227" i="7"/>
  <c r="I227" i="7"/>
  <c r="G226" i="7"/>
  <c r="I226" i="7"/>
  <c r="G225" i="7"/>
  <c r="I225" i="7"/>
  <c r="G224" i="7"/>
  <c r="I224" i="7"/>
  <c r="G223" i="7"/>
  <c r="I223" i="7"/>
  <c r="H223" i="7"/>
  <c r="G222" i="7"/>
  <c r="I222" i="7"/>
  <c r="G221" i="7"/>
  <c r="I221" i="7"/>
  <c r="G220" i="7"/>
  <c r="I220" i="7"/>
  <c r="H220" i="7"/>
  <c r="G219" i="7"/>
  <c r="I219" i="7"/>
  <c r="H219" i="7"/>
  <c r="G218" i="7"/>
  <c r="I218" i="7"/>
  <c r="H218" i="7"/>
  <c r="G217" i="7"/>
  <c r="I217" i="7"/>
  <c r="G216" i="7"/>
  <c r="I216" i="7"/>
  <c r="G215" i="7"/>
  <c r="I215" i="7"/>
  <c r="G214" i="7"/>
  <c r="I214" i="7"/>
  <c r="G213" i="7"/>
  <c r="I213" i="7"/>
  <c r="G212" i="7"/>
  <c r="I212" i="7"/>
  <c r="G211" i="7"/>
  <c r="I211" i="7"/>
  <c r="G210" i="7"/>
  <c r="I210" i="7"/>
  <c r="G209" i="7"/>
  <c r="I209" i="7"/>
  <c r="H209" i="7"/>
  <c r="G208" i="7"/>
  <c r="I208" i="7"/>
  <c r="H208" i="7"/>
  <c r="G207" i="7"/>
  <c r="I207" i="7"/>
  <c r="H207" i="7"/>
  <c r="G206" i="7"/>
  <c r="I206" i="7"/>
  <c r="H206" i="7"/>
  <c r="G205" i="7"/>
  <c r="I205" i="7"/>
  <c r="G204" i="7"/>
  <c r="I204" i="7"/>
  <c r="G203" i="7"/>
  <c r="I203" i="7"/>
  <c r="G202" i="7"/>
  <c r="I202" i="7"/>
  <c r="G201" i="7"/>
  <c r="I201" i="7"/>
  <c r="G200" i="7"/>
  <c r="G199" i="7"/>
  <c r="H199" i="7"/>
  <c r="G197" i="7"/>
  <c r="H197" i="7"/>
  <c r="G196" i="7"/>
  <c r="H196" i="7"/>
  <c r="G195" i="7"/>
  <c r="G194" i="7"/>
  <c r="G188" i="7"/>
  <c r="G187" i="7"/>
  <c r="G186" i="7"/>
  <c r="G184" i="7"/>
  <c r="H184" i="7"/>
  <c r="G183" i="7"/>
  <c r="G182" i="7"/>
  <c r="G180" i="7"/>
  <c r="G175" i="7"/>
  <c r="G174" i="7"/>
  <c r="G173" i="7"/>
  <c r="H173" i="7"/>
  <c r="H172" i="7"/>
  <c r="G171" i="7"/>
  <c r="G170" i="7"/>
  <c r="G167" i="7"/>
  <c r="G166" i="7"/>
  <c r="H163" i="7"/>
  <c r="G162" i="7"/>
  <c r="G161" i="7"/>
  <c r="G160" i="7"/>
  <c r="H160" i="7"/>
  <c r="G159" i="7"/>
  <c r="G158" i="7"/>
  <c r="G154" i="7"/>
  <c r="G153" i="7"/>
  <c r="G149" i="7"/>
  <c r="H149" i="7"/>
  <c r="G148" i="7"/>
  <c r="H148" i="7"/>
  <c r="G147" i="7"/>
  <c r="G146" i="7"/>
  <c r="G141" i="7"/>
  <c r="G140" i="7"/>
  <c r="G139" i="7"/>
  <c r="G137" i="7"/>
  <c r="G136" i="7"/>
  <c r="H136" i="7"/>
  <c r="G135" i="7"/>
  <c r="G134" i="7"/>
  <c r="G128" i="7"/>
  <c r="G127" i="7"/>
  <c r="G126" i="7"/>
  <c r="H126" i="7"/>
  <c r="G124" i="7"/>
  <c r="H124" i="7"/>
  <c r="G123" i="7"/>
  <c r="G122" i="7"/>
  <c r="G121" i="7"/>
  <c r="G116" i="7"/>
  <c r="G115" i="7"/>
  <c r="H115" i="7"/>
  <c r="G114" i="7"/>
  <c r="H114" i="7"/>
  <c r="G112" i="7"/>
  <c r="H112" i="7"/>
  <c r="G111" i="7"/>
  <c r="G110" i="7"/>
  <c r="G108" i="7"/>
  <c r="G103" i="7"/>
  <c r="G102" i="7"/>
  <c r="H102" i="7"/>
  <c r="G101" i="7"/>
  <c r="H101" i="7"/>
  <c r="H100" i="7"/>
  <c r="G99" i="7"/>
  <c r="H99" i="7"/>
  <c r="G98" i="7"/>
  <c r="G96" i="7"/>
  <c r="G95" i="7"/>
  <c r="G91" i="7"/>
  <c r="G90" i="7"/>
  <c r="G89" i="7"/>
  <c r="H89" i="7"/>
  <c r="G88" i="7"/>
  <c r="H88" i="7"/>
  <c r="G87" i="7"/>
  <c r="H87" i="7"/>
  <c r="G86" i="7"/>
  <c r="G83" i="7"/>
  <c r="G82" i="7"/>
  <c r="H79" i="7"/>
  <c r="G78" i="7"/>
  <c r="H78" i="7"/>
  <c r="G77" i="7"/>
  <c r="H77" i="7"/>
  <c r="G76" i="7"/>
  <c r="H76" i="7"/>
  <c r="G75" i="7"/>
  <c r="H75" i="7"/>
  <c r="G74" i="7"/>
  <c r="G71" i="7"/>
  <c r="G70" i="7"/>
  <c r="H67" i="7"/>
  <c r="G66" i="7"/>
  <c r="G65" i="7"/>
  <c r="H65" i="7"/>
  <c r="G64" i="7"/>
  <c r="H64" i="7"/>
  <c r="G63" i="7"/>
  <c r="H63" i="7"/>
  <c r="G62" i="7"/>
  <c r="G59" i="7"/>
  <c r="G58" i="7"/>
  <c r="G57" i="7"/>
  <c r="H55" i="7"/>
  <c r="G54" i="7"/>
  <c r="H54" i="7"/>
  <c r="G53" i="7"/>
  <c r="G52" i="7"/>
  <c r="H52" i="7"/>
  <c r="G51" i="7"/>
  <c r="H51" i="7"/>
  <c r="G50" i="7"/>
  <c r="G47" i="7"/>
  <c r="G46" i="7"/>
  <c r="G42" i="7"/>
  <c r="G41" i="7"/>
  <c r="H41" i="7"/>
  <c r="G40" i="7"/>
  <c r="H40" i="7"/>
  <c r="G39" i="7"/>
  <c r="G38" i="7"/>
  <c r="G33" i="7"/>
  <c r="G32" i="7"/>
  <c r="G31" i="7"/>
  <c r="H31" i="7"/>
  <c r="H30" i="7"/>
  <c r="G29" i="7"/>
  <c r="G28" i="7"/>
  <c r="H28" i="7"/>
  <c r="G27" i="7"/>
  <c r="G26" i="7"/>
  <c r="H26" i="7"/>
  <c r="G21" i="7"/>
  <c r="G20" i="7"/>
  <c r="H19" i="7"/>
  <c r="H18" i="7"/>
  <c r="G17" i="7"/>
  <c r="H17" i="7"/>
  <c r="G16" i="7"/>
  <c r="H16" i="7"/>
  <c r="G15" i="7"/>
  <c r="G14" i="7"/>
  <c r="H10" i="7"/>
  <c r="H9" i="7"/>
  <c r="G7" i="7"/>
  <c r="H7" i="7"/>
  <c r="G6" i="7"/>
  <c r="H6" i="7"/>
  <c r="G5" i="7"/>
  <c r="H5" i="7"/>
  <c r="G4" i="7"/>
  <c r="H4" i="7" s="1"/>
  <c r="G3" i="7"/>
  <c r="K2001" i="5"/>
  <c r="J2001" i="5"/>
  <c r="K2000" i="5"/>
  <c r="J2000" i="5"/>
  <c r="K1999" i="5"/>
  <c r="J1999" i="5"/>
  <c r="K1998" i="5"/>
  <c r="J1998" i="5"/>
  <c r="K1997" i="5"/>
  <c r="J1997" i="5"/>
  <c r="K1996" i="5"/>
  <c r="J1996" i="5"/>
  <c r="K1995" i="5"/>
  <c r="J1995" i="5"/>
  <c r="K1994" i="5"/>
  <c r="J1994" i="5"/>
  <c r="K1993" i="5"/>
  <c r="J1993" i="5"/>
  <c r="K1992" i="5"/>
  <c r="J1992" i="5"/>
  <c r="K1991" i="5"/>
  <c r="J1991" i="5"/>
  <c r="K1990" i="5"/>
  <c r="J1990" i="5"/>
  <c r="K1989" i="5"/>
  <c r="J1989" i="5"/>
  <c r="K1988" i="5"/>
  <c r="J1988" i="5"/>
  <c r="K1987" i="5"/>
  <c r="J1987" i="5"/>
  <c r="K1986" i="5"/>
  <c r="J1986" i="5"/>
  <c r="K1985" i="5"/>
  <c r="J1985" i="5"/>
  <c r="K1984" i="5"/>
  <c r="J1984" i="5"/>
  <c r="K1983" i="5"/>
  <c r="J1983" i="5"/>
  <c r="K1982" i="5"/>
  <c r="J1982" i="5"/>
  <c r="K1981" i="5"/>
  <c r="J1981" i="5"/>
  <c r="K1980" i="5"/>
  <c r="J1980" i="5"/>
  <c r="K1979" i="5"/>
  <c r="J1979" i="5"/>
  <c r="K1978" i="5"/>
  <c r="J1978" i="5"/>
  <c r="K1977" i="5"/>
  <c r="J1977" i="5"/>
  <c r="K1976" i="5"/>
  <c r="J1976" i="5"/>
  <c r="K1975" i="5"/>
  <c r="J1975" i="5"/>
  <c r="K1974" i="5"/>
  <c r="J1974" i="5"/>
  <c r="K1973" i="5"/>
  <c r="J1973" i="5"/>
  <c r="K1972" i="5"/>
  <c r="J1972" i="5"/>
  <c r="K1971" i="5"/>
  <c r="J1971" i="5"/>
  <c r="K1970" i="5"/>
  <c r="J1970" i="5"/>
  <c r="K1969" i="5"/>
  <c r="J1969" i="5"/>
  <c r="K1968" i="5"/>
  <c r="J1968" i="5"/>
  <c r="K1967" i="5"/>
  <c r="J1967" i="5"/>
  <c r="K1966" i="5"/>
  <c r="J1966" i="5"/>
  <c r="K1965" i="5"/>
  <c r="J1965" i="5"/>
  <c r="K1964" i="5"/>
  <c r="J1964" i="5"/>
  <c r="K1963" i="5"/>
  <c r="J1963" i="5"/>
  <c r="K1962" i="5"/>
  <c r="J1962" i="5"/>
  <c r="K1961" i="5"/>
  <c r="J1961" i="5"/>
  <c r="K1960" i="5"/>
  <c r="J1960" i="5"/>
  <c r="K1959" i="5"/>
  <c r="J1959" i="5"/>
  <c r="K1958" i="5"/>
  <c r="J1958" i="5"/>
  <c r="K1957" i="5"/>
  <c r="J1957" i="5"/>
  <c r="K1956" i="5"/>
  <c r="J1956" i="5"/>
  <c r="K1955" i="5"/>
  <c r="J1955" i="5"/>
  <c r="K1954" i="5"/>
  <c r="J1954" i="5"/>
  <c r="K1953" i="5"/>
  <c r="J1953" i="5"/>
  <c r="K1952" i="5"/>
  <c r="J1952" i="5"/>
  <c r="K1951" i="5"/>
  <c r="J1951" i="5"/>
  <c r="K1950" i="5"/>
  <c r="J1950" i="5"/>
  <c r="K1949" i="5"/>
  <c r="J1949" i="5"/>
  <c r="K1948" i="5"/>
  <c r="J1948" i="5"/>
  <c r="K1947" i="5"/>
  <c r="J1947" i="5"/>
  <c r="K1946" i="5"/>
  <c r="J1946" i="5"/>
  <c r="K1945" i="5"/>
  <c r="J1945" i="5"/>
  <c r="K1944" i="5"/>
  <c r="J1944" i="5"/>
  <c r="K1943" i="5"/>
  <c r="J1943" i="5"/>
  <c r="K1942" i="5"/>
  <c r="J1942" i="5"/>
  <c r="K1941" i="5"/>
  <c r="J1941" i="5"/>
  <c r="K1940" i="5"/>
  <c r="J1940" i="5"/>
  <c r="K1939" i="5"/>
  <c r="J1939" i="5"/>
  <c r="K1938" i="5"/>
  <c r="J1938" i="5"/>
  <c r="K1937" i="5"/>
  <c r="J1937" i="5"/>
  <c r="K1936" i="5"/>
  <c r="J1936" i="5"/>
  <c r="K1935" i="5"/>
  <c r="J1935" i="5"/>
  <c r="K1934" i="5"/>
  <c r="J1934" i="5"/>
  <c r="K1933" i="5"/>
  <c r="J1933" i="5"/>
  <c r="K1932" i="5"/>
  <c r="J1932" i="5"/>
  <c r="K1931" i="5"/>
  <c r="J1931" i="5"/>
  <c r="K1930" i="5"/>
  <c r="J1930" i="5"/>
  <c r="K1929" i="5"/>
  <c r="J1929" i="5"/>
  <c r="K1928" i="5"/>
  <c r="J1928" i="5"/>
  <c r="K1927" i="5"/>
  <c r="J1927" i="5"/>
  <c r="K1926" i="5"/>
  <c r="J1926" i="5"/>
  <c r="K1925" i="5"/>
  <c r="J1925" i="5"/>
  <c r="K1924" i="5"/>
  <c r="J1924" i="5"/>
  <c r="K1923" i="5"/>
  <c r="J1923" i="5"/>
  <c r="K1922" i="5"/>
  <c r="J1922" i="5"/>
  <c r="K1921" i="5"/>
  <c r="J1921" i="5"/>
  <c r="K1920" i="5"/>
  <c r="J1920" i="5"/>
  <c r="K1919" i="5"/>
  <c r="J1919" i="5"/>
  <c r="K1918" i="5"/>
  <c r="J1918" i="5"/>
  <c r="K1917" i="5"/>
  <c r="J1917" i="5"/>
  <c r="K1916" i="5"/>
  <c r="J1916" i="5"/>
  <c r="K1915" i="5"/>
  <c r="J1915" i="5"/>
  <c r="K1914" i="5"/>
  <c r="J1914" i="5"/>
  <c r="K1913" i="5"/>
  <c r="J1913" i="5"/>
  <c r="K1912" i="5"/>
  <c r="J1912" i="5"/>
  <c r="K1911" i="5"/>
  <c r="J1911" i="5"/>
  <c r="K1910" i="5"/>
  <c r="J1910" i="5"/>
  <c r="K1909" i="5"/>
  <c r="J1909" i="5"/>
  <c r="K1908" i="5"/>
  <c r="J1908" i="5"/>
  <c r="K1907" i="5"/>
  <c r="J1907" i="5"/>
  <c r="K1906" i="5"/>
  <c r="J1906" i="5"/>
  <c r="K1905" i="5"/>
  <c r="J1905" i="5"/>
  <c r="K1904" i="5"/>
  <c r="J1904" i="5"/>
  <c r="K1903" i="5"/>
  <c r="J1903" i="5"/>
  <c r="K1902" i="5"/>
  <c r="J1902" i="5"/>
  <c r="K1901" i="5"/>
  <c r="J1901" i="5"/>
  <c r="K1900" i="5"/>
  <c r="J1900" i="5"/>
  <c r="K1899" i="5"/>
  <c r="J1899" i="5"/>
  <c r="K1898" i="5"/>
  <c r="J1898" i="5"/>
  <c r="K1897" i="5"/>
  <c r="J1897" i="5"/>
  <c r="K1896" i="5"/>
  <c r="J1896" i="5"/>
  <c r="K1895" i="5"/>
  <c r="J1895" i="5"/>
  <c r="K1894" i="5"/>
  <c r="J1894" i="5"/>
  <c r="K1893" i="5"/>
  <c r="J1893" i="5"/>
  <c r="K1892" i="5"/>
  <c r="J1892" i="5"/>
  <c r="K1891" i="5"/>
  <c r="J1891" i="5"/>
  <c r="K1890" i="5"/>
  <c r="J1890" i="5"/>
  <c r="K1889" i="5"/>
  <c r="J1889" i="5"/>
  <c r="K1888" i="5"/>
  <c r="J1888" i="5"/>
  <c r="K1887" i="5"/>
  <c r="J1887" i="5"/>
  <c r="K1886" i="5"/>
  <c r="J1886" i="5"/>
  <c r="K1885" i="5"/>
  <c r="J1885" i="5"/>
  <c r="K1884" i="5"/>
  <c r="J1884" i="5"/>
  <c r="K1883" i="5"/>
  <c r="J1883" i="5"/>
  <c r="K1882" i="5"/>
  <c r="J1882" i="5"/>
  <c r="K1881" i="5"/>
  <c r="J1881" i="5"/>
  <c r="K1880" i="5"/>
  <c r="J1880" i="5"/>
  <c r="K1879" i="5"/>
  <c r="J1879" i="5"/>
  <c r="K1878" i="5"/>
  <c r="J1878" i="5"/>
  <c r="K1877" i="5"/>
  <c r="J1877" i="5"/>
  <c r="K1876" i="5"/>
  <c r="J1876" i="5"/>
  <c r="K1875" i="5"/>
  <c r="J1875" i="5"/>
  <c r="K1874" i="5"/>
  <c r="J1874" i="5"/>
  <c r="K1873" i="5"/>
  <c r="J1873" i="5"/>
  <c r="K1872" i="5"/>
  <c r="J1872" i="5"/>
  <c r="K1871" i="5"/>
  <c r="J1871" i="5"/>
  <c r="K1870" i="5"/>
  <c r="J1870" i="5"/>
  <c r="K1869" i="5"/>
  <c r="J1869" i="5"/>
  <c r="K1868" i="5"/>
  <c r="J1868" i="5"/>
  <c r="K1867" i="5"/>
  <c r="J1867" i="5"/>
  <c r="K1866" i="5"/>
  <c r="J1866" i="5"/>
  <c r="K1865" i="5"/>
  <c r="J1865" i="5"/>
  <c r="K1864" i="5"/>
  <c r="J1864" i="5"/>
  <c r="K1863" i="5"/>
  <c r="J1863" i="5"/>
  <c r="K1862" i="5"/>
  <c r="J1862" i="5"/>
  <c r="K1861" i="5"/>
  <c r="J1861" i="5"/>
  <c r="K1860" i="5"/>
  <c r="J1860" i="5"/>
  <c r="K1859" i="5"/>
  <c r="J1859" i="5"/>
  <c r="K1858" i="5"/>
  <c r="J1858" i="5"/>
  <c r="K1857" i="5"/>
  <c r="J1857" i="5"/>
  <c r="K1856" i="5"/>
  <c r="J1856" i="5"/>
  <c r="K1855" i="5"/>
  <c r="J1855" i="5"/>
  <c r="K1854" i="5"/>
  <c r="J1854" i="5"/>
  <c r="K1853" i="5"/>
  <c r="J1853" i="5"/>
  <c r="K1852" i="5"/>
  <c r="J1852" i="5"/>
  <c r="K1851" i="5"/>
  <c r="J1851" i="5"/>
  <c r="K1850" i="5"/>
  <c r="J1850" i="5"/>
  <c r="K1849" i="5"/>
  <c r="J1849" i="5"/>
  <c r="K1848" i="5"/>
  <c r="J1848" i="5"/>
  <c r="K1847" i="5"/>
  <c r="J1847" i="5"/>
  <c r="K1846" i="5"/>
  <c r="J1846" i="5"/>
  <c r="K1845" i="5"/>
  <c r="J1845" i="5"/>
  <c r="K1844" i="5"/>
  <c r="J1844" i="5"/>
  <c r="K1843" i="5"/>
  <c r="J1843" i="5"/>
  <c r="K1842" i="5"/>
  <c r="J1842" i="5"/>
  <c r="K1841" i="5"/>
  <c r="J1841" i="5"/>
  <c r="K1840" i="5"/>
  <c r="J1840" i="5"/>
  <c r="K1839" i="5"/>
  <c r="J1839" i="5"/>
  <c r="K1838" i="5"/>
  <c r="J1838" i="5"/>
  <c r="K1837" i="5"/>
  <c r="J1837" i="5"/>
  <c r="K1836" i="5"/>
  <c r="J1836" i="5"/>
  <c r="K1835" i="5"/>
  <c r="J1835" i="5"/>
  <c r="K1834" i="5"/>
  <c r="J1834" i="5"/>
  <c r="K1833" i="5"/>
  <c r="J1833" i="5"/>
  <c r="K1832" i="5"/>
  <c r="J1832" i="5"/>
  <c r="K1831" i="5"/>
  <c r="J1831" i="5"/>
  <c r="K1830" i="5"/>
  <c r="J1830" i="5"/>
  <c r="K1829" i="5"/>
  <c r="J1829" i="5"/>
  <c r="K1828" i="5"/>
  <c r="J1828" i="5"/>
  <c r="K1827" i="5"/>
  <c r="J1827" i="5"/>
  <c r="K1826" i="5"/>
  <c r="J1826" i="5"/>
  <c r="K1825" i="5"/>
  <c r="J1825" i="5"/>
  <c r="K1824" i="5"/>
  <c r="J1824" i="5"/>
  <c r="K1823" i="5"/>
  <c r="J1823" i="5"/>
  <c r="K1822" i="5"/>
  <c r="J1822" i="5"/>
  <c r="K1821" i="5"/>
  <c r="J1821" i="5"/>
  <c r="K1820" i="5"/>
  <c r="J1820" i="5"/>
  <c r="K1819" i="5"/>
  <c r="J1819" i="5"/>
  <c r="K1818" i="5"/>
  <c r="J1818" i="5"/>
  <c r="K1817" i="5"/>
  <c r="J1817" i="5"/>
  <c r="K1816" i="5"/>
  <c r="J1816" i="5"/>
  <c r="K1815" i="5"/>
  <c r="J1815" i="5"/>
  <c r="K1814" i="5"/>
  <c r="J1814" i="5"/>
  <c r="K1813" i="5"/>
  <c r="J1813" i="5"/>
  <c r="K1812" i="5"/>
  <c r="J1812" i="5"/>
  <c r="K1811" i="5"/>
  <c r="J1811" i="5"/>
  <c r="K1810" i="5"/>
  <c r="J1810" i="5"/>
  <c r="K1809" i="5"/>
  <c r="J1809" i="5"/>
  <c r="K1808" i="5"/>
  <c r="J1808" i="5"/>
  <c r="K1807" i="5"/>
  <c r="J1807" i="5"/>
  <c r="K1806" i="5"/>
  <c r="J1806" i="5"/>
  <c r="K1805" i="5"/>
  <c r="J1805" i="5"/>
  <c r="K1804" i="5"/>
  <c r="J1804" i="5"/>
  <c r="K1803" i="5"/>
  <c r="J1803" i="5"/>
  <c r="K1802" i="5"/>
  <c r="J1802" i="5"/>
  <c r="K1801" i="5"/>
  <c r="J1801" i="5"/>
  <c r="K1800" i="5"/>
  <c r="J1800" i="5"/>
  <c r="K1799" i="5"/>
  <c r="J1799" i="5"/>
  <c r="K1798" i="5"/>
  <c r="J1798" i="5"/>
  <c r="K1797" i="5"/>
  <c r="J1797" i="5"/>
  <c r="K1796" i="5"/>
  <c r="J1796" i="5"/>
  <c r="K1795" i="5"/>
  <c r="J1795" i="5"/>
  <c r="K1794" i="5"/>
  <c r="J1794" i="5"/>
  <c r="K1793" i="5"/>
  <c r="J1793" i="5"/>
  <c r="K1792" i="5"/>
  <c r="J1792" i="5"/>
  <c r="K1791" i="5"/>
  <c r="J1791" i="5"/>
  <c r="K1790" i="5"/>
  <c r="J1790" i="5"/>
  <c r="K1789" i="5"/>
  <c r="J1789" i="5"/>
  <c r="K1788" i="5"/>
  <c r="J1788" i="5"/>
  <c r="K1787" i="5"/>
  <c r="J1787" i="5"/>
  <c r="K1786" i="5"/>
  <c r="J1786" i="5"/>
  <c r="K1785" i="5"/>
  <c r="J1785" i="5"/>
  <c r="K1784" i="5"/>
  <c r="J1784" i="5"/>
  <c r="K1783" i="5"/>
  <c r="J1783" i="5"/>
  <c r="K1782" i="5"/>
  <c r="J1782" i="5"/>
  <c r="K1781" i="5"/>
  <c r="J1781" i="5"/>
  <c r="K1780" i="5"/>
  <c r="J1780" i="5"/>
  <c r="K1779" i="5"/>
  <c r="J1779" i="5"/>
  <c r="K1778" i="5"/>
  <c r="J1778" i="5"/>
  <c r="K1777" i="5"/>
  <c r="J1777" i="5"/>
  <c r="K1776" i="5"/>
  <c r="J1776" i="5"/>
  <c r="K1775" i="5"/>
  <c r="J1775" i="5"/>
  <c r="K1774" i="5"/>
  <c r="J1774" i="5"/>
  <c r="K1773" i="5"/>
  <c r="J1773" i="5"/>
  <c r="K1772" i="5"/>
  <c r="J1772" i="5"/>
  <c r="K1771" i="5"/>
  <c r="J1771" i="5"/>
  <c r="K1770" i="5"/>
  <c r="J1770" i="5"/>
  <c r="K1769" i="5"/>
  <c r="J1769" i="5"/>
  <c r="K1768" i="5"/>
  <c r="J1768" i="5"/>
  <c r="K1767" i="5"/>
  <c r="J1767" i="5"/>
  <c r="K1766" i="5"/>
  <c r="J1766" i="5"/>
  <c r="K1765" i="5"/>
  <c r="J1765" i="5"/>
  <c r="K1764" i="5"/>
  <c r="J1764" i="5"/>
  <c r="K1763" i="5"/>
  <c r="J1763" i="5"/>
  <c r="K1762" i="5"/>
  <c r="J1762" i="5"/>
  <c r="K1761" i="5"/>
  <c r="J1761" i="5"/>
  <c r="K1760" i="5"/>
  <c r="J1760" i="5"/>
  <c r="K1759" i="5"/>
  <c r="J1759" i="5"/>
  <c r="K1758" i="5"/>
  <c r="J1758" i="5"/>
  <c r="K1757" i="5"/>
  <c r="J1757" i="5"/>
  <c r="K1756" i="5"/>
  <c r="J1756" i="5"/>
  <c r="K1755" i="5"/>
  <c r="J1755" i="5"/>
  <c r="K1754" i="5"/>
  <c r="J1754" i="5"/>
  <c r="K1753" i="5"/>
  <c r="J1753" i="5"/>
  <c r="K1752" i="5"/>
  <c r="J1752" i="5"/>
  <c r="K1751" i="5"/>
  <c r="J1751" i="5"/>
  <c r="K1750" i="5"/>
  <c r="J1750" i="5"/>
  <c r="K1749" i="5"/>
  <c r="J1749" i="5"/>
  <c r="K1748" i="5"/>
  <c r="J1748" i="5"/>
  <c r="K1747" i="5"/>
  <c r="J1747" i="5"/>
  <c r="K1746" i="5"/>
  <c r="J1746" i="5"/>
  <c r="K1745" i="5"/>
  <c r="J1745" i="5"/>
  <c r="K1744" i="5"/>
  <c r="J1744" i="5"/>
  <c r="K1743" i="5"/>
  <c r="J1743" i="5"/>
  <c r="K1742" i="5"/>
  <c r="J1742" i="5"/>
  <c r="K1741" i="5"/>
  <c r="J1741" i="5"/>
  <c r="K1740" i="5"/>
  <c r="J1740" i="5"/>
  <c r="K1739" i="5"/>
  <c r="J1739" i="5"/>
  <c r="K1738" i="5"/>
  <c r="J1738" i="5"/>
  <c r="K1737" i="5"/>
  <c r="J1737" i="5"/>
  <c r="K1736" i="5"/>
  <c r="J1736" i="5"/>
  <c r="K1735" i="5"/>
  <c r="J1735" i="5"/>
  <c r="K1734" i="5"/>
  <c r="J1734" i="5"/>
  <c r="K1733" i="5"/>
  <c r="J1733" i="5"/>
  <c r="K1732" i="5"/>
  <c r="J1732" i="5"/>
  <c r="K1731" i="5"/>
  <c r="J1731" i="5"/>
  <c r="K1730" i="5"/>
  <c r="J1730" i="5"/>
  <c r="K1729" i="5"/>
  <c r="J1729" i="5"/>
  <c r="K1728" i="5"/>
  <c r="J1728" i="5"/>
  <c r="K1727" i="5"/>
  <c r="J1727" i="5"/>
  <c r="K1726" i="5"/>
  <c r="J1726" i="5"/>
  <c r="K1725" i="5"/>
  <c r="J1725" i="5"/>
  <c r="K1724" i="5"/>
  <c r="J1724" i="5"/>
  <c r="K1723" i="5"/>
  <c r="J1723" i="5"/>
  <c r="K1722" i="5"/>
  <c r="J1722" i="5"/>
  <c r="K1721" i="5"/>
  <c r="J1721" i="5"/>
  <c r="K1720" i="5"/>
  <c r="J1720" i="5"/>
  <c r="K1719" i="5"/>
  <c r="J1719" i="5"/>
  <c r="K1718" i="5"/>
  <c r="J1718" i="5"/>
  <c r="K1717" i="5"/>
  <c r="J1717" i="5"/>
  <c r="K1716" i="5"/>
  <c r="J1716" i="5"/>
  <c r="K1715" i="5"/>
  <c r="J1715" i="5"/>
  <c r="K1714" i="5"/>
  <c r="J1714" i="5"/>
  <c r="K1713" i="5"/>
  <c r="J1713" i="5"/>
  <c r="K1712" i="5"/>
  <c r="J1712" i="5"/>
  <c r="K1711" i="5"/>
  <c r="J1711" i="5"/>
  <c r="K1710" i="5"/>
  <c r="J1710" i="5"/>
  <c r="K1709" i="5"/>
  <c r="J1709" i="5"/>
  <c r="K1708" i="5"/>
  <c r="J1708" i="5"/>
  <c r="K1707" i="5"/>
  <c r="J1707" i="5"/>
  <c r="K1706" i="5"/>
  <c r="J1706" i="5"/>
  <c r="K1705" i="5"/>
  <c r="J1705" i="5"/>
  <c r="K1704" i="5"/>
  <c r="J1704" i="5"/>
  <c r="K1703" i="5"/>
  <c r="J1703" i="5"/>
  <c r="K1702" i="5"/>
  <c r="J1702" i="5"/>
  <c r="K1701" i="5"/>
  <c r="J1701" i="5"/>
  <c r="K1700" i="5"/>
  <c r="J1700" i="5"/>
  <c r="K1699" i="5"/>
  <c r="J1699" i="5"/>
  <c r="K1698" i="5"/>
  <c r="J1698" i="5"/>
  <c r="K1697" i="5"/>
  <c r="J1697" i="5"/>
  <c r="K1696" i="5"/>
  <c r="J1696" i="5"/>
  <c r="K1695" i="5"/>
  <c r="J1695" i="5"/>
  <c r="K1694" i="5"/>
  <c r="J1694" i="5"/>
  <c r="K1693" i="5"/>
  <c r="J1693" i="5"/>
  <c r="K1692" i="5"/>
  <c r="J1692" i="5"/>
  <c r="K1691" i="5"/>
  <c r="J1691" i="5"/>
  <c r="K1690" i="5"/>
  <c r="J1690" i="5"/>
  <c r="K1689" i="5"/>
  <c r="J1689" i="5"/>
  <c r="K1688" i="5"/>
  <c r="J1688" i="5"/>
  <c r="K1687" i="5"/>
  <c r="J1687" i="5"/>
  <c r="K1686" i="5"/>
  <c r="J1686" i="5"/>
  <c r="K1685" i="5"/>
  <c r="J1685" i="5"/>
  <c r="K1684" i="5"/>
  <c r="J1684" i="5"/>
  <c r="K1683" i="5"/>
  <c r="J1683" i="5"/>
  <c r="K1682" i="5"/>
  <c r="J1682" i="5"/>
  <c r="K1681" i="5"/>
  <c r="J1681" i="5"/>
  <c r="K1680" i="5"/>
  <c r="J1680" i="5"/>
  <c r="K1679" i="5"/>
  <c r="J1679" i="5"/>
  <c r="K1678" i="5"/>
  <c r="J1678" i="5"/>
  <c r="K1677" i="5"/>
  <c r="J1677" i="5"/>
  <c r="K1676" i="5"/>
  <c r="J1676" i="5"/>
  <c r="K1675" i="5"/>
  <c r="J1675" i="5"/>
  <c r="K1674" i="5"/>
  <c r="J1674" i="5"/>
  <c r="K1673" i="5"/>
  <c r="J1673" i="5"/>
  <c r="K1672" i="5"/>
  <c r="J1672" i="5"/>
  <c r="K1671" i="5"/>
  <c r="J1671" i="5"/>
  <c r="K1670" i="5"/>
  <c r="J1670" i="5"/>
  <c r="K1669" i="5"/>
  <c r="J1669" i="5"/>
  <c r="K1668" i="5"/>
  <c r="J1668" i="5"/>
  <c r="K1667" i="5"/>
  <c r="J1667" i="5"/>
  <c r="K1666" i="5"/>
  <c r="J1666" i="5"/>
  <c r="K1665" i="5"/>
  <c r="J1665" i="5"/>
  <c r="K1664" i="5"/>
  <c r="J1664" i="5"/>
  <c r="K1663" i="5"/>
  <c r="J1663" i="5"/>
  <c r="K1662" i="5"/>
  <c r="J1662" i="5"/>
  <c r="K1661" i="5"/>
  <c r="J1661" i="5"/>
  <c r="K1660" i="5"/>
  <c r="J1660" i="5"/>
  <c r="K1659" i="5"/>
  <c r="J1659" i="5"/>
  <c r="K1658" i="5"/>
  <c r="J1658" i="5"/>
  <c r="K1657" i="5"/>
  <c r="J1657" i="5"/>
  <c r="K1656" i="5"/>
  <c r="J1656" i="5"/>
  <c r="K1655" i="5"/>
  <c r="J1655" i="5"/>
  <c r="K1654" i="5"/>
  <c r="J1654" i="5"/>
  <c r="K1653" i="5"/>
  <c r="J1653" i="5"/>
  <c r="K1652" i="5"/>
  <c r="J1652" i="5"/>
  <c r="K1651" i="5"/>
  <c r="J1651" i="5"/>
  <c r="K1650" i="5"/>
  <c r="J1650" i="5"/>
  <c r="K1649" i="5"/>
  <c r="J1649" i="5"/>
  <c r="K1648" i="5"/>
  <c r="J1648" i="5"/>
  <c r="K1647" i="5"/>
  <c r="J1647" i="5"/>
  <c r="K1646" i="5"/>
  <c r="J1646" i="5"/>
  <c r="K1645" i="5"/>
  <c r="J1645" i="5"/>
  <c r="K1644" i="5"/>
  <c r="J1644" i="5"/>
  <c r="K1643" i="5"/>
  <c r="J1643" i="5"/>
  <c r="K1642" i="5"/>
  <c r="J1642" i="5"/>
  <c r="K1641" i="5"/>
  <c r="J1641" i="5"/>
  <c r="K1640" i="5"/>
  <c r="J1640" i="5"/>
  <c r="K1639" i="5"/>
  <c r="J1639" i="5"/>
  <c r="K1638" i="5"/>
  <c r="J1638" i="5"/>
  <c r="K1637" i="5"/>
  <c r="J1637" i="5"/>
  <c r="K1636" i="5"/>
  <c r="J1636" i="5"/>
  <c r="K1635" i="5"/>
  <c r="J1635" i="5"/>
  <c r="K1634" i="5"/>
  <c r="J1634" i="5"/>
  <c r="K1633" i="5"/>
  <c r="J1633" i="5"/>
  <c r="K1632" i="5"/>
  <c r="J1632" i="5"/>
  <c r="K1631" i="5"/>
  <c r="J1631" i="5"/>
  <c r="K1630" i="5"/>
  <c r="J1630" i="5"/>
  <c r="K1629" i="5"/>
  <c r="J1629" i="5"/>
  <c r="K1628" i="5"/>
  <c r="J1628" i="5"/>
  <c r="K1627" i="5"/>
  <c r="J1627" i="5"/>
  <c r="K1626" i="5"/>
  <c r="J1626" i="5"/>
  <c r="K1625" i="5"/>
  <c r="J1625" i="5"/>
  <c r="K1624" i="5"/>
  <c r="J1624" i="5"/>
  <c r="K1623" i="5"/>
  <c r="J1623" i="5"/>
  <c r="K1622" i="5"/>
  <c r="J1622" i="5"/>
  <c r="K1621" i="5"/>
  <c r="J1621" i="5"/>
  <c r="K1620" i="5"/>
  <c r="J1620" i="5"/>
  <c r="K1619" i="5"/>
  <c r="J1619" i="5"/>
  <c r="K1618" i="5"/>
  <c r="J1618" i="5"/>
  <c r="K1617" i="5"/>
  <c r="J1617" i="5"/>
  <c r="K1616" i="5"/>
  <c r="J1616" i="5"/>
  <c r="K1615" i="5"/>
  <c r="J1615" i="5"/>
  <c r="K1614" i="5"/>
  <c r="J1614" i="5"/>
  <c r="K1613" i="5"/>
  <c r="J1613" i="5"/>
  <c r="K1612" i="5"/>
  <c r="J1612" i="5"/>
  <c r="K1611" i="5"/>
  <c r="J1611" i="5"/>
  <c r="K1610" i="5"/>
  <c r="J1610" i="5"/>
  <c r="K1609" i="5"/>
  <c r="J1609" i="5"/>
  <c r="K1608" i="5"/>
  <c r="J1608" i="5"/>
  <c r="K1607" i="5"/>
  <c r="J1607" i="5"/>
  <c r="K1606" i="5"/>
  <c r="J1606" i="5"/>
  <c r="K1605" i="5"/>
  <c r="J1605" i="5"/>
  <c r="K1604" i="5"/>
  <c r="J1604" i="5"/>
  <c r="K1603" i="5"/>
  <c r="J1603" i="5"/>
  <c r="K1602" i="5"/>
  <c r="J1602" i="5"/>
  <c r="K1601" i="5"/>
  <c r="J1601" i="5"/>
  <c r="K1600" i="5"/>
  <c r="J1600" i="5"/>
  <c r="K1599" i="5"/>
  <c r="J1599" i="5"/>
  <c r="K1598" i="5"/>
  <c r="J1598" i="5"/>
  <c r="K1597" i="5"/>
  <c r="J1597" i="5"/>
  <c r="K1596" i="5"/>
  <c r="J1596" i="5"/>
  <c r="K1595" i="5"/>
  <c r="J1595" i="5"/>
  <c r="K1594" i="5"/>
  <c r="J1594" i="5"/>
  <c r="K1593" i="5"/>
  <c r="J1593" i="5"/>
  <c r="K1592" i="5"/>
  <c r="J1592" i="5"/>
  <c r="K1591" i="5"/>
  <c r="J1591" i="5"/>
  <c r="K1590" i="5"/>
  <c r="J1590" i="5"/>
  <c r="K1589" i="5"/>
  <c r="J1589" i="5"/>
  <c r="K1588" i="5"/>
  <c r="J1588" i="5"/>
  <c r="K1587" i="5"/>
  <c r="J1587" i="5"/>
  <c r="K1586" i="5"/>
  <c r="J1586" i="5"/>
  <c r="K1585" i="5"/>
  <c r="J1585" i="5"/>
  <c r="K1584" i="5"/>
  <c r="J1584" i="5"/>
  <c r="K1583" i="5"/>
  <c r="J1583" i="5"/>
  <c r="K1582" i="5"/>
  <c r="J1582" i="5"/>
  <c r="K1581" i="5"/>
  <c r="J1581" i="5"/>
  <c r="K1580" i="5"/>
  <c r="J1580" i="5"/>
  <c r="K1579" i="5"/>
  <c r="J1579" i="5"/>
  <c r="K1578" i="5"/>
  <c r="J1578" i="5"/>
  <c r="K1577" i="5"/>
  <c r="J1577" i="5"/>
  <c r="K1576" i="5"/>
  <c r="J1576" i="5"/>
  <c r="K1575" i="5"/>
  <c r="J1575" i="5"/>
  <c r="K1574" i="5"/>
  <c r="J1574" i="5"/>
  <c r="K1573" i="5"/>
  <c r="J1573" i="5"/>
  <c r="K1572" i="5"/>
  <c r="J1572" i="5"/>
  <c r="K1571" i="5"/>
  <c r="J1571" i="5"/>
  <c r="K1570" i="5"/>
  <c r="J1570" i="5"/>
  <c r="K1569" i="5"/>
  <c r="J1569" i="5"/>
  <c r="K1568" i="5"/>
  <c r="J1568" i="5"/>
  <c r="K1567" i="5"/>
  <c r="J1567" i="5"/>
  <c r="K1566" i="5"/>
  <c r="J1566" i="5"/>
  <c r="K1565" i="5"/>
  <c r="J1565" i="5"/>
  <c r="K1564" i="5"/>
  <c r="J1564" i="5"/>
  <c r="K1563" i="5"/>
  <c r="J1563" i="5"/>
  <c r="K1562" i="5"/>
  <c r="J1562" i="5"/>
  <c r="K1561" i="5"/>
  <c r="J1561" i="5"/>
  <c r="K1560" i="5"/>
  <c r="J1560" i="5"/>
  <c r="K1559" i="5"/>
  <c r="J1559" i="5"/>
  <c r="K1558" i="5"/>
  <c r="J1558" i="5"/>
  <c r="K1557" i="5"/>
  <c r="J1557" i="5"/>
  <c r="K1556" i="5"/>
  <c r="J1556" i="5"/>
  <c r="K1555" i="5"/>
  <c r="J1555" i="5"/>
  <c r="K1554" i="5"/>
  <c r="J1554" i="5"/>
  <c r="K1553" i="5"/>
  <c r="J1553" i="5"/>
  <c r="K1552" i="5"/>
  <c r="J1552" i="5"/>
  <c r="K1551" i="5"/>
  <c r="J1551" i="5"/>
  <c r="K1550" i="5"/>
  <c r="J1550" i="5"/>
  <c r="K1549" i="5"/>
  <c r="J1549" i="5"/>
  <c r="K1548" i="5"/>
  <c r="J1548" i="5"/>
  <c r="K1547" i="5"/>
  <c r="J1547" i="5"/>
  <c r="K1546" i="5"/>
  <c r="J1546" i="5"/>
  <c r="K1545" i="5"/>
  <c r="J1545" i="5"/>
  <c r="K1544" i="5"/>
  <c r="J1544" i="5"/>
  <c r="K1543" i="5"/>
  <c r="J1543" i="5"/>
  <c r="K1542" i="5"/>
  <c r="J1542" i="5"/>
  <c r="K1541" i="5"/>
  <c r="J1541" i="5"/>
  <c r="K1540" i="5"/>
  <c r="J1540" i="5"/>
  <c r="K1539" i="5"/>
  <c r="J1539" i="5"/>
  <c r="K1538" i="5"/>
  <c r="J1538" i="5"/>
  <c r="K1537" i="5"/>
  <c r="J1537" i="5"/>
  <c r="K1536" i="5"/>
  <c r="J1536" i="5"/>
  <c r="K1535" i="5"/>
  <c r="J1535" i="5"/>
  <c r="K1534" i="5"/>
  <c r="J1534" i="5"/>
  <c r="K1533" i="5"/>
  <c r="J1533" i="5"/>
  <c r="K1532" i="5"/>
  <c r="J1532" i="5"/>
  <c r="K1531" i="5"/>
  <c r="J1531" i="5"/>
  <c r="K1530" i="5"/>
  <c r="J1530" i="5"/>
  <c r="K1529" i="5"/>
  <c r="J1529" i="5"/>
  <c r="K1528" i="5"/>
  <c r="J1528" i="5"/>
  <c r="K1527" i="5"/>
  <c r="J1527" i="5"/>
  <c r="K1526" i="5"/>
  <c r="J1526" i="5"/>
  <c r="K1525" i="5"/>
  <c r="J1525" i="5"/>
  <c r="K1524" i="5"/>
  <c r="J1524" i="5"/>
  <c r="K1523" i="5"/>
  <c r="J1523" i="5"/>
  <c r="K1522" i="5"/>
  <c r="J1522" i="5"/>
  <c r="K1521" i="5"/>
  <c r="J1521" i="5"/>
  <c r="K1520" i="5"/>
  <c r="J1520" i="5"/>
  <c r="K1519" i="5"/>
  <c r="J1519" i="5"/>
  <c r="K1518" i="5"/>
  <c r="J1518" i="5"/>
  <c r="K1517" i="5"/>
  <c r="J1517" i="5"/>
  <c r="K1516" i="5"/>
  <c r="J1516" i="5"/>
  <c r="K1515" i="5"/>
  <c r="J1515" i="5"/>
  <c r="K1514" i="5"/>
  <c r="J1514" i="5"/>
  <c r="K1513" i="5"/>
  <c r="J1513" i="5"/>
  <c r="K1512" i="5"/>
  <c r="J1512" i="5"/>
  <c r="K1511" i="5"/>
  <c r="J1511" i="5"/>
  <c r="K1510" i="5"/>
  <c r="J1510" i="5"/>
  <c r="K1509" i="5"/>
  <c r="J1509" i="5"/>
  <c r="K1508" i="5"/>
  <c r="J1508" i="5"/>
  <c r="K1507" i="5"/>
  <c r="J1507" i="5"/>
  <c r="K1506" i="5"/>
  <c r="J1506" i="5"/>
  <c r="K1505" i="5"/>
  <c r="J1505" i="5"/>
  <c r="K1504" i="5"/>
  <c r="J1504" i="5"/>
  <c r="K1503" i="5"/>
  <c r="J1503" i="5"/>
  <c r="K1502" i="5"/>
  <c r="J1502" i="5"/>
  <c r="K1501" i="5"/>
  <c r="J1501" i="5"/>
  <c r="K1500" i="5"/>
  <c r="J1500" i="5"/>
  <c r="K1499" i="5"/>
  <c r="J1499" i="5"/>
  <c r="K1498" i="5"/>
  <c r="J1498" i="5"/>
  <c r="K1497" i="5"/>
  <c r="J1497" i="5"/>
  <c r="K1496" i="5"/>
  <c r="J1496" i="5"/>
  <c r="K1495" i="5"/>
  <c r="J1495" i="5"/>
  <c r="K1494" i="5"/>
  <c r="J1494" i="5"/>
  <c r="K1493" i="5"/>
  <c r="J1493" i="5"/>
  <c r="K1492" i="5"/>
  <c r="J1492" i="5"/>
  <c r="K1491" i="5"/>
  <c r="J1491" i="5"/>
  <c r="K1490" i="5"/>
  <c r="J1490" i="5"/>
  <c r="K1489" i="5"/>
  <c r="J1489" i="5"/>
  <c r="K1488" i="5"/>
  <c r="J1488" i="5"/>
  <c r="K1487" i="5"/>
  <c r="J1487" i="5"/>
  <c r="K1486" i="5"/>
  <c r="J1486" i="5"/>
  <c r="K1485" i="5"/>
  <c r="J1485" i="5"/>
  <c r="K1484" i="5"/>
  <c r="J1484" i="5"/>
  <c r="K1483" i="5"/>
  <c r="J1483" i="5"/>
  <c r="K1482" i="5"/>
  <c r="J1482" i="5"/>
  <c r="K1481" i="5"/>
  <c r="J1481" i="5"/>
  <c r="K1480" i="5"/>
  <c r="J1480" i="5"/>
  <c r="K1479" i="5"/>
  <c r="J1479" i="5"/>
  <c r="K1478" i="5"/>
  <c r="J1478" i="5"/>
  <c r="K1477" i="5"/>
  <c r="J1477" i="5"/>
  <c r="K1476" i="5"/>
  <c r="J1476" i="5"/>
  <c r="K1475" i="5"/>
  <c r="J1475" i="5"/>
  <c r="K1474" i="5"/>
  <c r="J1474" i="5"/>
  <c r="K1473" i="5"/>
  <c r="J1473" i="5"/>
  <c r="K1472" i="5"/>
  <c r="J1472" i="5"/>
  <c r="K1471" i="5"/>
  <c r="J1471" i="5"/>
  <c r="K1470" i="5"/>
  <c r="J1470" i="5"/>
  <c r="K1469" i="5"/>
  <c r="J1469" i="5"/>
  <c r="K1468" i="5"/>
  <c r="J1468" i="5"/>
  <c r="K1467" i="5"/>
  <c r="J1467" i="5"/>
  <c r="K1466" i="5"/>
  <c r="J1466" i="5"/>
  <c r="K1465" i="5"/>
  <c r="J1465" i="5"/>
  <c r="K1464" i="5"/>
  <c r="J1464" i="5"/>
  <c r="K1463" i="5"/>
  <c r="J1463" i="5"/>
  <c r="K1462" i="5"/>
  <c r="J1462" i="5"/>
  <c r="K1461" i="5"/>
  <c r="J1461" i="5"/>
  <c r="K1460" i="5"/>
  <c r="J1460" i="5"/>
  <c r="K1459" i="5"/>
  <c r="J1459" i="5"/>
  <c r="K1458" i="5"/>
  <c r="J1458" i="5"/>
  <c r="K1457" i="5"/>
  <c r="J1457" i="5"/>
  <c r="K1456" i="5"/>
  <c r="J1456" i="5"/>
  <c r="K1455" i="5"/>
  <c r="J1455" i="5"/>
  <c r="K1454" i="5"/>
  <c r="J1454" i="5"/>
  <c r="K1453" i="5"/>
  <c r="J1453" i="5"/>
  <c r="K1452" i="5"/>
  <c r="J1452" i="5"/>
  <c r="K1451" i="5"/>
  <c r="J1451" i="5"/>
  <c r="K1450" i="5"/>
  <c r="J1450" i="5"/>
  <c r="K1449" i="5"/>
  <c r="J1449" i="5"/>
  <c r="K1448" i="5"/>
  <c r="J1448" i="5"/>
  <c r="K1447" i="5"/>
  <c r="J1447" i="5"/>
  <c r="K1446" i="5"/>
  <c r="J1446" i="5"/>
  <c r="K1445" i="5"/>
  <c r="J1445" i="5"/>
  <c r="K1444" i="5"/>
  <c r="J1444" i="5"/>
  <c r="K1443" i="5"/>
  <c r="J1443" i="5"/>
  <c r="K1442" i="5"/>
  <c r="J1442" i="5"/>
  <c r="K1441" i="5"/>
  <c r="J1441" i="5"/>
  <c r="K1440" i="5"/>
  <c r="J1440" i="5"/>
  <c r="K1439" i="5"/>
  <c r="J1439" i="5"/>
  <c r="K1438" i="5"/>
  <c r="J1438" i="5"/>
  <c r="K1437" i="5"/>
  <c r="J1437" i="5"/>
  <c r="K1436" i="5"/>
  <c r="J1436" i="5"/>
  <c r="K1435" i="5"/>
  <c r="J1435" i="5"/>
  <c r="K1434" i="5"/>
  <c r="J1434" i="5"/>
  <c r="K1433" i="5"/>
  <c r="J1433" i="5"/>
  <c r="K1432" i="5"/>
  <c r="J1432" i="5"/>
  <c r="K1431" i="5"/>
  <c r="J1431" i="5"/>
  <c r="K1430" i="5"/>
  <c r="J1430" i="5"/>
  <c r="K1429" i="5"/>
  <c r="J1429" i="5"/>
  <c r="K1428" i="5"/>
  <c r="J1428" i="5"/>
  <c r="K1427" i="5"/>
  <c r="J1427" i="5"/>
  <c r="K1426" i="5"/>
  <c r="J1426" i="5"/>
  <c r="K1425" i="5"/>
  <c r="J1425" i="5"/>
  <c r="K1424" i="5"/>
  <c r="J1424" i="5"/>
  <c r="K1423" i="5"/>
  <c r="J1423" i="5"/>
  <c r="K1422" i="5"/>
  <c r="J1422" i="5"/>
  <c r="K1421" i="5"/>
  <c r="J1421" i="5"/>
  <c r="K1420" i="5"/>
  <c r="J1420" i="5"/>
  <c r="K1419" i="5"/>
  <c r="J1419" i="5"/>
  <c r="K1418" i="5"/>
  <c r="J1418" i="5"/>
  <c r="K1417" i="5"/>
  <c r="J1417" i="5"/>
  <c r="K1416" i="5"/>
  <c r="J1416" i="5"/>
  <c r="K1415" i="5"/>
  <c r="J1415" i="5"/>
  <c r="K1414" i="5"/>
  <c r="J1414" i="5"/>
  <c r="K1413" i="5"/>
  <c r="J1413" i="5"/>
  <c r="K1412" i="5"/>
  <c r="J1412" i="5"/>
  <c r="K1411" i="5"/>
  <c r="J1411" i="5"/>
  <c r="K1410" i="5"/>
  <c r="J1410" i="5"/>
  <c r="K1409" i="5"/>
  <c r="J1409" i="5"/>
  <c r="K1408" i="5"/>
  <c r="J1408" i="5"/>
  <c r="K1407" i="5"/>
  <c r="J1407" i="5"/>
  <c r="K1406" i="5"/>
  <c r="J1406" i="5"/>
  <c r="K1405" i="5"/>
  <c r="J1405" i="5"/>
  <c r="K1404" i="5"/>
  <c r="J1404" i="5"/>
  <c r="K1403" i="5"/>
  <c r="J1403" i="5"/>
  <c r="K1402" i="5"/>
  <c r="J1402" i="5"/>
  <c r="K1401" i="5"/>
  <c r="J1401" i="5"/>
  <c r="K1400" i="5"/>
  <c r="J1400" i="5"/>
  <c r="K1399" i="5"/>
  <c r="J1399" i="5"/>
  <c r="K1398" i="5"/>
  <c r="J1398" i="5"/>
  <c r="K1397" i="5"/>
  <c r="J1397" i="5"/>
  <c r="K1396" i="5"/>
  <c r="J1396" i="5"/>
  <c r="K1395" i="5"/>
  <c r="J1395" i="5"/>
  <c r="K1394" i="5"/>
  <c r="J1394" i="5"/>
  <c r="K1393" i="5"/>
  <c r="J1393" i="5"/>
  <c r="K1392" i="5"/>
  <c r="J1392" i="5"/>
  <c r="K1391" i="5"/>
  <c r="J1391" i="5"/>
  <c r="K1390" i="5"/>
  <c r="J1390" i="5"/>
  <c r="K1389" i="5"/>
  <c r="J1389" i="5"/>
  <c r="K1388" i="5"/>
  <c r="J1388" i="5"/>
  <c r="K1387" i="5"/>
  <c r="J1387" i="5"/>
  <c r="K1386" i="5"/>
  <c r="J1386" i="5"/>
  <c r="K1385" i="5"/>
  <c r="J1385" i="5"/>
  <c r="K1384" i="5"/>
  <c r="J1384" i="5"/>
  <c r="K1383" i="5"/>
  <c r="J1383" i="5"/>
  <c r="K1382" i="5"/>
  <c r="J1382" i="5"/>
  <c r="K1381" i="5"/>
  <c r="J1381" i="5"/>
  <c r="K1380" i="5"/>
  <c r="J1380" i="5"/>
  <c r="K1379" i="5"/>
  <c r="J1379" i="5"/>
  <c r="K1378" i="5"/>
  <c r="J1378" i="5"/>
  <c r="K1377" i="5"/>
  <c r="J1377" i="5"/>
  <c r="K1376" i="5"/>
  <c r="J1376" i="5"/>
  <c r="K1375" i="5"/>
  <c r="J1375" i="5"/>
  <c r="K1374" i="5"/>
  <c r="J1374" i="5"/>
  <c r="K1373" i="5"/>
  <c r="J1373" i="5"/>
  <c r="K1372" i="5"/>
  <c r="J1372" i="5"/>
  <c r="K1371" i="5"/>
  <c r="J1371" i="5"/>
  <c r="K1370" i="5"/>
  <c r="J1370" i="5"/>
  <c r="K1369" i="5"/>
  <c r="J1369" i="5"/>
  <c r="K1368" i="5"/>
  <c r="J1368" i="5"/>
  <c r="K1367" i="5"/>
  <c r="J1367" i="5"/>
  <c r="K1366" i="5"/>
  <c r="J1366" i="5"/>
  <c r="K1365" i="5"/>
  <c r="J1365" i="5"/>
  <c r="K1364" i="5"/>
  <c r="J1364" i="5"/>
  <c r="K1363" i="5"/>
  <c r="J1363" i="5"/>
  <c r="K1362" i="5"/>
  <c r="J1362" i="5"/>
  <c r="K1361" i="5"/>
  <c r="J1361" i="5"/>
  <c r="K1360" i="5"/>
  <c r="J1360" i="5"/>
  <c r="K1359" i="5"/>
  <c r="J1359" i="5"/>
  <c r="K1358" i="5"/>
  <c r="J1358" i="5"/>
  <c r="K1357" i="5"/>
  <c r="J1357" i="5"/>
  <c r="K1356" i="5"/>
  <c r="J1356" i="5"/>
  <c r="K1355" i="5"/>
  <c r="J1355" i="5"/>
  <c r="K1354" i="5"/>
  <c r="J1354" i="5"/>
  <c r="K1353" i="5"/>
  <c r="J1353" i="5"/>
  <c r="K1352" i="5"/>
  <c r="J1352" i="5"/>
  <c r="K1351" i="5"/>
  <c r="J1351" i="5"/>
  <c r="K1350" i="5"/>
  <c r="J1350" i="5"/>
  <c r="K1349" i="5"/>
  <c r="J1349" i="5"/>
  <c r="K1348" i="5"/>
  <c r="J1348" i="5"/>
  <c r="K1347" i="5"/>
  <c r="J1347" i="5"/>
  <c r="K1346" i="5"/>
  <c r="J1346" i="5"/>
  <c r="K1345" i="5"/>
  <c r="J1345" i="5"/>
  <c r="K1344" i="5"/>
  <c r="J1344" i="5"/>
  <c r="K1343" i="5"/>
  <c r="J1343" i="5"/>
  <c r="K1342" i="5"/>
  <c r="J1342" i="5"/>
  <c r="K1341" i="5"/>
  <c r="J1341" i="5"/>
  <c r="K1340" i="5"/>
  <c r="J1340" i="5"/>
  <c r="K1339" i="5"/>
  <c r="J1339" i="5"/>
  <c r="K1338" i="5"/>
  <c r="J1338" i="5"/>
  <c r="K1337" i="5"/>
  <c r="J1337" i="5"/>
  <c r="K1336" i="5"/>
  <c r="J1336" i="5"/>
  <c r="K1335" i="5"/>
  <c r="J1335" i="5"/>
  <c r="K1334" i="5"/>
  <c r="J1334" i="5"/>
  <c r="K1333" i="5"/>
  <c r="J1333" i="5"/>
  <c r="K1332" i="5"/>
  <c r="J1332" i="5"/>
  <c r="K1331" i="5"/>
  <c r="J1331" i="5"/>
  <c r="K1330" i="5"/>
  <c r="J1330" i="5"/>
  <c r="K1329" i="5"/>
  <c r="J1329" i="5"/>
  <c r="K1328" i="5"/>
  <c r="J1328" i="5"/>
  <c r="K1327" i="5"/>
  <c r="J1327" i="5"/>
  <c r="K1326" i="5"/>
  <c r="J1326" i="5"/>
  <c r="K1325" i="5"/>
  <c r="J1325" i="5"/>
  <c r="K1324" i="5"/>
  <c r="J1324" i="5"/>
  <c r="K1323" i="5"/>
  <c r="J1323" i="5"/>
  <c r="K1322" i="5"/>
  <c r="J1322" i="5"/>
  <c r="K1321" i="5"/>
  <c r="J1321" i="5"/>
  <c r="K1320" i="5"/>
  <c r="J1320" i="5"/>
  <c r="K1319" i="5"/>
  <c r="J1319" i="5"/>
  <c r="K1318" i="5"/>
  <c r="J1318" i="5"/>
  <c r="K1317" i="5"/>
  <c r="J1317" i="5"/>
  <c r="K1316" i="5"/>
  <c r="J1316" i="5"/>
  <c r="K1315" i="5"/>
  <c r="J1315" i="5"/>
  <c r="K1314" i="5"/>
  <c r="J1314" i="5"/>
  <c r="K1313" i="5"/>
  <c r="J1313" i="5"/>
  <c r="K1312" i="5"/>
  <c r="J1312" i="5"/>
  <c r="K1311" i="5"/>
  <c r="J1311" i="5"/>
  <c r="K1310" i="5"/>
  <c r="J1310" i="5"/>
  <c r="K1309" i="5"/>
  <c r="J1309" i="5"/>
  <c r="K1308" i="5"/>
  <c r="J1308" i="5"/>
  <c r="K1307" i="5"/>
  <c r="J1307" i="5"/>
  <c r="K1306" i="5"/>
  <c r="J1306" i="5"/>
  <c r="K1305" i="5"/>
  <c r="J1305" i="5"/>
  <c r="K1304" i="5"/>
  <c r="J1304" i="5"/>
  <c r="K1303" i="5"/>
  <c r="J1303" i="5"/>
  <c r="K1302" i="5"/>
  <c r="J1302" i="5"/>
  <c r="K1301" i="5"/>
  <c r="J1301" i="5"/>
  <c r="K1300" i="5"/>
  <c r="J1300" i="5"/>
  <c r="K1299" i="5"/>
  <c r="J1299" i="5"/>
  <c r="K1298" i="5"/>
  <c r="J1298" i="5"/>
  <c r="K1297" i="5"/>
  <c r="J1297" i="5"/>
  <c r="K1296" i="5"/>
  <c r="J1296" i="5"/>
  <c r="K1295" i="5"/>
  <c r="J1295" i="5"/>
  <c r="K1294" i="5"/>
  <c r="J1294" i="5"/>
  <c r="K1293" i="5"/>
  <c r="J1293" i="5"/>
  <c r="K1292" i="5"/>
  <c r="J1292" i="5"/>
  <c r="K1291" i="5"/>
  <c r="J1291" i="5"/>
  <c r="K1290" i="5"/>
  <c r="J1290" i="5"/>
  <c r="K1289" i="5"/>
  <c r="J1289" i="5"/>
  <c r="K1288" i="5"/>
  <c r="J1288" i="5"/>
  <c r="K1287" i="5"/>
  <c r="J1287" i="5"/>
  <c r="K1286" i="5"/>
  <c r="J1286" i="5"/>
  <c r="K1285" i="5"/>
  <c r="J1285" i="5"/>
  <c r="K1284" i="5"/>
  <c r="J1284" i="5"/>
  <c r="K1283" i="5"/>
  <c r="J1283" i="5"/>
  <c r="K1282" i="5"/>
  <c r="J1282" i="5"/>
  <c r="K1281" i="5"/>
  <c r="J1281" i="5"/>
  <c r="K1280" i="5"/>
  <c r="J1280" i="5"/>
  <c r="K1279" i="5"/>
  <c r="J1279" i="5"/>
  <c r="K1278" i="5"/>
  <c r="J1278" i="5"/>
  <c r="K1277" i="5"/>
  <c r="J1277" i="5"/>
  <c r="K1276" i="5"/>
  <c r="J1276" i="5"/>
  <c r="K1275" i="5"/>
  <c r="J1275" i="5"/>
  <c r="K1274" i="5"/>
  <c r="J1274" i="5"/>
  <c r="K1273" i="5"/>
  <c r="J1273" i="5"/>
  <c r="K1272" i="5"/>
  <c r="J1272" i="5"/>
  <c r="K1271" i="5"/>
  <c r="J1271" i="5"/>
  <c r="K1270" i="5"/>
  <c r="J1270" i="5"/>
  <c r="K1269" i="5"/>
  <c r="J1269" i="5"/>
  <c r="K1268" i="5"/>
  <c r="J1268" i="5"/>
  <c r="K1267" i="5"/>
  <c r="J1267" i="5"/>
  <c r="K1266" i="5"/>
  <c r="J1266" i="5"/>
  <c r="K1265" i="5"/>
  <c r="J1265" i="5"/>
  <c r="K1264" i="5"/>
  <c r="J1264" i="5"/>
  <c r="K1263" i="5"/>
  <c r="J1263" i="5"/>
  <c r="K1262" i="5"/>
  <c r="J1262" i="5"/>
  <c r="K1261" i="5"/>
  <c r="J1261" i="5"/>
  <c r="K1260" i="5"/>
  <c r="J1260" i="5"/>
  <c r="K1259" i="5"/>
  <c r="J1259" i="5"/>
  <c r="K1258" i="5"/>
  <c r="J1258" i="5"/>
  <c r="K1257" i="5"/>
  <c r="J1257" i="5"/>
  <c r="K1256" i="5"/>
  <c r="J1256" i="5"/>
  <c r="K1255" i="5"/>
  <c r="J1255" i="5"/>
  <c r="K1254" i="5"/>
  <c r="J1254" i="5"/>
  <c r="K1253" i="5"/>
  <c r="J1253" i="5"/>
  <c r="K1252" i="5"/>
  <c r="J1252" i="5"/>
  <c r="K1251" i="5"/>
  <c r="J1251" i="5"/>
  <c r="K1250" i="5"/>
  <c r="J1250" i="5"/>
  <c r="K1249" i="5"/>
  <c r="J1249" i="5"/>
  <c r="K1248" i="5"/>
  <c r="J1248" i="5"/>
  <c r="K1247" i="5"/>
  <c r="J1247" i="5"/>
  <c r="K1246" i="5"/>
  <c r="J1246" i="5"/>
  <c r="K1245" i="5"/>
  <c r="J1245" i="5"/>
  <c r="K1244" i="5"/>
  <c r="J1244" i="5"/>
  <c r="K1243" i="5"/>
  <c r="J1243" i="5"/>
  <c r="K1242" i="5"/>
  <c r="J1242" i="5"/>
  <c r="K1241" i="5"/>
  <c r="J1241" i="5"/>
  <c r="K1240" i="5"/>
  <c r="J1240" i="5"/>
  <c r="K1239" i="5"/>
  <c r="J1239" i="5"/>
  <c r="K1238" i="5"/>
  <c r="J1238" i="5"/>
  <c r="K1237" i="5"/>
  <c r="J1237" i="5"/>
  <c r="K1236" i="5"/>
  <c r="J1236" i="5"/>
  <c r="K1235" i="5"/>
  <c r="J1235" i="5"/>
  <c r="K1234" i="5"/>
  <c r="J1234" i="5"/>
  <c r="K1233" i="5"/>
  <c r="J1233" i="5"/>
  <c r="K1232" i="5"/>
  <c r="J1232" i="5"/>
  <c r="K1231" i="5"/>
  <c r="J1231" i="5"/>
  <c r="K1230" i="5"/>
  <c r="J1230" i="5"/>
  <c r="K1229" i="5"/>
  <c r="J1229" i="5"/>
  <c r="K1228" i="5"/>
  <c r="J1228" i="5"/>
  <c r="K1227" i="5"/>
  <c r="J1227" i="5"/>
  <c r="K1226" i="5"/>
  <c r="J1226" i="5"/>
  <c r="K1225" i="5"/>
  <c r="J1225" i="5"/>
  <c r="K1224" i="5"/>
  <c r="J1224" i="5"/>
  <c r="K1223" i="5"/>
  <c r="J1223" i="5"/>
  <c r="K1222" i="5"/>
  <c r="J1222" i="5"/>
  <c r="K1221" i="5"/>
  <c r="J1221" i="5"/>
  <c r="K1220" i="5"/>
  <c r="J1220" i="5"/>
  <c r="K1219" i="5"/>
  <c r="J1219" i="5"/>
  <c r="K1218" i="5"/>
  <c r="J1218" i="5"/>
  <c r="K1217" i="5"/>
  <c r="J1217" i="5"/>
  <c r="K1216" i="5"/>
  <c r="J1216" i="5"/>
  <c r="K1215" i="5"/>
  <c r="J1215" i="5"/>
  <c r="K1214" i="5"/>
  <c r="J1214" i="5"/>
  <c r="K1213" i="5"/>
  <c r="J1213" i="5"/>
  <c r="K1212" i="5"/>
  <c r="J1212" i="5"/>
  <c r="K1211" i="5"/>
  <c r="J1211" i="5"/>
  <c r="K1210" i="5"/>
  <c r="J1210" i="5"/>
  <c r="K1209" i="5"/>
  <c r="J1209" i="5"/>
  <c r="K1208" i="5"/>
  <c r="J1208" i="5"/>
  <c r="K1207" i="5"/>
  <c r="J1207" i="5"/>
  <c r="K1206" i="5"/>
  <c r="J1206" i="5"/>
  <c r="K1205" i="5"/>
  <c r="J1205" i="5"/>
  <c r="K1204" i="5"/>
  <c r="J1204" i="5"/>
  <c r="K1203" i="5"/>
  <c r="J1203" i="5"/>
  <c r="K1202" i="5"/>
  <c r="J1202" i="5"/>
  <c r="K1201" i="5"/>
  <c r="J1201" i="5"/>
  <c r="K1200" i="5"/>
  <c r="J1200" i="5"/>
  <c r="K1199" i="5"/>
  <c r="J1199" i="5"/>
  <c r="K1198" i="5"/>
  <c r="J1198" i="5"/>
  <c r="K1197" i="5"/>
  <c r="J1197" i="5"/>
  <c r="K1196" i="5"/>
  <c r="J1196" i="5"/>
  <c r="K1195" i="5"/>
  <c r="J1195" i="5"/>
  <c r="K1194" i="5"/>
  <c r="J1194" i="5"/>
  <c r="K1193" i="5"/>
  <c r="J1193" i="5"/>
  <c r="K1192" i="5"/>
  <c r="J1192" i="5"/>
  <c r="K1191" i="5"/>
  <c r="J1191" i="5"/>
  <c r="K1190" i="5"/>
  <c r="J1190" i="5"/>
  <c r="K1189" i="5"/>
  <c r="J1189" i="5"/>
  <c r="K1188" i="5"/>
  <c r="J1188" i="5"/>
  <c r="K1187" i="5"/>
  <c r="J1187" i="5"/>
  <c r="K1186" i="5"/>
  <c r="J1186" i="5"/>
  <c r="K1185" i="5"/>
  <c r="J1185" i="5"/>
  <c r="K1184" i="5"/>
  <c r="J1184" i="5"/>
  <c r="K1183" i="5"/>
  <c r="J1183" i="5"/>
  <c r="K1182" i="5"/>
  <c r="J1182" i="5"/>
  <c r="K1181" i="5"/>
  <c r="J1181" i="5"/>
  <c r="K1180" i="5"/>
  <c r="J1180" i="5"/>
  <c r="K1179" i="5"/>
  <c r="J1179" i="5"/>
  <c r="K1178" i="5"/>
  <c r="J1178" i="5"/>
  <c r="K1177" i="5"/>
  <c r="J1177" i="5"/>
  <c r="K1176" i="5"/>
  <c r="J1176" i="5"/>
  <c r="K1175" i="5"/>
  <c r="J1175" i="5"/>
  <c r="K1174" i="5"/>
  <c r="J1174" i="5"/>
  <c r="K1173" i="5"/>
  <c r="J1173" i="5"/>
  <c r="K1172" i="5"/>
  <c r="J1172" i="5"/>
  <c r="K1171" i="5"/>
  <c r="J1171" i="5"/>
  <c r="K1170" i="5"/>
  <c r="J1170" i="5"/>
  <c r="K1169" i="5"/>
  <c r="J1169" i="5"/>
  <c r="K1168" i="5"/>
  <c r="J1168" i="5"/>
  <c r="K1167" i="5"/>
  <c r="J1167" i="5"/>
  <c r="K1166" i="5"/>
  <c r="J1166" i="5"/>
  <c r="K1165" i="5"/>
  <c r="J1165" i="5"/>
  <c r="K1164" i="5"/>
  <c r="J1164" i="5"/>
  <c r="K1163" i="5"/>
  <c r="J1163" i="5"/>
  <c r="K1162" i="5"/>
  <c r="J1162" i="5"/>
  <c r="K1161" i="5"/>
  <c r="J1161" i="5"/>
  <c r="K1160" i="5"/>
  <c r="J1160" i="5"/>
  <c r="K1159" i="5"/>
  <c r="J1159" i="5"/>
  <c r="K1158" i="5"/>
  <c r="J1158" i="5"/>
  <c r="K1157" i="5"/>
  <c r="J1157" i="5"/>
  <c r="K1156" i="5"/>
  <c r="J1156" i="5"/>
  <c r="K1155" i="5"/>
  <c r="J1155" i="5"/>
  <c r="K1154" i="5"/>
  <c r="J1154" i="5"/>
  <c r="K1153" i="5"/>
  <c r="J1153" i="5"/>
  <c r="K1152" i="5"/>
  <c r="J1152" i="5"/>
  <c r="K1151" i="5"/>
  <c r="J1151" i="5"/>
  <c r="K1150" i="5"/>
  <c r="J1150" i="5"/>
  <c r="K1149" i="5"/>
  <c r="J1149" i="5"/>
  <c r="K1148" i="5"/>
  <c r="J1148" i="5"/>
  <c r="K1147" i="5"/>
  <c r="J1147" i="5"/>
  <c r="K1146" i="5"/>
  <c r="J1146" i="5"/>
  <c r="K1145" i="5"/>
  <c r="J1145" i="5"/>
  <c r="K1144" i="5"/>
  <c r="J1144" i="5"/>
  <c r="K1143" i="5"/>
  <c r="J1143" i="5"/>
  <c r="K1142" i="5"/>
  <c r="J1142" i="5"/>
  <c r="K1141" i="5"/>
  <c r="J1141" i="5"/>
  <c r="K1140" i="5"/>
  <c r="J1140" i="5"/>
  <c r="K1139" i="5"/>
  <c r="J1139" i="5"/>
  <c r="K1138" i="5"/>
  <c r="J1138" i="5"/>
  <c r="K1137" i="5"/>
  <c r="J1137" i="5"/>
  <c r="K1136" i="5"/>
  <c r="J1136" i="5"/>
  <c r="K1135" i="5"/>
  <c r="J1135" i="5"/>
  <c r="K1134" i="5"/>
  <c r="J1134" i="5"/>
  <c r="K1133" i="5"/>
  <c r="J1133" i="5"/>
  <c r="K1132" i="5"/>
  <c r="J1132" i="5"/>
  <c r="K1131" i="5"/>
  <c r="J1131" i="5"/>
  <c r="K1130" i="5"/>
  <c r="J1130" i="5"/>
  <c r="K1129" i="5"/>
  <c r="J1129" i="5"/>
  <c r="K1128" i="5"/>
  <c r="J1128" i="5"/>
  <c r="K1127" i="5"/>
  <c r="J1127" i="5"/>
  <c r="K1126" i="5"/>
  <c r="J1126" i="5"/>
  <c r="K1125" i="5"/>
  <c r="J1125" i="5"/>
  <c r="K1124" i="5"/>
  <c r="J1124" i="5"/>
  <c r="K1123" i="5"/>
  <c r="J1123" i="5"/>
  <c r="K1122" i="5"/>
  <c r="J1122" i="5"/>
  <c r="K1121" i="5"/>
  <c r="J1121" i="5"/>
  <c r="K1120" i="5"/>
  <c r="J1120" i="5"/>
  <c r="K1119" i="5"/>
  <c r="J1119" i="5"/>
  <c r="K1118" i="5"/>
  <c r="J1118" i="5"/>
  <c r="K1117" i="5"/>
  <c r="J1117" i="5"/>
  <c r="K1116" i="5"/>
  <c r="J1116" i="5"/>
  <c r="K1115" i="5"/>
  <c r="J1115" i="5"/>
  <c r="K1114" i="5"/>
  <c r="J1114" i="5"/>
  <c r="K1113" i="5"/>
  <c r="J1113" i="5"/>
  <c r="K1112" i="5"/>
  <c r="J1112" i="5"/>
  <c r="K1111" i="5"/>
  <c r="J1111" i="5"/>
  <c r="K1110" i="5"/>
  <c r="J1110" i="5"/>
  <c r="K1109" i="5"/>
  <c r="J1109" i="5"/>
  <c r="K1108" i="5"/>
  <c r="J1108" i="5"/>
  <c r="K1107" i="5"/>
  <c r="J1107" i="5"/>
  <c r="K1106" i="5"/>
  <c r="J1106" i="5"/>
  <c r="K1105" i="5"/>
  <c r="J1105" i="5"/>
  <c r="K1104" i="5"/>
  <c r="J1104" i="5"/>
  <c r="K1103" i="5"/>
  <c r="J1103" i="5"/>
  <c r="K1102" i="5"/>
  <c r="J1102" i="5"/>
  <c r="K1101" i="5"/>
  <c r="J1101" i="5"/>
  <c r="K1100" i="5"/>
  <c r="J1100" i="5"/>
  <c r="K1099" i="5"/>
  <c r="J1099" i="5"/>
  <c r="K1098" i="5"/>
  <c r="J1098" i="5"/>
  <c r="K1097" i="5"/>
  <c r="J1097" i="5"/>
  <c r="K1096" i="5"/>
  <c r="J1096" i="5"/>
  <c r="K1095" i="5"/>
  <c r="J1095" i="5"/>
  <c r="K1094" i="5"/>
  <c r="J1094" i="5"/>
  <c r="K1093" i="5"/>
  <c r="J1093" i="5"/>
  <c r="K1092" i="5"/>
  <c r="J1092" i="5"/>
  <c r="K1091" i="5"/>
  <c r="J1091" i="5"/>
  <c r="K1090" i="5"/>
  <c r="J1090" i="5"/>
  <c r="K1089" i="5"/>
  <c r="J1089" i="5"/>
  <c r="K1088" i="5"/>
  <c r="J1088" i="5"/>
  <c r="K1087" i="5"/>
  <c r="J1087" i="5"/>
  <c r="K1086" i="5"/>
  <c r="J1086" i="5"/>
  <c r="K1085" i="5"/>
  <c r="J1085" i="5"/>
  <c r="K1084" i="5"/>
  <c r="J1084" i="5"/>
  <c r="K1083" i="5"/>
  <c r="J1083" i="5"/>
  <c r="K1082" i="5"/>
  <c r="J1082" i="5"/>
  <c r="K1081" i="5"/>
  <c r="J1081" i="5"/>
  <c r="K1080" i="5"/>
  <c r="J1080" i="5"/>
  <c r="K1079" i="5"/>
  <c r="J1079" i="5"/>
  <c r="K1078" i="5"/>
  <c r="J1078" i="5"/>
  <c r="K1077" i="5"/>
  <c r="J1077" i="5"/>
  <c r="K1076" i="5"/>
  <c r="J1076" i="5"/>
  <c r="K1075" i="5"/>
  <c r="J1075" i="5"/>
  <c r="K1074" i="5"/>
  <c r="J1074" i="5"/>
  <c r="K1073" i="5"/>
  <c r="J1073" i="5"/>
  <c r="K1072" i="5"/>
  <c r="J1072" i="5"/>
  <c r="K1071" i="5"/>
  <c r="J1071" i="5"/>
  <c r="K1070" i="5"/>
  <c r="J1070" i="5"/>
  <c r="K1069" i="5"/>
  <c r="J1069" i="5"/>
  <c r="K1068" i="5"/>
  <c r="J1068" i="5"/>
  <c r="K1067" i="5"/>
  <c r="J1067" i="5"/>
  <c r="K1066" i="5"/>
  <c r="J1066" i="5"/>
  <c r="K1065" i="5"/>
  <c r="J1065" i="5"/>
  <c r="K1064" i="5"/>
  <c r="J1064" i="5"/>
  <c r="K1063" i="5"/>
  <c r="J1063" i="5"/>
  <c r="K1062" i="5"/>
  <c r="J1062" i="5"/>
  <c r="K1061" i="5"/>
  <c r="J1061" i="5"/>
  <c r="K1060" i="5"/>
  <c r="J1060" i="5"/>
  <c r="K1059" i="5"/>
  <c r="J1059" i="5"/>
  <c r="K1058" i="5"/>
  <c r="J1058" i="5"/>
  <c r="K1057" i="5"/>
  <c r="J1057" i="5"/>
  <c r="K1056" i="5"/>
  <c r="J1056" i="5"/>
  <c r="K1055" i="5"/>
  <c r="J1055" i="5"/>
  <c r="K1054" i="5"/>
  <c r="J1054" i="5"/>
  <c r="K1053" i="5"/>
  <c r="J1053" i="5"/>
  <c r="K1052" i="5"/>
  <c r="J1052" i="5"/>
  <c r="K1051" i="5"/>
  <c r="J1051" i="5"/>
  <c r="K1050" i="5"/>
  <c r="J1050" i="5"/>
  <c r="K1049" i="5"/>
  <c r="J1049" i="5"/>
  <c r="K1048" i="5"/>
  <c r="J1048" i="5"/>
  <c r="K1047" i="5"/>
  <c r="J1047" i="5"/>
  <c r="K1046" i="5"/>
  <c r="J1046" i="5"/>
  <c r="K1045" i="5"/>
  <c r="J1045" i="5"/>
  <c r="K1044" i="5"/>
  <c r="J1044" i="5"/>
  <c r="K1043" i="5"/>
  <c r="J1043" i="5"/>
  <c r="K1042" i="5"/>
  <c r="J1042" i="5"/>
  <c r="K1041" i="5"/>
  <c r="J1041" i="5"/>
  <c r="K1040" i="5"/>
  <c r="J1040" i="5"/>
  <c r="K1039" i="5"/>
  <c r="J1039" i="5"/>
  <c r="K1038" i="5"/>
  <c r="J1038" i="5"/>
  <c r="K1037" i="5"/>
  <c r="J1037" i="5"/>
  <c r="K1036" i="5"/>
  <c r="J1036" i="5"/>
  <c r="K1035" i="5"/>
  <c r="J1035" i="5"/>
  <c r="K1034" i="5"/>
  <c r="J1034" i="5"/>
  <c r="K1033" i="5"/>
  <c r="J1033" i="5"/>
  <c r="K1032" i="5"/>
  <c r="J1032" i="5"/>
  <c r="K1031" i="5"/>
  <c r="J1031" i="5"/>
  <c r="K1030" i="5"/>
  <c r="J1030" i="5"/>
  <c r="K1029" i="5"/>
  <c r="J1029" i="5"/>
  <c r="K1028" i="5"/>
  <c r="J1028" i="5"/>
  <c r="K1027" i="5"/>
  <c r="J1027" i="5"/>
  <c r="K1026" i="5"/>
  <c r="J1026" i="5"/>
  <c r="K1025" i="5"/>
  <c r="J1025" i="5"/>
  <c r="K1024" i="5"/>
  <c r="J1024" i="5"/>
  <c r="K1023" i="5"/>
  <c r="J1023" i="5"/>
  <c r="K1022" i="5"/>
  <c r="J1022" i="5"/>
  <c r="K1021" i="5"/>
  <c r="J1021" i="5"/>
  <c r="K1020" i="5"/>
  <c r="J1020" i="5"/>
  <c r="K1019" i="5"/>
  <c r="J1019" i="5"/>
  <c r="K1018" i="5"/>
  <c r="J1018" i="5"/>
  <c r="K1017" i="5"/>
  <c r="J1017" i="5"/>
  <c r="K1016" i="5"/>
  <c r="J1016" i="5"/>
  <c r="K1015" i="5"/>
  <c r="J1015" i="5"/>
  <c r="K1014" i="5"/>
  <c r="J1014" i="5"/>
  <c r="K1013" i="5"/>
  <c r="J1013" i="5"/>
  <c r="K1012" i="5"/>
  <c r="J1012" i="5"/>
  <c r="K1011" i="5"/>
  <c r="J1011" i="5"/>
  <c r="K1010" i="5"/>
  <c r="J1010" i="5"/>
  <c r="K1009" i="5"/>
  <c r="J1009" i="5"/>
  <c r="K1008" i="5"/>
  <c r="J1008" i="5"/>
  <c r="K1007" i="5"/>
  <c r="J1007" i="5"/>
  <c r="K1006" i="5"/>
  <c r="J1006" i="5"/>
  <c r="K1005" i="5"/>
  <c r="J1005" i="5"/>
  <c r="K1004" i="5"/>
  <c r="J1004" i="5"/>
  <c r="K1003" i="5"/>
  <c r="J1003" i="5"/>
  <c r="K1002" i="5"/>
  <c r="J1002" i="5"/>
  <c r="K1001" i="5"/>
  <c r="J1001" i="5"/>
  <c r="K1000" i="5"/>
  <c r="J1000" i="5"/>
  <c r="K999" i="5"/>
  <c r="J999" i="5"/>
  <c r="K998" i="5"/>
  <c r="J998" i="5"/>
  <c r="K997" i="5"/>
  <c r="J997" i="5"/>
  <c r="K996" i="5"/>
  <c r="J996" i="5"/>
  <c r="K995" i="5"/>
  <c r="J995" i="5"/>
  <c r="K994" i="5"/>
  <c r="J994" i="5"/>
  <c r="K993" i="5"/>
  <c r="J993" i="5"/>
  <c r="K992" i="5"/>
  <c r="J992" i="5"/>
  <c r="K991" i="5"/>
  <c r="J991" i="5"/>
  <c r="K990" i="5"/>
  <c r="J990" i="5"/>
  <c r="K989" i="5"/>
  <c r="J989" i="5"/>
  <c r="K988" i="5"/>
  <c r="J988" i="5"/>
  <c r="K987" i="5"/>
  <c r="J987" i="5"/>
  <c r="K986" i="5"/>
  <c r="J986" i="5"/>
  <c r="K985" i="5"/>
  <c r="J985" i="5"/>
  <c r="K984" i="5"/>
  <c r="J984" i="5"/>
  <c r="K983" i="5"/>
  <c r="J983" i="5"/>
  <c r="K982" i="5"/>
  <c r="J982" i="5"/>
  <c r="K981" i="5"/>
  <c r="J981" i="5"/>
  <c r="K980" i="5"/>
  <c r="J980" i="5"/>
  <c r="K979" i="5"/>
  <c r="J979" i="5"/>
  <c r="K978" i="5"/>
  <c r="J978" i="5"/>
  <c r="K977" i="5"/>
  <c r="J977" i="5"/>
  <c r="K976" i="5"/>
  <c r="J976" i="5"/>
  <c r="K975" i="5"/>
  <c r="J975" i="5"/>
  <c r="K974" i="5"/>
  <c r="J974" i="5"/>
  <c r="K973" i="5"/>
  <c r="J973" i="5"/>
  <c r="K972" i="5"/>
  <c r="J972" i="5"/>
  <c r="K971" i="5"/>
  <c r="J971" i="5"/>
  <c r="K970" i="5"/>
  <c r="J970" i="5"/>
  <c r="K969" i="5"/>
  <c r="J969" i="5"/>
  <c r="K968" i="5"/>
  <c r="J968" i="5"/>
  <c r="K967" i="5"/>
  <c r="J967" i="5"/>
  <c r="K966" i="5"/>
  <c r="J966" i="5"/>
  <c r="K965" i="5"/>
  <c r="J965" i="5"/>
  <c r="K964" i="5"/>
  <c r="J964" i="5"/>
  <c r="K963" i="5"/>
  <c r="J963" i="5"/>
  <c r="K962" i="5"/>
  <c r="J962" i="5"/>
  <c r="K961" i="5"/>
  <c r="J961" i="5"/>
  <c r="K960" i="5"/>
  <c r="J960" i="5"/>
  <c r="K959" i="5"/>
  <c r="J959" i="5"/>
  <c r="K958" i="5"/>
  <c r="J958" i="5"/>
  <c r="K957" i="5"/>
  <c r="J957" i="5"/>
  <c r="K956" i="5"/>
  <c r="J956" i="5"/>
  <c r="K955" i="5"/>
  <c r="J955" i="5"/>
  <c r="K954" i="5"/>
  <c r="J954" i="5"/>
  <c r="K953" i="5"/>
  <c r="J953" i="5"/>
  <c r="K952" i="5"/>
  <c r="J952" i="5"/>
  <c r="K951" i="5"/>
  <c r="J951" i="5"/>
  <c r="K950" i="5"/>
  <c r="J950" i="5"/>
  <c r="K949" i="5"/>
  <c r="J949" i="5"/>
  <c r="K948" i="5"/>
  <c r="J948" i="5"/>
  <c r="K947" i="5"/>
  <c r="J947" i="5"/>
  <c r="K946" i="5"/>
  <c r="J946" i="5"/>
  <c r="K945" i="5"/>
  <c r="J945" i="5"/>
  <c r="K944" i="5"/>
  <c r="J944" i="5"/>
  <c r="K943" i="5"/>
  <c r="J943" i="5"/>
  <c r="K942" i="5"/>
  <c r="J942" i="5"/>
  <c r="K941" i="5"/>
  <c r="J941" i="5"/>
  <c r="K940" i="5"/>
  <c r="J940" i="5"/>
  <c r="K939" i="5"/>
  <c r="J939" i="5"/>
  <c r="K938" i="5"/>
  <c r="J938" i="5"/>
  <c r="K937" i="5"/>
  <c r="J937" i="5"/>
  <c r="K936" i="5"/>
  <c r="J936" i="5"/>
  <c r="K935" i="5"/>
  <c r="J935" i="5"/>
  <c r="K934" i="5"/>
  <c r="J934" i="5"/>
  <c r="K933" i="5"/>
  <c r="J933" i="5"/>
  <c r="K932" i="5"/>
  <c r="J932" i="5"/>
  <c r="K931" i="5"/>
  <c r="J931" i="5"/>
  <c r="K930" i="5"/>
  <c r="J930" i="5"/>
  <c r="K929" i="5"/>
  <c r="J929" i="5"/>
  <c r="K928" i="5"/>
  <c r="J928" i="5"/>
  <c r="K927" i="5"/>
  <c r="J927" i="5"/>
  <c r="K926" i="5"/>
  <c r="J926" i="5"/>
  <c r="K925" i="5"/>
  <c r="J925" i="5"/>
  <c r="K924" i="5"/>
  <c r="J924" i="5"/>
  <c r="K923" i="5"/>
  <c r="J923" i="5"/>
  <c r="K922" i="5"/>
  <c r="J922" i="5"/>
  <c r="K921" i="5"/>
  <c r="J921" i="5"/>
  <c r="K920" i="5"/>
  <c r="J920" i="5"/>
  <c r="K919" i="5"/>
  <c r="J919" i="5"/>
  <c r="K918" i="5"/>
  <c r="J918" i="5"/>
  <c r="K917" i="5"/>
  <c r="J917" i="5"/>
  <c r="K916" i="5"/>
  <c r="J916" i="5"/>
  <c r="K915" i="5"/>
  <c r="J915" i="5"/>
  <c r="K914" i="5"/>
  <c r="J914" i="5"/>
  <c r="K913" i="5"/>
  <c r="J913" i="5"/>
  <c r="K912" i="5"/>
  <c r="J912" i="5"/>
  <c r="K911" i="5"/>
  <c r="J911" i="5"/>
  <c r="K910" i="5"/>
  <c r="J910" i="5"/>
  <c r="K909" i="5"/>
  <c r="J909" i="5"/>
  <c r="K908" i="5"/>
  <c r="J908" i="5"/>
  <c r="K907" i="5"/>
  <c r="J907" i="5"/>
  <c r="K906" i="5"/>
  <c r="J906" i="5"/>
  <c r="K905" i="5"/>
  <c r="J905" i="5"/>
  <c r="K904" i="5"/>
  <c r="J904" i="5"/>
  <c r="K903" i="5"/>
  <c r="J903" i="5"/>
  <c r="K902" i="5"/>
  <c r="J902" i="5"/>
  <c r="K901" i="5"/>
  <c r="J901" i="5"/>
  <c r="K900" i="5"/>
  <c r="J900" i="5"/>
  <c r="K899" i="5"/>
  <c r="J899" i="5"/>
  <c r="K898" i="5"/>
  <c r="J898" i="5"/>
  <c r="K897" i="5"/>
  <c r="J897" i="5"/>
  <c r="K896" i="5"/>
  <c r="J896" i="5"/>
  <c r="K895" i="5"/>
  <c r="J895" i="5"/>
  <c r="K894" i="5"/>
  <c r="J894" i="5"/>
  <c r="K893" i="5"/>
  <c r="J893" i="5"/>
  <c r="K892" i="5"/>
  <c r="J892" i="5"/>
  <c r="K891" i="5"/>
  <c r="J891" i="5"/>
  <c r="K890" i="5"/>
  <c r="J890" i="5"/>
  <c r="K889" i="5"/>
  <c r="J889" i="5"/>
  <c r="K888" i="5"/>
  <c r="J888" i="5"/>
  <c r="K887" i="5"/>
  <c r="J887" i="5"/>
  <c r="K886" i="5"/>
  <c r="J886" i="5"/>
  <c r="K885" i="5"/>
  <c r="J885" i="5"/>
  <c r="K884" i="5"/>
  <c r="J884" i="5"/>
  <c r="K883" i="5"/>
  <c r="J883" i="5"/>
  <c r="K882" i="5"/>
  <c r="J882" i="5"/>
  <c r="K881" i="5"/>
  <c r="J881" i="5"/>
  <c r="K880" i="5"/>
  <c r="J880" i="5"/>
  <c r="K879" i="5"/>
  <c r="J879" i="5"/>
  <c r="K878" i="5"/>
  <c r="J878" i="5"/>
  <c r="K877" i="5"/>
  <c r="J877" i="5"/>
  <c r="K876" i="5"/>
  <c r="J876" i="5"/>
  <c r="K875" i="5"/>
  <c r="J875" i="5"/>
  <c r="K874" i="5"/>
  <c r="J874" i="5"/>
  <c r="K873" i="5"/>
  <c r="J873" i="5"/>
  <c r="K872" i="5"/>
  <c r="J872" i="5"/>
  <c r="K871" i="5"/>
  <c r="J871" i="5"/>
  <c r="K870" i="5"/>
  <c r="J870" i="5"/>
  <c r="K869" i="5"/>
  <c r="J869" i="5"/>
  <c r="K868" i="5"/>
  <c r="J868" i="5"/>
  <c r="K867" i="5"/>
  <c r="J867" i="5"/>
  <c r="K866" i="5"/>
  <c r="J866" i="5"/>
  <c r="K865" i="5"/>
  <c r="J865" i="5"/>
  <c r="K864" i="5"/>
  <c r="J864" i="5"/>
  <c r="K863" i="5"/>
  <c r="J863" i="5"/>
  <c r="K862" i="5"/>
  <c r="J862" i="5"/>
  <c r="K861" i="5"/>
  <c r="J861" i="5"/>
  <c r="K860" i="5"/>
  <c r="J860" i="5"/>
  <c r="K859" i="5"/>
  <c r="J859" i="5"/>
  <c r="K858" i="5"/>
  <c r="J858" i="5"/>
  <c r="K857" i="5"/>
  <c r="J857" i="5"/>
  <c r="K856" i="5"/>
  <c r="J856" i="5"/>
  <c r="K855" i="5"/>
  <c r="J855" i="5"/>
  <c r="K854" i="5"/>
  <c r="J854" i="5"/>
  <c r="K853" i="5"/>
  <c r="J853" i="5"/>
  <c r="K852" i="5"/>
  <c r="J852" i="5"/>
  <c r="K851" i="5"/>
  <c r="J851" i="5"/>
  <c r="K850" i="5"/>
  <c r="J850" i="5"/>
  <c r="K849" i="5"/>
  <c r="J849" i="5"/>
  <c r="K848" i="5"/>
  <c r="J848" i="5"/>
  <c r="K847" i="5"/>
  <c r="J847" i="5"/>
  <c r="K846" i="5"/>
  <c r="J846" i="5"/>
  <c r="K845" i="5"/>
  <c r="J845" i="5"/>
  <c r="K844" i="5"/>
  <c r="J844" i="5"/>
  <c r="K843" i="5"/>
  <c r="J843" i="5"/>
  <c r="K842" i="5"/>
  <c r="J842" i="5"/>
  <c r="K841" i="5"/>
  <c r="J841" i="5"/>
  <c r="K840" i="5"/>
  <c r="J840" i="5"/>
  <c r="K839" i="5"/>
  <c r="J839" i="5"/>
  <c r="K838" i="5"/>
  <c r="J838" i="5"/>
  <c r="K837" i="5"/>
  <c r="J837" i="5"/>
  <c r="K836" i="5"/>
  <c r="J836" i="5"/>
  <c r="K835" i="5"/>
  <c r="J835" i="5"/>
  <c r="K834" i="5"/>
  <c r="J834" i="5"/>
  <c r="K833" i="5"/>
  <c r="J833" i="5"/>
  <c r="K832" i="5"/>
  <c r="J832" i="5"/>
  <c r="K831" i="5"/>
  <c r="J831" i="5"/>
  <c r="K830" i="5"/>
  <c r="J830" i="5"/>
  <c r="K829" i="5"/>
  <c r="J829" i="5"/>
  <c r="K828" i="5"/>
  <c r="J828" i="5"/>
  <c r="K827" i="5"/>
  <c r="J827" i="5"/>
  <c r="K826" i="5"/>
  <c r="J826" i="5"/>
  <c r="K825" i="5"/>
  <c r="J825" i="5"/>
  <c r="K824" i="5"/>
  <c r="J824" i="5"/>
  <c r="K823" i="5"/>
  <c r="J823" i="5"/>
  <c r="K822" i="5"/>
  <c r="J822" i="5"/>
  <c r="K821" i="5"/>
  <c r="J821" i="5"/>
  <c r="K820" i="5"/>
  <c r="J820" i="5"/>
  <c r="K819" i="5"/>
  <c r="J819" i="5"/>
  <c r="K818" i="5"/>
  <c r="J818" i="5"/>
  <c r="K817" i="5"/>
  <c r="J817" i="5"/>
  <c r="K816" i="5"/>
  <c r="J816" i="5"/>
  <c r="K815" i="5"/>
  <c r="J815" i="5"/>
  <c r="K814" i="5"/>
  <c r="J814" i="5"/>
  <c r="K813" i="5"/>
  <c r="J813" i="5"/>
  <c r="K812" i="5"/>
  <c r="J812" i="5"/>
  <c r="K811" i="5"/>
  <c r="J811" i="5"/>
  <c r="K810" i="5"/>
  <c r="J810" i="5"/>
  <c r="K809" i="5"/>
  <c r="J809" i="5"/>
  <c r="K808" i="5"/>
  <c r="J808" i="5"/>
  <c r="K807" i="5"/>
  <c r="J807" i="5"/>
  <c r="K806" i="5"/>
  <c r="J806" i="5"/>
  <c r="K805" i="5"/>
  <c r="J805" i="5"/>
  <c r="K804" i="5"/>
  <c r="J804" i="5"/>
  <c r="K803" i="5"/>
  <c r="J803" i="5"/>
  <c r="K802" i="5"/>
  <c r="J802" i="5"/>
  <c r="K801" i="5"/>
  <c r="J801" i="5"/>
  <c r="K800" i="5"/>
  <c r="J800" i="5"/>
  <c r="K799" i="5"/>
  <c r="J799" i="5"/>
  <c r="K798" i="5"/>
  <c r="J798" i="5"/>
  <c r="K797" i="5"/>
  <c r="J797" i="5"/>
  <c r="K796" i="5"/>
  <c r="J796" i="5"/>
  <c r="K795" i="5"/>
  <c r="J795" i="5"/>
  <c r="K794" i="5"/>
  <c r="J794" i="5"/>
  <c r="K793" i="5"/>
  <c r="J793" i="5"/>
  <c r="K792" i="5"/>
  <c r="J792" i="5"/>
  <c r="K791" i="5"/>
  <c r="J791" i="5"/>
  <c r="K790" i="5"/>
  <c r="J790" i="5"/>
  <c r="K789" i="5"/>
  <c r="J789" i="5"/>
  <c r="K788" i="5"/>
  <c r="J788" i="5"/>
  <c r="K787" i="5"/>
  <c r="J787" i="5"/>
  <c r="K786" i="5"/>
  <c r="J786" i="5"/>
  <c r="K785" i="5"/>
  <c r="J785" i="5"/>
  <c r="K784" i="5"/>
  <c r="J784" i="5"/>
  <c r="K783" i="5"/>
  <c r="J783" i="5"/>
  <c r="K782" i="5"/>
  <c r="J782" i="5"/>
  <c r="K781" i="5"/>
  <c r="J781" i="5"/>
  <c r="K780" i="5"/>
  <c r="J780" i="5"/>
  <c r="K779" i="5"/>
  <c r="J779" i="5"/>
  <c r="K778" i="5"/>
  <c r="J778" i="5"/>
  <c r="K777" i="5"/>
  <c r="J777" i="5"/>
  <c r="K776" i="5"/>
  <c r="J776" i="5"/>
  <c r="K775" i="5"/>
  <c r="J775" i="5"/>
  <c r="K774" i="5"/>
  <c r="J774" i="5"/>
  <c r="K773" i="5"/>
  <c r="J773" i="5"/>
  <c r="K772" i="5"/>
  <c r="J772" i="5"/>
  <c r="K771" i="5"/>
  <c r="J771" i="5"/>
  <c r="K770" i="5"/>
  <c r="J770" i="5"/>
  <c r="K769" i="5"/>
  <c r="J769" i="5"/>
  <c r="K768" i="5"/>
  <c r="J768" i="5"/>
  <c r="K767" i="5"/>
  <c r="J767" i="5"/>
  <c r="K766" i="5"/>
  <c r="J766" i="5"/>
  <c r="K765" i="5"/>
  <c r="J765" i="5"/>
  <c r="K764" i="5"/>
  <c r="J764" i="5"/>
  <c r="K763" i="5"/>
  <c r="J763" i="5"/>
  <c r="K762" i="5"/>
  <c r="J762" i="5"/>
  <c r="K761" i="5"/>
  <c r="J761" i="5"/>
  <c r="K760" i="5"/>
  <c r="J760" i="5"/>
  <c r="K759" i="5"/>
  <c r="J759" i="5"/>
  <c r="K758" i="5"/>
  <c r="J758" i="5"/>
  <c r="K757" i="5"/>
  <c r="J757" i="5"/>
  <c r="K756" i="5"/>
  <c r="J756" i="5"/>
  <c r="K755" i="5"/>
  <c r="J755" i="5"/>
  <c r="K754" i="5"/>
  <c r="J754" i="5"/>
  <c r="K753" i="5"/>
  <c r="J753" i="5"/>
  <c r="K752" i="5"/>
  <c r="J752" i="5"/>
  <c r="K751" i="5"/>
  <c r="J751" i="5"/>
  <c r="K750" i="5"/>
  <c r="J750" i="5"/>
  <c r="K749" i="5"/>
  <c r="J749" i="5"/>
  <c r="K748" i="5"/>
  <c r="J748" i="5"/>
  <c r="K747" i="5"/>
  <c r="J747" i="5"/>
  <c r="K746" i="5"/>
  <c r="J746" i="5"/>
  <c r="K745" i="5"/>
  <c r="J745" i="5"/>
  <c r="K744" i="5"/>
  <c r="J744" i="5"/>
  <c r="K743" i="5"/>
  <c r="J743" i="5"/>
  <c r="K742" i="5"/>
  <c r="J742" i="5"/>
  <c r="K741" i="5"/>
  <c r="J741" i="5"/>
  <c r="K740" i="5"/>
  <c r="J740" i="5"/>
  <c r="K739" i="5"/>
  <c r="J739" i="5"/>
  <c r="K738" i="5"/>
  <c r="J738" i="5"/>
  <c r="K737" i="5"/>
  <c r="J737" i="5"/>
  <c r="K736" i="5"/>
  <c r="J736" i="5"/>
  <c r="K735" i="5"/>
  <c r="J735" i="5"/>
  <c r="K734" i="5"/>
  <c r="J734" i="5"/>
  <c r="K733" i="5"/>
  <c r="J733" i="5"/>
  <c r="K732" i="5"/>
  <c r="J732" i="5"/>
  <c r="K731" i="5"/>
  <c r="J731" i="5"/>
  <c r="K730" i="5"/>
  <c r="J730" i="5"/>
  <c r="K729" i="5"/>
  <c r="J729" i="5"/>
  <c r="K728" i="5"/>
  <c r="J728" i="5"/>
  <c r="K727" i="5"/>
  <c r="J727" i="5"/>
  <c r="K726" i="5"/>
  <c r="J726" i="5"/>
  <c r="K725" i="5"/>
  <c r="J725" i="5"/>
  <c r="K724" i="5"/>
  <c r="J724" i="5"/>
  <c r="K723" i="5"/>
  <c r="J723" i="5"/>
  <c r="K722" i="5"/>
  <c r="J722" i="5"/>
  <c r="K721" i="5"/>
  <c r="J721" i="5"/>
  <c r="K720" i="5"/>
  <c r="J720" i="5"/>
  <c r="K719" i="5"/>
  <c r="J719" i="5"/>
  <c r="K718" i="5"/>
  <c r="J718" i="5"/>
  <c r="K717" i="5"/>
  <c r="J717" i="5"/>
  <c r="K716" i="5"/>
  <c r="J716" i="5"/>
  <c r="K715" i="5"/>
  <c r="J715" i="5"/>
  <c r="K714" i="5"/>
  <c r="J714" i="5"/>
  <c r="K713" i="5"/>
  <c r="J713" i="5"/>
  <c r="K712" i="5"/>
  <c r="J712" i="5"/>
  <c r="K711" i="5"/>
  <c r="J711" i="5"/>
  <c r="K710" i="5"/>
  <c r="J710" i="5"/>
  <c r="K709" i="5"/>
  <c r="J709" i="5"/>
  <c r="K708" i="5"/>
  <c r="J708" i="5"/>
  <c r="K707" i="5"/>
  <c r="J707" i="5"/>
  <c r="K706" i="5"/>
  <c r="J706" i="5"/>
  <c r="K705" i="5"/>
  <c r="J705" i="5"/>
  <c r="K704" i="5"/>
  <c r="J704" i="5"/>
  <c r="K703" i="5"/>
  <c r="J703" i="5"/>
  <c r="K702" i="5"/>
  <c r="J702" i="5"/>
  <c r="K701" i="5"/>
  <c r="J701" i="5"/>
  <c r="K700" i="5"/>
  <c r="J700" i="5"/>
  <c r="K699" i="5"/>
  <c r="J699" i="5"/>
  <c r="K698" i="5"/>
  <c r="J698" i="5"/>
  <c r="K697" i="5"/>
  <c r="J697" i="5"/>
  <c r="K696" i="5"/>
  <c r="J696" i="5"/>
  <c r="K695" i="5"/>
  <c r="J695" i="5"/>
  <c r="K694" i="5"/>
  <c r="J694" i="5"/>
  <c r="K693" i="5"/>
  <c r="J693" i="5"/>
  <c r="K692" i="5"/>
  <c r="J692" i="5"/>
  <c r="K691" i="5"/>
  <c r="J691" i="5"/>
  <c r="K690" i="5"/>
  <c r="J690" i="5"/>
  <c r="K689" i="5"/>
  <c r="J689" i="5"/>
  <c r="K688" i="5"/>
  <c r="J688" i="5"/>
  <c r="K687" i="5"/>
  <c r="J687" i="5"/>
  <c r="K686" i="5"/>
  <c r="J686" i="5"/>
  <c r="K685" i="5"/>
  <c r="J685" i="5"/>
  <c r="K684" i="5"/>
  <c r="J684" i="5"/>
  <c r="K683" i="5"/>
  <c r="J683" i="5"/>
  <c r="K682" i="5"/>
  <c r="J682" i="5"/>
  <c r="K681" i="5"/>
  <c r="J681" i="5"/>
  <c r="K680" i="5"/>
  <c r="J680" i="5"/>
  <c r="K679" i="5"/>
  <c r="J679" i="5"/>
  <c r="K678" i="5"/>
  <c r="J678" i="5"/>
  <c r="K677" i="5"/>
  <c r="J677" i="5"/>
  <c r="K676" i="5"/>
  <c r="J676" i="5"/>
  <c r="K675" i="5"/>
  <c r="J675" i="5"/>
  <c r="K674" i="5"/>
  <c r="J674" i="5"/>
  <c r="K673" i="5"/>
  <c r="J673" i="5"/>
  <c r="K672" i="5"/>
  <c r="J672" i="5"/>
  <c r="K671" i="5"/>
  <c r="J671" i="5"/>
  <c r="K670" i="5"/>
  <c r="J670" i="5"/>
  <c r="K669" i="5"/>
  <c r="J669" i="5"/>
  <c r="K668" i="5"/>
  <c r="J668" i="5"/>
  <c r="K667" i="5"/>
  <c r="J667" i="5"/>
  <c r="K666" i="5"/>
  <c r="J666" i="5"/>
  <c r="K665" i="5"/>
  <c r="J665" i="5"/>
  <c r="K664" i="5"/>
  <c r="J664" i="5"/>
  <c r="K663" i="5"/>
  <c r="J663" i="5"/>
  <c r="K662" i="5"/>
  <c r="J662" i="5"/>
  <c r="K661" i="5"/>
  <c r="J661" i="5"/>
  <c r="K660" i="5"/>
  <c r="J660" i="5"/>
  <c r="K659" i="5"/>
  <c r="J659" i="5"/>
  <c r="K658" i="5"/>
  <c r="J658" i="5"/>
  <c r="K657" i="5"/>
  <c r="J657" i="5"/>
  <c r="K656" i="5"/>
  <c r="J656" i="5"/>
  <c r="K655" i="5"/>
  <c r="J655" i="5"/>
  <c r="K654" i="5"/>
  <c r="J654" i="5"/>
  <c r="K653" i="5"/>
  <c r="J653" i="5"/>
  <c r="K652" i="5"/>
  <c r="J652" i="5"/>
  <c r="K651" i="5"/>
  <c r="J651" i="5"/>
  <c r="K650" i="5"/>
  <c r="J650" i="5"/>
  <c r="K649" i="5"/>
  <c r="J649" i="5"/>
  <c r="K648" i="5"/>
  <c r="J648" i="5"/>
  <c r="K647" i="5"/>
  <c r="J647" i="5"/>
  <c r="K646" i="5"/>
  <c r="J646" i="5"/>
  <c r="K645" i="5"/>
  <c r="J645" i="5"/>
  <c r="K644" i="5"/>
  <c r="J644" i="5"/>
  <c r="K643" i="5"/>
  <c r="J643" i="5"/>
  <c r="K642" i="5"/>
  <c r="J642" i="5"/>
  <c r="K641" i="5"/>
  <c r="J641" i="5"/>
  <c r="K640" i="5"/>
  <c r="J640" i="5"/>
  <c r="K639" i="5"/>
  <c r="J639" i="5"/>
  <c r="K638" i="5"/>
  <c r="J638" i="5"/>
  <c r="K637" i="5"/>
  <c r="J637" i="5"/>
  <c r="K636" i="5"/>
  <c r="J636" i="5"/>
  <c r="K635" i="5"/>
  <c r="J635" i="5"/>
  <c r="K634" i="5"/>
  <c r="J634" i="5"/>
  <c r="K633" i="5"/>
  <c r="J633" i="5"/>
  <c r="K632" i="5"/>
  <c r="J632" i="5"/>
  <c r="K631" i="5"/>
  <c r="J631" i="5"/>
  <c r="K630" i="5"/>
  <c r="J630" i="5"/>
  <c r="K629" i="5"/>
  <c r="J629" i="5"/>
  <c r="K628" i="5"/>
  <c r="J628" i="5"/>
  <c r="K627" i="5"/>
  <c r="J627" i="5"/>
  <c r="K626" i="5"/>
  <c r="J626" i="5"/>
  <c r="K625" i="5"/>
  <c r="J625" i="5"/>
  <c r="K624" i="5"/>
  <c r="J624" i="5"/>
  <c r="K623" i="5"/>
  <c r="J623" i="5"/>
  <c r="K622" i="5"/>
  <c r="J622" i="5"/>
  <c r="K621" i="5"/>
  <c r="J621" i="5"/>
  <c r="K620" i="5"/>
  <c r="J620" i="5"/>
  <c r="K619" i="5"/>
  <c r="J619" i="5"/>
  <c r="K618" i="5"/>
  <c r="J618" i="5"/>
  <c r="K617" i="5"/>
  <c r="J617" i="5"/>
  <c r="K616" i="5"/>
  <c r="J616" i="5"/>
  <c r="K615" i="5"/>
  <c r="J615" i="5"/>
  <c r="K614" i="5"/>
  <c r="J614" i="5"/>
  <c r="K613" i="5"/>
  <c r="J613" i="5"/>
  <c r="K612" i="5"/>
  <c r="J612" i="5"/>
  <c r="K611" i="5"/>
  <c r="J611" i="5"/>
  <c r="K610" i="5"/>
  <c r="J610" i="5"/>
  <c r="K609" i="5"/>
  <c r="J609" i="5"/>
  <c r="K608" i="5"/>
  <c r="J608" i="5"/>
  <c r="K607" i="5"/>
  <c r="J607" i="5"/>
  <c r="K606" i="5"/>
  <c r="J606" i="5"/>
  <c r="K605" i="5"/>
  <c r="J605" i="5"/>
  <c r="K604" i="5"/>
  <c r="J604" i="5"/>
  <c r="K603" i="5"/>
  <c r="J603" i="5"/>
  <c r="K602" i="5"/>
  <c r="J602" i="5"/>
  <c r="K601" i="5"/>
  <c r="J601" i="5"/>
  <c r="K600" i="5"/>
  <c r="J600" i="5"/>
  <c r="K599" i="5"/>
  <c r="J599" i="5"/>
  <c r="K598" i="5"/>
  <c r="J598" i="5"/>
  <c r="K597" i="5"/>
  <c r="J597" i="5"/>
  <c r="K596" i="5"/>
  <c r="J596" i="5"/>
  <c r="K595" i="5"/>
  <c r="J595" i="5"/>
  <c r="K594" i="5"/>
  <c r="J594" i="5"/>
  <c r="K593" i="5"/>
  <c r="J593" i="5"/>
  <c r="K592" i="5"/>
  <c r="J592" i="5"/>
  <c r="K591" i="5"/>
  <c r="J591" i="5"/>
  <c r="K590" i="5"/>
  <c r="J590" i="5"/>
  <c r="K589" i="5"/>
  <c r="J589" i="5"/>
  <c r="K588" i="5"/>
  <c r="J588" i="5"/>
  <c r="K587" i="5"/>
  <c r="J587" i="5"/>
  <c r="K586" i="5"/>
  <c r="J586" i="5"/>
  <c r="K585" i="5"/>
  <c r="J585" i="5"/>
  <c r="K584" i="5"/>
  <c r="J584" i="5"/>
  <c r="K583" i="5"/>
  <c r="J583" i="5"/>
  <c r="K582" i="5"/>
  <c r="J582" i="5"/>
  <c r="K581" i="5"/>
  <c r="J581" i="5"/>
  <c r="K580" i="5"/>
  <c r="J580" i="5"/>
  <c r="K579" i="5"/>
  <c r="J579" i="5"/>
  <c r="K578" i="5"/>
  <c r="J578" i="5"/>
  <c r="K577" i="5"/>
  <c r="J577" i="5"/>
  <c r="K576" i="5"/>
  <c r="J576" i="5"/>
  <c r="K575" i="5"/>
  <c r="J575" i="5"/>
  <c r="K574" i="5"/>
  <c r="J574" i="5"/>
  <c r="K573" i="5"/>
  <c r="J573" i="5"/>
  <c r="K572" i="5"/>
  <c r="J572" i="5"/>
  <c r="K571" i="5"/>
  <c r="J571" i="5"/>
  <c r="K570" i="5"/>
  <c r="J570" i="5"/>
  <c r="K569" i="5"/>
  <c r="J569" i="5"/>
  <c r="K568" i="5"/>
  <c r="J568" i="5"/>
  <c r="K567" i="5"/>
  <c r="J567" i="5"/>
  <c r="K566" i="5"/>
  <c r="J566" i="5"/>
  <c r="K565" i="5"/>
  <c r="J565" i="5"/>
  <c r="K564" i="5"/>
  <c r="J564" i="5"/>
  <c r="K563" i="5"/>
  <c r="J563" i="5"/>
  <c r="K562" i="5"/>
  <c r="J562" i="5"/>
  <c r="K561" i="5"/>
  <c r="J561" i="5"/>
  <c r="K560" i="5"/>
  <c r="J560" i="5"/>
  <c r="K559" i="5"/>
  <c r="J559" i="5"/>
  <c r="K558" i="5"/>
  <c r="J558" i="5"/>
  <c r="K557" i="5"/>
  <c r="J557" i="5"/>
  <c r="K556" i="5"/>
  <c r="J556" i="5"/>
  <c r="K555" i="5"/>
  <c r="J555" i="5"/>
  <c r="K554" i="5"/>
  <c r="J554" i="5"/>
  <c r="K553" i="5"/>
  <c r="J553" i="5"/>
  <c r="K552" i="5"/>
  <c r="J552" i="5"/>
  <c r="K551" i="5"/>
  <c r="J551" i="5"/>
  <c r="K550" i="5"/>
  <c r="J550" i="5"/>
  <c r="K549" i="5"/>
  <c r="J549" i="5"/>
  <c r="K548" i="5"/>
  <c r="J548" i="5"/>
  <c r="K547" i="5"/>
  <c r="J547" i="5"/>
  <c r="K546" i="5"/>
  <c r="J546" i="5"/>
  <c r="K545" i="5"/>
  <c r="J545" i="5"/>
  <c r="K544" i="5"/>
  <c r="J544" i="5"/>
  <c r="K543" i="5"/>
  <c r="J543" i="5"/>
  <c r="K542" i="5"/>
  <c r="J542" i="5"/>
  <c r="K541" i="5"/>
  <c r="J541" i="5"/>
  <c r="K540" i="5"/>
  <c r="J540" i="5"/>
  <c r="K539" i="5"/>
  <c r="J539" i="5"/>
  <c r="K538" i="5"/>
  <c r="J538" i="5"/>
  <c r="K537" i="5"/>
  <c r="J537" i="5"/>
  <c r="K536" i="5"/>
  <c r="J536" i="5"/>
  <c r="K535" i="5"/>
  <c r="J535" i="5"/>
  <c r="K534" i="5"/>
  <c r="J534" i="5"/>
  <c r="K533" i="5"/>
  <c r="J533" i="5"/>
  <c r="K532" i="5"/>
  <c r="J532" i="5"/>
  <c r="K531" i="5"/>
  <c r="J531" i="5"/>
  <c r="K530" i="5"/>
  <c r="J530" i="5"/>
  <c r="K529" i="5"/>
  <c r="J529" i="5"/>
  <c r="K528" i="5"/>
  <c r="J528" i="5"/>
  <c r="K527" i="5"/>
  <c r="J527" i="5"/>
  <c r="K526" i="5"/>
  <c r="J526" i="5"/>
  <c r="K525" i="5"/>
  <c r="J525" i="5"/>
  <c r="K524" i="5"/>
  <c r="J524" i="5"/>
  <c r="K523" i="5"/>
  <c r="J523" i="5"/>
  <c r="K522" i="5"/>
  <c r="J522" i="5"/>
  <c r="K521" i="5"/>
  <c r="J521" i="5"/>
  <c r="K520" i="5"/>
  <c r="J520" i="5"/>
  <c r="K519" i="5"/>
  <c r="J519" i="5"/>
  <c r="K518" i="5"/>
  <c r="J518" i="5"/>
  <c r="K517" i="5"/>
  <c r="J517" i="5"/>
  <c r="K516" i="5"/>
  <c r="J516" i="5"/>
  <c r="K515" i="5"/>
  <c r="J515" i="5"/>
  <c r="K514" i="5"/>
  <c r="J514" i="5"/>
  <c r="K513" i="5"/>
  <c r="J513" i="5"/>
  <c r="K512" i="5"/>
  <c r="J512" i="5"/>
  <c r="K511" i="5"/>
  <c r="J511" i="5"/>
  <c r="K510" i="5"/>
  <c r="J510" i="5"/>
  <c r="K509" i="5"/>
  <c r="J509" i="5"/>
  <c r="K508" i="5"/>
  <c r="J508" i="5"/>
  <c r="K507" i="5"/>
  <c r="J507" i="5"/>
  <c r="K506" i="5"/>
  <c r="J506" i="5"/>
  <c r="K505" i="5"/>
  <c r="J505" i="5"/>
  <c r="K504" i="5"/>
  <c r="J504" i="5"/>
  <c r="K503" i="5"/>
  <c r="J503" i="5"/>
  <c r="K502" i="5"/>
  <c r="J502" i="5"/>
  <c r="K501" i="5"/>
  <c r="J501" i="5"/>
  <c r="K500" i="5"/>
  <c r="J500" i="5"/>
  <c r="K499" i="5"/>
  <c r="J499" i="5"/>
  <c r="K498" i="5"/>
  <c r="J498" i="5"/>
  <c r="K497" i="5"/>
  <c r="J497" i="5"/>
  <c r="K496" i="5"/>
  <c r="J496" i="5"/>
  <c r="K495" i="5"/>
  <c r="J495" i="5"/>
  <c r="K494" i="5"/>
  <c r="J494" i="5"/>
  <c r="K493" i="5"/>
  <c r="J493" i="5"/>
  <c r="K492" i="5"/>
  <c r="J492" i="5"/>
  <c r="K491" i="5"/>
  <c r="J491" i="5"/>
  <c r="K490" i="5"/>
  <c r="J490" i="5"/>
  <c r="K489" i="5"/>
  <c r="J489" i="5"/>
  <c r="K488" i="5"/>
  <c r="J488" i="5"/>
  <c r="K487" i="5"/>
  <c r="J487" i="5"/>
  <c r="K486" i="5"/>
  <c r="J486" i="5"/>
  <c r="K485" i="5"/>
  <c r="J485" i="5"/>
  <c r="K484" i="5"/>
  <c r="J484" i="5"/>
  <c r="K483" i="5"/>
  <c r="J483" i="5"/>
  <c r="K482" i="5"/>
  <c r="J482" i="5"/>
  <c r="K481" i="5"/>
  <c r="J481" i="5"/>
  <c r="K480" i="5"/>
  <c r="J480" i="5"/>
  <c r="K479" i="5"/>
  <c r="J479" i="5"/>
  <c r="K478" i="5"/>
  <c r="J478" i="5"/>
  <c r="K477" i="5"/>
  <c r="J477" i="5"/>
  <c r="K476" i="5"/>
  <c r="J476" i="5"/>
  <c r="K475" i="5"/>
  <c r="J475" i="5"/>
  <c r="K474" i="5"/>
  <c r="J474" i="5"/>
  <c r="K473" i="5"/>
  <c r="J473" i="5"/>
  <c r="K472" i="5"/>
  <c r="J472" i="5"/>
  <c r="K471" i="5"/>
  <c r="J471" i="5"/>
  <c r="K470" i="5"/>
  <c r="J470" i="5"/>
  <c r="K469" i="5"/>
  <c r="J469" i="5"/>
  <c r="K468" i="5"/>
  <c r="J468" i="5"/>
  <c r="K467" i="5"/>
  <c r="J467" i="5"/>
  <c r="K466" i="5"/>
  <c r="J466" i="5"/>
  <c r="K465" i="5"/>
  <c r="J465" i="5"/>
  <c r="K464" i="5"/>
  <c r="J464" i="5"/>
  <c r="K463" i="5"/>
  <c r="J463" i="5"/>
  <c r="K462" i="5"/>
  <c r="J462" i="5"/>
  <c r="K461" i="5"/>
  <c r="J461" i="5"/>
  <c r="K460" i="5"/>
  <c r="J460" i="5"/>
  <c r="K459" i="5"/>
  <c r="J459" i="5"/>
  <c r="K458" i="5"/>
  <c r="J458" i="5"/>
  <c r="K457" i="5"/>
  <c r="J457" i="5"/>
  <c r="K456" i="5"/>
  <c r="J456" i="5"/>
  <c r="K455" i="5"/>
  <c r="J455" i="5"/>
  <c r="K454" i="5"/>
  <c r="J454" i="5"/>
  <c r="K453" i="5"/>
  <c r="J453" i="5"/>
  <c r="K452" i="5"/>
  <c r="J452" i="5"/>
  <c r="K451" i="5"/>
  <c r="J451" i="5"/>
  <c r="K450" i="5"/>
  <c r="J450" i="5"/>
  <c r="K449" i="5"/>
  <c r="J449" i="5"/>
  <c r="K448" i="5"/>
  <c r="J448" i="5"/>
  <c r="K447" i="5"/>
  <c r="J447" i="5"/>
  <c r="K446" i="5"/>
  <c r="J446" i="5"/>
  <c r="K445" i="5"/>
  <c r="J445" i="5"/>
  <c r="K444" i="5"/>
  <c r="J444" i="5"/>
  <c r="K443" i="5"/>
  <c r="J443" i="5"/>
  <c r="K442" i="5"/>
  <c r="J442" i="5"/>
  <c r="K441" i="5"/>
  <c r="J441" i="5"/>
  <c r="K440" i="5"/>
  <c r="J440" i="5"/>
  <c r="K439" i="5"/>
  <c r="J439" i="5"/>
  <c r="K438" i="5"/>
  <c r="J438" i="5"/>
  <c r="K437" i="5"/>
  <c r="J437" i="5"/>
  <c r="K436" i="5"/>
  <c r="J436" i="5"/>
  <c r="K435" i="5"/>
  <c r="J435" i="5"/>
  <c r="K434" i="5"/>
  <c r="J434" i="5"/>
  <c r="K433" i="5"/>
  <c r="J433" i="5"/>
  <c r="K432" i="5"/>
  <c r="J432" i="5"/>
  <c r="K431" i="5"/>
  <c r="J431" i="5"/>
  <c r="K430" i="5"/>
  <c r="J430" i="5"/>
  <c r="K429" i="5"/>
  <c r="J429" i="5"/>
  <c r="K428" i="5"/>
  <c r="J428" i="5"/>
  <c r="K427" i="5"/>
  <c r="J427" i="5"/>
  <c r="K426" i="5"/>
  <c r="J426" i="5"/>
  <c r="K425" i="5"/>
  <c r="J425" i="5"/>
  <c r="K424" i="5"/>
  <c r="J424" i="5"/>
  <c r="K423" i="5"/>
  <c r="J423" i="5"/>
  <c r="K422" i="5"/>
  <c r="J422" i="5"/>
  <c r="K421" i="5"/>
  <c r="J421" i="5"/>
  <c r="K420" i="5"/>
  <c r="J420" i="5"/>
  <c r="K419" i="5"/>
  <c r="J419" i="5"/>
  <c r="K418" i="5"/>
  <c r="J418" i="5"/>
  <c r="K417" i="5"/>
  <c r="J417" i="5"/>
  <c r="K416" i="5"/>
  <c r="J416" i="5"/>
  <c r="K415" i="5"/>
  <c r="J415" i="5"/>
  <c r="K414" i="5"/>
  <c r="J414" i="5"/>
  <c r="K413" i="5"/>
  <c r="J413" i="5"/>
  <c r="K412" i="5"/>
  <c r="J412" i="5"/>
  <c r="K411" i="5"/>
  <c r="J411" i="5"/>
  <c r="K410" i="5"/>
  <c r="J410" i="5"/>
  <c r="K409" i="5"/>
  <c r="J409" i="5"/>
  <c r="K408" i="5"/>
  <c r="J408" i="5"/>
  <c r="K407" i="5"/>
  <c r="J407" i="5"/>
  <c r="K406" i="5"/>
  <c r="J406" i="5"/>
  <c r="K405" i="5"/>
  <c r="J405" i="5"/>
  <c r="K404" i="5"/>
  <c r="J404" i="5"/>
  <c r="K403" i="5"/>
  <c r="J403" i="5"/>
  <c r="K402" i="5"/>
  <c r="J402" i="5"/>
  <c r="K401" i="5"/>
  <c r="J401" i="5"/>
  <c r="K400" i="5"/>
  <c r="J400" i="5"/>
  <c r="K399" i="5"/>
  <c r="J399" i="5"/>
  <c r="K398" i="5"/>
  <c r="J398" i="5"/>
  <c r="K397" i="5"/>
  <c r="J397" i="5"/>
  <c r="K396" i="5"/>
  <c r="J396" i="5"/>
  <c r="K395" i="5"/>
  <c r="J395" i="5"/>
  <c r="K394" i="5"/>
  <c r="J394" i="5"/>
  <c r="K393" i="5"/>
  <c r="J393" i="5"/>
  <c r="K392" i="5"/>
  <c r="J392" i="5"/>
  <c r="K391" i="5"/>
  <c r="J391" i="5"/>
  <c r="K390" i="5"/>
  <c r="J390" i="5"/>
  <c r="K389" i="5"/>
  <c r="J389" i="5"/>
  <c r="K388" i="5"/>
  <c r="J388" i="5"/>
  <c r="K387" i="5"/>
  <c r="J387" i="5"/>
  <c r="K386" i="5"/>
  <c r="J386" i="5"/>
  <c r="K385" i="5"/>
  <c r="J385" i="5"/>
  <c r="K384" i="5"/>
  <c r="J384" i="5"/>
  <c r="K383" i="5"/>
  <c r="J383" i="5"/>
  <c r="K382" i="5"/>
  <c r="J382" i="5"/>
  <c r="K381" i="5"/>
  <c r="J381" i="5"/>
  <c r="K380" i="5"/>
  <c r="J380" i="5"/>
  <c r="K379" i="5"/>
  <c r="J379" i="5"/>
  <c r="K378" i="5"/>
  <c r="J378" i="5"/>
  <c r="K377" i="5"/>
  <c r="J377" i="5"/>
  <c r="K376" i="5"/>
  <c r="J376" i="5"/>
  <c r="K375" i="5"/>
  <c r="J375" i="5"/>
  <c r="K374" i="5"/>
  <c r="J374" i="5"/>
  <c r="K373" i="5"/>
  <c r="J373" i="5"/>
  <c r="K372" i="5"/>
  <c r="J372" i="5"/>
  <c r="K371" i="5"/>
  <c r="J371" i="5"/>
  <c r="K370" i="5"/>
  <c r="J370" i="5"/>
  <c r="K369" i="5"/>
  <c r="J369" i="5"/>
  <c r="K368" i="5"/>
  <c r="J368" i="5"/>
  <c r="K367" i="5"/>
  <c r="J367" i="5"/>
  <c r="K366" i="5"/>
  <c r="J366" i="5"/>
  <c r="K365" i="5"/>
  <c r="J365" i="5"/>
  <c r="K364" i="5"/>
  <c r="J364" i="5"/>
  <c r="K363" i="5"/>
  <c r="J363" i="5"/>
  <c r="K362" i="5"/>
  <c r="J362" i="5"/>
  <c r="K361" i="5"/>
  <c r="J361" i="5"/>
  <c r="K360" i="5"/>
  <c r="J360" i="5"/>
  <c r="K359" i="5"/>
  <c r="J359" i="5"/>
  <c r="K358" i="5"/>
  <c r="J358" i="5"/>
  <c r="K357" i="5"/>
  <c r="J357" i="5"/>
  <c r="K356" i="5"/>
  <c r="J356" i="5"/>
  <c r="K355" i="5"/>
  <c r="J355" i="5"/>
  <c r="K354" i="5"/>
  <c r="J354" i="5"/>
  <c r="K353" i="5"/>
  <c r="J353" i="5"/>
  <c r="K352" i="5"/>
  <c r="J352" i="5"/>
  <c r="K351" i="5"/>
  <c r="J351" i="5"/>
  <c r="K350" i="5"/>
  <c r="J350" i="5"/>
  <c r="K349" i="5"/>
  <c r="J349" i="5"/>
  <c r="K348" i="5"/>
  <c r="J348" i="5"/>
  <c r="K347" i="5"/>
  <c r="J347" i="5"/>
  <c r="K346" i="5"/>
  <c r="J346" i="5"/>
  <c r="K345" i="5"/>
  <c r="J345" i="5"/>
  <c r="K344" i="5"/>
  <c r="J344" i="5"/>
  <c r="K343" i="5"/>
  <c r="J343" i="5"/>
  <c r="K342" i="5"/>
  <c r="J342" i="5"/>
  <c r="K341" i="5"/>
  <c r="J341" i="5"/>
  <c r="K340" i="5"/>
  <c r="J340" i="5"/>
  <c r="K339" i="5"/>
  <c r="J339" i="5"/>
  <c r="K338" i="5"/>
  <c r="J338" i="5"/>
  <c r="K337" i="5"/>
  <c r="J337" i="5"/>
  <c r="K336" i="5"/>
  <c r="J336" i="5"/>
  <c r="K335" i="5"/>
  <c r="J335" i="5"/>
  <c r="K334" i="5"/>
  <c r="J334" i="5"/>
  <c r="K333" i="5"/>
  <c r="J333" i="5"/>
  <c r="K332" i="5"/>
  <c r="J332" i="5"/>
  <c r="K331" i="5"/>
  <c r="J331" i="5"/>
  <c r="K330" i="5"/>
  <c r="J330" i="5"/>
  <c r="K329" i="5"/>
  <c r="J329" i="5"/>
  <c r="K328" i="5"/>
  <c r="J328" i="5"/>
  <c r="K327" i="5"/>
  <c r="J327" i="5"/>
  <c r="K326" i="5"/>
  <c r="J326" i="5"/>
  <c r="K325" i="5"/>
  <c r="J325" i="5"/>
  <c r="K324" i="5"/>
  <c r="J324" i="5"/>
  <c r="K323" i="5"/>
  <c r="J323" i="5"/>
  <c r="K322" i="5"/>
  <c r="J322" i="5"/>
  <c r="K321" i="5"/>
  <c r="J321" i="5"/>
  <c r="K320" i="5"/>
  <c r="J320" i="5"/>
  <c r="K319" i="5"/>
  <c r="J319" i="5"/>
  <c r="K318" i="5"/>
  <c r="J318" i="5"/>
  <c r="K317" i="5"/>
  <c r="J317" i="5"/>
  <c r="K316" i="5"/>
  <c r="J316" i="5"/>
  <c r="K315" i="5"/>
  <c r="J315" i="5"/>
  <c r="K314" i="5"/>
  <c r="J314" i="5"/>
  <c r="K313" i="5"/>
  <c r="J313" i="5"/>
  <c r="K312" i="5"/>
  <c r="J312" i="5"/>
  <c r="K311" i="5"/>
  <c r="J311" i="5"/>
  <c r="K310" i="5"/>
  <c r="J310" i="5"/>
  <c r="K309" i="5"/>
  <c r="J309" i="5"/>
  <c r="K308" i="5"/>
  <c r="J308" i="5"/>
  <c r="K307" i="5"/>
  <c r="J307" i="5"/>
  <c r="K306" i="5"/>
  <c r="J306" i="5"/>
  <c r="K305" i="5"/>
  <c r="J305" i="5"/>
  <c r="K304" i="5"/>
  <c r="J304" i="5"/>
  <c r="K303" i="5"/>
  <c r="J303" i="5"/>
  <c r="K302" i="5"/>
  <c r="J302" i="5"/>
  <c r="K301" i="5"/>
  <c r="J301" i="5"/>
  <c r="K300" i="5"/>
  <c r="J300" i="5"/>
  <c r="K299" i="5"/>
  <c r="J299" i="5"/>
  <c r="K298" i="5"/>
  <c r="J298" i="5"/>
  <c r="K297" i="5"/>
  <c r="J297" i="5"/>
  <c r="K296" i="5"/>
  <c r="J296" i="5"/>
  <c r="K295" i="5"/>
  <c r="J295" i="5"/>
  <c r="K294" i="5"/>
  <c r="J294" i="5"/>
  <c r="K293" i="5"/>
  <c r="J293" i="5"/>
  <c r="K292" i="5"/>
  <c r="J292" i="5"/>
  <c r="K291" i="5"/>
  <c r="J291" i="5"/>
  <c r="K290" i="5"/>
  <c r="J290" i="5"/>
  <c r="K289" i="5"/>
  <c r="J289" i="5"/>
  <c r="K288" i="5"/>
  <c r="J288" i="5"/>
  <c r="K287" i="5"/>
  <c r="J287" i="5"/>
  <c r="K286" i="5"/>
  <c r="J286" i="5"/>
  <c r="K285" i="5"/>
  <c r="J285" i="5"/>
  <c r="K284" i="5"/>
  <c r="J284" i="5"/>
  <c r="K283" i="5"/>
  <c r="J283" i="5"/>
  <c r="K282" i="5"/>
  <c r="J282" i="5"/>
  <c r="K281" i="5"/>
  <c r="J281" i="5"/>
  <c r="K280" i="5"/>
  <c r="J280" i="5"/>
  <c r="K279" i="5"/>
  <c r="J279" i="5"/>
  <c r="K278" i="5"/>
  <c r="J278" i="5"/>
  <c r="K277" i="5"/>
  <c r="J277" i="5"/>
  <c r="K276" i="5"/>
  <c r="J276" i="5"/>
  <c r="K275" i="5"/>
  <c r="J275" i="5"/>
  <c r="K274" i="5"/>
  <c r="J274" i="5"/>
  <c r="K273" i="5"/>
  <c r="J273" i="5"/>
  <c r="K272" i="5"/>
  <c r="J272" i="5"/>
  <c r="K271" i="5"/>
  <c r="J271" i="5"/>
  <c r="K270" i="5"/>
  <c r="J270" i="5"/>
  <c r="K269" i="5"/>
  <c r="J269" i="5"/>
  <c r="K268" i="5"/>
  <c r="J268" i="5"/>
  <c r="K267" i="5"/>
  <c r="J267" i="5"/>
  <c r="K266" i="5"/>
  <c r="J266" i="5"/>
  <c r="K265" i="5"/>
  <c r="J265" i="5"/>
  <c r="K264" i="5"/>
  <c r="J264" i="5"/>
  <c r="K263" i="5"/>
  <c r="J263" i="5"/>
  <c r="K262" i="5"/>
  <c r="J262" i="5"/>
  <c r="K261" i="5"/>
  <c r="J261" i="5"/>
  <c r="K260" i="5"/>
  <c r="J260" i="5"/>
  <c r="K259" i="5"/>
  <c r="J259" i="5"/>
  <c r="K258" i="5"/>
  <c r="J258" i="5"/>
  <c r="K257" i="5"/>
  <c r="J257" i="5"/>
  <c r="K256" i="5"/>
  <c r="J256" i="5"/>
  <c r="K255" i="5"/>
  <c r="J255" i="5"/>
  <c r="K254" i="5"/>
  <c r="J254" i="5"/>
  <c r="K253" i="5"/>
  <c r="J253" i="5"/>
  <c r="K252" i="5"/>
  <c r="J252" i="5"/>
  <c r="K251" i="5"/>
  <c r="J251" i="5"/>
  <c r="K250" i="5"/>
  <c r="J250" i="5"/>
  <c r="K249" i="5"/>
  <c r="J249" i="5"/>
  <c r="K248" i="5"/>
  <c r="J248" i="5"/>
  <c r="K247" i="5"/>
  <c r="J247" i="5"/>
  <c r="K246" i="5"/>
  <c r="J246" i="5"/>
  <c r="K245" i="5"/>
  <c r="J245" i="5"/>
  <c r="K244" i="5"/>
  <c r="J244" i="5"/>
  <c r="K243" i="5"/>
  <c r="J243" i="5"/>
  <c r="K242" i="5"/>
  <c r="J242" i="5"/>
  <c r="K241" i="5"/>
  <c r="J241" i="5"/>
  <c r="K240" i="5"/>
  <c r="J240" i="5"/>
  <c r="K239" i="5"/>
  <c r="J239" i="5"/>
  <c r="K238" i="5"/>
  <c r="J238" i="5"/>
  <c r="K237" i="5"/>
  <c r="J237" i="5"/>
  <c r="K236" i="5"/>
  <c r="J236" i="5"/>
  <c r="K235" i="5"/>
  <c r="J235" i="5"/>
  <c r="K234" i="5"/>
  <c r="J234" i="5"/>
  <c r="K233" i="5"/>
  <c r="J233" i="5"/>
  <c r="K232" i="5"/>
  <c r="J232" i="5"/>
  <c r="K231" i="5"/>
  <c r="J231" i="5"/>
  <c r="K230" i="5"/>
  <c r="J230" i="5"/>
  <c r="K229" i="5"/>
  <c r="J229" i="5"/>
  <c r="K228" i="5"/>
  <c r="J228" i="5"/>
  <c r="K227" i="5"/>
  <c r="J227" i="5"/>
  <c r="K226" i="5"/>
  <c r="J226" i="5"/>
  <c r="K225" i="5"/>
  <c r="J225" i="5"/>
  <c r="K224" i="5"/>
  <c r="J224" i="5"/>
  <c r="K223" i="5"/>
  <c r="J223" i="5"/>
  <c r="K222" i="5"/>
  <c r="J222" i="5"/>
  <c r="K221" i="5"/>
  <c r="J221" i="5"/>
  <c r="K220" i="5"/>
  <c r="J220" i="5"/>
  <c r="K219" i="5"/>
  <c r="J219" i="5"/>
  <c r="K218" i="5"/>
  <c r="J218" i="5"/>
  <c r="K217" i="5"/>
  <c r="J217" i="5"/>
  <c r="K216" i="5"/>
  <c r="J216" i="5"/>
  <c r="K215" i="5"/>
  <c r="J215" i="5"/>
  <c r="K214" i="5"/>
  <c r="J214" i="5"/>
  <c r="K213" i="5"/>
  <c r="J213" i="5"/>
  <c r="K212" i="5"/>
  <c r="J212" i="5"/>
  <c r="K211" i="5"/>
  <c r="J211" i="5"/>
  <c r="K210" i="5"/>
  <c r="J210" i="5"/>
  <c r="K209" i="5"/>
  <c r="J209" i="5"/>
  <c r="K208" i="5"/>
  <c r="J208" i="5"/>
  <c r="K207" i="5"/>
  <c r="J207" i="5"/>
  <c r="K206" i="5"/>
  <c r="J206" i="5"/>
  <c r="K205" i="5"/>
  <c r="J205" i="5"/>
  <c r="K204" i="5"/>
  <c r="J204" i="5"/>
  <c r="K203" i="5"/>
  <c r="J203" i="5"/>
  <c r="K202" i="5"/>
  <c r="J202" i="5"/>
  <c r="K201" i="5"/>
  <c r="J201" i="5"/>
  <c r="K200" i="5"/>
  <c r="J200" i="5"/>
  <c r="K199" i="5"/>
  <c r="J199" i="5"/>
  <c r="K198" i="5"/>
  <c r="J198" i="5"/>
  <c r="K197" i="5"/>
  <c r="J197" i="5"/>
  <c r="K196" i="5"/>
  <c r="J196" i="5"/>
  <c r="K195" i="5"/>
  <c r="J195" i="5"/>
  <c r="K194" i="5"/>
  <c r="J194" i="5"/>
  <c r="K193" i="5"/>
  <c r="J193" i="5"/>
  <c r="K192" i="5"/>
  <c r="J192" i="5"/>
  <c r="K191" i="5"/>
  <c r="J191" i="5"/>
  <c r="K190" i="5"/>
  <c r="J190" i="5"/>
  <c r="K189" i="5"/>
  <c r="J189" i="5"/>
  <c r="K188" i="5"/>
  <c r="J188" i="5"/>
  <c r="K187" i="5"/>
  <c r="J187" i="5"/>
  <c r="K186" i="5"/>
  <c r="J186" i="5"/>
  <c r="K185" i="5"/>
  <c r="J185" i="5"/>
  <c r="K184" i="5"/>
  <c r="J184" i="5"/>
  <c r="K183" i="5"/>
  <c r="J183" i="5"/>
  <c r="K182" i="5"/>
  <c r="J182" i="5"/>
  <c r="K181" i="5"/>
  <c r="J181" i="5"/>
  <c r="K180" i="5"/>
  <c r="J180" i="5"/>
  <c r="K179" i="5"/>
  <c r="J179" i="5"/>
  <c r="K178" i="5"/>
  <c r="J178" i="5"/>
  <c r="K177" i="5"/>
  <c r="J177" i="5"/>
  <c r="K176" i="5"/>
  <c r="J176" i="5"/>
  <c r="K175" i="5"/>
  <c r="J175" i="5"/>
  <c r="K174" i="5"/>
  <c r="J174" i="5"/>
  <c r="K173" i="5"/>
  <c r="J173" i="5"/>
  <c r="K172" i="5"/>
  <c r="J172" i="5"/>
  <c r="K171" i="5"/>
  <c r="J171" i="5"/>
  <c r="K170" i="5"/>
  <c r="J170" i="5"/>
  <c r="K169" i="5"/>
  <c r="J169" i="5"/>
  <c r="K168" i="5"/>
  <c r="J168" i="5"/>
  <c r="K167" i="5"/>
  <c r="J167" i="5"/>
  <c r="K166" i="5"/>
  <c r="J166" i="5"/>
  <c r="K165" i="5"/>
  <c r="J165" i="5"/>
  <c r="K164" i="5"/>
  <c r="J164" i="5"/>
  <c r="K163" i="5"/>
  <c r="J163" i="5"/>
  <c r="K162" i="5"/>
  <c r="J162" i="5"/>
  <c r="K161" i="5"/>
  <c r="J161" i="5"/>
  <c r="K160" i="5"/>
  <c r="J160" i="5"/>
  <c r="K159" i="5"/>
  <c r="J159" i="5"/>
  <c r="K158" i="5"/>
  <c r="J158" i="5"/>
  <c r="K157" i="5"/>
  <c r="J157" i="5"/>
  <c r="K156" i="5"/>
  <c r="J156" i="5"/>
  <c r="K155" i="5"/>
  <c r="J155" i="5"/>
  <c r="K154" i="5"/>
  <c r="J154" i="5"/>
  <c r="K153" i="5"/>
  <c r="J153" i="5"/>
  <c r="K152" i="5"/>
  <c r="J152" i="5"/>
  <c r="K151" i="5"/>
  <c r="J151" i="5"/>
  <c r="K150" i="5"/>
  <c r="J150" i="5"/>
  <c r="K149" i="5"/>
  <c r="J149" i="5"/>
  <c r="K148" i="5"/>
  <c r="J148" i="5"/>
  <c r="K147" i="5"/>
  <c r="J147" i="5"/>
  <c r="K146" i="5"/>
  <c r="J146" i="5"/>
  <c r="K145" i="5"/>
  <c r="J145" i="5"/>
  <c r="K144" i="5"/>
  <c r="J144" i="5"/>
  <c r="K143" i="5"/>
  <c r="J143" i="5"/>
  <c r="K142" i="5"/>
  <c r="J142" i="5"/>
  <c r="K141" i="5"/>
  <c r="J141" i="5"/>
  <c r="K140" i="5"/>
  <c r="J140" i="5"/>
  <c r="K139" i="5"/>
  <c r="J139" i="5"/>
  <c r="K138" i="5"/>
  <c r="J138" i="5"/>
  <c r="K137" i="5"/>
  <c r="J137" i="5"/>
  <c r="K136" i="5"/>
  <c r="J136" i="5"/>
  <c r="K135" i="5"/>
  <c r="J135" i="5"/>
  <c r="K134" i="5"/>
  <c r="J134" i="5"/>
  <c r="K133" i="5"/>
  <c r="J133" i="5"/>
  <c r="K132" i="5"/>
  <c r="J132" i="5"/>
  <c r="K131" i="5"/>
  <c r="J131" i="5"/>
  <c r="K130" i="5"/>
  <c r="J130" i="5"/>
  <c r="K129" i="5"/>
  <c r="J129" i="5"/>
  <c r="K128" i="5"/>
  <c r="J128" i="5"/>
  <c r="K127" i="5"/>
  <c r="J127" i="5"/>
  <c r="K126" i="5"/>
  <c r="J126" i="5"/>
  <c r="K125" i="5"/>
  <c r="J125" i="5"/>
  <c r="K124" i="5"/>
  <c r="J124" i="5"/>
  <c r="K123" i="5"/>
  <c r="J123" i="5"/>
  <c r="K122" i="5"/>
  <c r="J122" i="5"/>
  <c r="K121" i="5"/>
  <c r="J121" i="5"/>
  <c r="K120" i="5"/>
  <c r="J120" i="5"/>
  <c r="K119" i="5"/>
  <c r="J119" i="5"/>
  <c r="K118" i="5"/>
  <c r="J118" i="5"/>
  <c r="K117" i="5"/>
  <c r="J117" i="5"/>
  <c r="K116" i="5"/>
  <c r="J116" i="5"/>
  <c r="K115" i="5"/>
  <c r="J115" i="5"/>
  <c r="K114" i="5"/>
  <c r="J114" i="5"/>
  <c r="K113" i="5"/>
  <c r="J113" i="5"/>
  <c r="K112" i="5"/>
  <c r="J112" i="5"/>
  <c r="K111" i="5"/>
  <c r="J111" i="5"/>
  <c r="K110" i="5"/>
  <c r="J110" i="5"/>
  <c r="K109" i="5"/>
  <c r="J109" i="5"/>
  <c r="K108" i="5"/>
  <c r="J108" i="5"/>
  <c r="K107" i="5"/>
  <c r="J107" i="5"/>
  <c r="K106" i="5"/>
  <c r="J106" i="5"/>
  <c r="K105" i="5"/>
  <c r="J105" i="5"/>
  <c r="K104" i="5"/>
  <c r="J104" i="5"/>
  <c r="K103" i="5"/>
  <c r="J103" i="5"/>
  <c r="K102" i="5"/>
  <c r="J102" i="5"/>
  <c r="K101" i="5"/>
  <c r="J101" i="5"/>
  <c r="K100" i="5"/>
  <c r="J100" i="5"/>
  <c r="K99" i="5"/>
  <c r="J99" i="5"/>
  <c r="K98" i="5"/>
  <c r="J98" i="5"/>
  <c r="K97" i="5"/>
  <c r="J97" i="5"/>
  <c r="K96" i="5"/>
  <c r="J96" i="5"/>
  <c r="K95" i="5"/>
  <c r="J95" i="5"/>
  <c r="K94" i="5"/>
  <c r="J94" i="5"/>
  <c r="K93" i="5"/>
  <c r="J93" i="5"/>
  <c r="K92" i="5"/>
  <c r="J92" i="5"/>
  <c r="K91" i="5"/>
  <c r="J91" i="5"/>
  <c r="K90" i="5"/>
  <c r="J90" i="5"/>
  <c r="K89" i="5"/>
  <c r="J89" i="5"/>
  <c r="K88" i="5"/>
  <c r="J88" i="5"/>
  <c r="K87" i="5"/>
  <c r="J87" i="5"/>
  <c r="K86" i="5"/>
  <c r="J86" i="5"/>
  <c r="K85" i="5"/>
  <c r="J85" i="5"/>
  <c r="K84" i="5"/>
  <c r="J84" i="5"/>
  <c r="K83" i="5"/>
  <c r="J83" i="5"/>
  <c r="K82" i="5"/>
  <c r="J82" i="5"/>
  <c r="K81" i="5"/>
  <c r="J81" i="5"/>
  <c r="K80" i="5"/>
  <c r="J80" i="5"/>
  <c r="K79" i="5"/>
  <c r="J79" i="5"/>
  <c r="K78" i="5"/>
  <c r="J78" i="5"/>
  <c r="K77" i="5"/>
  <c r="J77" i="5"/>
  <c r="K76" i="5"/>
  <c r="J76" i="5"/>
  <c r="K75" i="5"/>
  <c r="J75" i="5"/>
  <c r="K74" i="5"/>
  <c r="J74" i="5"/>
  <c r="K73" i="5"/>
  <c r="J73" i="5"/>
  <c r="K72" i="5"/>
  <c r="J72" i="5"/>
  <c r="K71" i="5"/>
  <c r="J71" i="5"/>
  <c r="K70" i="5"/>
  <c r="J70" i="5"/>
  <c r="K69" i="5"/>
  <c r="J69" i="5"/>
  <c r="K68" i="5"/>
  <c r="J68" i="5"/>
  <c r="K67" i="5"/>
  <c r="J67" i="5"/>
  <c r="K66" i="5"/>
  <c r="J66" i="5"/>
  <c r="K65" i="5"/>
  <c r="J65" i="5"/>
  <c r="K64" i="5"/>
  <c r="J64" i="5"/>
  <c r="K63" i="5"/>
  <c r="J63" i="5"/>
  <c r="K62" i="5"/>
  <c r="J62" i="5"/>
  <c r="K61" i="5"/>
  <c r="J61" i="5"/>
  <c r="K60" i="5"/>
  <c r="J60" i="5"/>
  <c r="K59" i="5"/>
  <c r="J59" i="5"/>
  <c r="K58" i="5"/>
  <c r="J58" i="5"/>
  <c r="K57" i="5"/>
  <c r="J57" i="5"/>
  <c r="K56" i="5"/>
  <c r="J56" i="5"/>
  <c r="K55" i="5"/>
  <c r="J55" i="5"/>
  <c r="K54" i="5"/>
  <c r="J54" i="5"/>
  <c r="K53" i="5"/>
  <c r="J53" i="5"/>
  <c r="K52" i="5"/>
  <c r="J52" i="5"/>
  <c r="K51" i="5"/>
  <c r="J51" i="5"/>
  <c r="K50" i="5"/>
  <c r="J50" i="5"/>
  <c r="K49" i="5"/>
  <c r="J49" i="5"/>
  <c r="K48" i="5"/>
  <c r="J48" i="5"/>
  <c r="K47" i="5"/>
  <c r="J47" i="5"/>
  <c r="K46" i="5"/>
  <c r="J46" i="5"/>
  <c r="K45" i="5"/>
  <c r="J45" i="5"/>
  <c r="K44" i="5"/>
  <c r="J44" i="5"/>
  <c r="K43" i="5"/>
  <c r="J43" i="5"/>
  <c r="K42" i="5"/>
  <c r="J42" i="5"/>
  <c r="K41" i="5"/>
  <c r="J41" i="5"/>
  <c r="K40" i="5"/>
  <c r="J40" i="5"/>
  <c r="K39" i="5"/>
  <c r="J39" i="5"/>
  <c r="K38" i="5"/>
  <c r="J38" i="5"/>
  <c r="K37" i="5"/>
  <c r="J37" i="5"/>
  <c r="K36" i="5"/>
  <c r="J36" i="5"/>
  <c r="K35" i="5"/>
  <c r="J35" i="5"/>
  <c r="K34" i="5"/>
  <c r="J34" i="5"/>
  <c r="K33" i="5"/>
  <c r="J33" i="5"/>
  <c r="K32" i="5"/>
  <c r="J32" i="5"/>
  <c r="K31" i="5"/>
  <c r="J31" i="5"/>
  <c r="K30" i="5"/>
  <c r="J30" i="5"/>
  <c r="K29" i="5"/>
  <c r="J29" i="5"/>
  <c r="K28" i="5"/>
  <c r="J28" i="5"/>
  <c r="K27" i="5"/>
  <c r="J27" i="5"/>
  <c r="K26" i="5"/>
  <c r="J26" i="5"/>
  <c r="K25" i="5"/>
  <c r="J25" i="5"/>
  <c r="K24" i="5"/>
  <c r="J24" i="5"/>
  <c r="K23" i="5"/>
  <c r="J23" i="5"/>
  <c r="K22" i="5"/>
  <c r="J22" i="5"/>
  <c r="K21" i="5"/>
  <c r="J21" i="5"/>
  <c r="K20" i="5"/>
  <c r="J20" i="5"/>
  <c r="K19" i="5"/>
  <c r="J19" i="5"/>
  <c r="K18" i="5"/>
  <c r="J18" i="5"/>
  <c r="K17" i="5"/>
  <c r="J17" i="5"/>
  <c r="K16" i="5"/>
  <c r="J16" i="5"/>
  <c r="K15" i="5"/>
  <c r="J15" i="5"/>
  <c r="K14" i="5"/>
  <c r="J14" i="5"/>
  <c r="K13" i="5"/>
  <c r="J13" i="5"/>
  <c r="K12" i="5"/>
  <c r="J12" i="5"/>
  <c r="K11" i="5"/>
  <c r="J11" i="5"/>
  <c r="K10" i="5"/>
  <c r="J10" i="5"/>
  <c r="K9" i="5"/>
  <c r="J9" i="5"/>
  <c r="K8" i="5"/>
  <c r="J8" i="5"/>
  <c r="K7" i="5"/>
  <c r="J7" i="5"/>
  <c r="K6" i="5"/>
  <c r="J6" i="5"/>
  <c r="K5" i="5"/>
  <c r="J5" i="5"/>
  <c r="K4" i="5"/>
  <c r="J4" i="5"/>
  <c r="K3" i="5"/>
  <c r="J3" i="5"/>
  <c r="H3" i="7" l="1"/>
  <c r="G4" i="5"/>
  <c r="L4" i="5" s="1"/>
  <c r="G7" i="5"/>
  <c r="L7" i="5" s="1"/>
  <c r="G10" i="5"/>
  <c r="L10" i="5" s="1"/>
  <c r="G13" i="5"/>
  <c r="L13" i="5" s="1"/>
  <c r="G16" i="5"/>
  <c r="L16" i="5" s="1"/>
  <c r="G19" i="5"/>
  <c r="L19" i="5" s="1"/>
  <c r="G22" i="5"/>
  <c r="L22" i="5" s="1"/>
  <c r="G25" i="5"/>
  <c r="L25" i="5" s="1"/>
  <c r="G28" i="5"/>
  <c r="L28" i="5" s="1"/>
  <c r="G31" i="5"/>
  <c r="L31" i="5" s="1"/>
  <c r="G34" i="5"/>
  <c r="L34" i="5" s="1"/>
  <c r="G37" i="5"/>
  <c r="L37" i="5" s="1"/>
  <c r="G40" i="5"/>
  <c r="L40" i="5" s="1"/>
  <c r="G43" i="5"/>
  <c r="L43" i="5" s="1"/>
  <c r="G46" i="5"/>
  <c r="L46" i="5" s="1"/>
  <c r="G49" i="5"/>
  <c r="L49" i="5" s="1"/>
  <c r="G52" i="5"/>
  <c r="L52" i="5" s="1"/>
  <c r="G55" i="5"/>
  <c r="L55" i="5" s="1"/>
  <c r="G58" i="5"/>
  <c r="L58" i="5" s="1"/>
  <c r="G61" i="5"/>
  <c r="L61" i="5" s="1"/>
  <c r="G64" i="5"/>
  <c r="L64" i="5" s="1"/>
  <c r="G67" i="5"/>
  <c r="L67" i="5" s="1"/>
  <c r="G70" i="5"/>
  <c r="L70" i="5" s="1"/>
  <c r="G73" i="5"/>
  <c r="L73" i="5" s="1"/>
  <c r="G76" i="5"/>
  <c r="L76" i="5" s="1"/>
  <c r="G79" i="5"/>
  <c r="L79" i="5" s="1"/>
  <c r="G82" i="5"/>
  <c r="L82" i="5" s="1"/>
  <c r="G85" i="5"/>
  <c r="L85" i="5" s="1"/>
  <c r="G88" i="5"/>
  <c r="L88" i="5" s="1"/>
  <c r="G91" i="5"/>
  <c r="L91" i="5" s="1"/>
  <c r="G94" i="5"/>
  <c r="L94" i="5" s="1"/>
  <c r="G97" i="5"/>
  <c r="L97" i="5" s="1"/>
  <c r="G100" i="5"/>
  <c r="L100" i="5" s="1"/>
  <c r="G103" i="5"/>
  <c r="L103" i="5" s="1"/>
  <c r="G106" i="5"/>
  <c r="L106" i="5" s="1"/>
  <c r="G109" i="5"/>
  <c r="L109" i="5" s="1"/>
  <c r="G112" i="5"/>
  <c r="L112" i="5" s="1"/>
  <c r="G115" i="5"/>
  <c r="L115" i="5" s="1"/>
  <c r="G118" i="5"/>
  <c r="L118" i="5" s="1"/>
  <c r="G121" i="5"/>
  <c r="L121" i="5" s="1"/>
  <c r="G124" i="5"/>
  <c r="L124" i="5" s="1"/>
  <c r="G127" i="5"/>
  <c r="L127" i="5" s="1"/>
  <c r="G130" i="5"/>
  <c r="L130" i="5" s="1"/>
  <c r="G133" i="5"/>
  <c r="L133" i="5" s="1"/>
  <c r="G136" i="5"/>
  <c r="L136" i="5" s="1"/>
  <c r="G139" i="5"/>
  <c r="L139" i="5" s="1"/>
  <c r="G142" i="5"/>
  <c r="L142" i="5" s="1"/>
  <c r="G145" i="5"/>
  <c r="L145" i="5" s="1"/>
  <c r="G148" i="5"/>
  <c r="L148" i="5" s="1"/>
  <c r="G151" i="5"/>
  <c r="L151" i="5" s="1"/>
  <c r="G154" i="5"/>
  <c r="L154" i="5" s="1"/>
  <c r="G157" i="5"/>
  <c r="L157" i="5" s="1"/>
  <c r="G160" i="5"/>
  <c r="L160" i="5" s="1"/>
  <c r="G163" i="5"/>
  <c r="L163" i="5" s="1"/>
  <c r="G166" i="5"/>
  <c r="L166" i="5" s="1"/>
  <c r="G169" i="5"/>
  <c r="L169" i="5" s="1"/>
  <c r="G172" i="5"/>
  <c r="L172" i="5" s="1"/>
  <c r="G175" i="5"/>
  <c r="L175" i="5" s="1"/>
  <c r="G178" i="5"/>
  <c r="L178" i="5" s="1"/>
  <c r="G181" i="5"/>
  <c r="L181" i="5" s="1"/>
  <c r="G184" i="5"/>
  <c r="L184" i="5" s="1"/>
  <c r="G187" i="5"/>
  <c r="L187" i="5" s="1"/>
  <c r="G190" i="5"/>
  <c r="L190" i="5" s="1"/>
  <c r="G193" i="5"/>
  <c r="L193" i="5" s="1"/>
  <c r="G196" i="5"/>
  <c r="L196" i="5" s="1"/>
  <c r="G199" i="5"/>
  <c r="L199" i="5" s="1"/>
  <c r="G202" i="5"/>
  <c r="L202" i="5" s="1"/>
  <c r="G205" i="5"/>
  <c r="L205" i="5" s="1"/>
  <c r="G208" i="5"/>
  <c r="L208" i="5" s="1"/>
  <c r="G211" i="5"/>
  <c r="L211" i="5" s="1"/>
  <c r="G214" i="5"/>
  <c r="L214" i="5" s="1"/>
  <c r="G217" i="5"/>
  <c r="L217" i="5" s="1"/>
  <c r="G220" i="5"/>
  <c r="L220" i="5" s="1"/>
  <c r="G223" i="5"/>
  <c r="L223" i="5" s="1"/>
  <c r="G226" i="5"/>
  <c r="L226" i="5" s="1"/>
  <c r="G229" i="5"/>
  <c r="L229" i="5" s="1"/>
  <c r="G232" i="5"/>
  <c r="L232" i="5" s="1"/>
  <c r="G235" i="5"/>
  <c r="L235" i="5" s="1"/>
  <c r="G238" i="5"/>
  <c r="L238" i="5" s="1"/>
  <c r="G241" i="5"/>
  <c r="L241" i="5" s="1"/>
  <c r="G244" i="5"/>
  <c r="L244" i="5" s="1"/>
  <c r="G247" i="5"/>
  <c r="L247" i="5" s="1"/>
  <c r="G250" i="5"/>
  <c r="L250" i="5" s="1"/>
  <c r="G253" i="5"/>
  <c r="L253" i="5" s="1"/>
  <c r="G256" i="5"/>
  <c r="L256" i="5" s="1"/>
  <c r="G259" i="5"/>
  <c r="L259" i="5" s="1"/>
  <c r="G262" i="5"/>
  <c r="L262" i="5" s="1"/>
  <c r="G265" i="5"/>
  <c r="L265" i="5" s="1"/>
  <c r="G268" i="5"/>
  <c r="L268" i="5" s="1"/>
  <c r="G271" i="5"/>
  <c r="L271" i="5" s="1"/>
  <c r="G274" i="5"/>
  <c r="L274" i="5" s="1"/>
  <c r="G277" i="5"/>
  <c r="L277" i="5" s="1"/>
  <c r="G280" i="5"/>
  <c r="L280" i="5" s="1"/>
  <c r="G283" i="5"/>
  <c r="L283" i="5" s="1"/>
  <c r="G286" i="5"/>
  <c r="L286" i="5" s="1"/>
  <c r="G289" i="5"/>
  <c r="L289" i="5" s="1"/>
  <c r="G292" i="5"/>
  <c r="L292" i="5" s="1"/>
  <c r="G295" i="5"/>
  <c r="L295" i="5" s="1"/>
  <c r="G298" i="5"/>
  <c r="L298" i="5" s="1"/>
  <c r="G301" i="5"/>
  <c r="L301" i="5" s="1"/>
  <c r="G304" i="5"/>
  <c r="L304" i="5" s="1"/>
  <c r="G307" i="5"/>
  <c r="L307" i="5" s="1"/>
  <c r="G310" i="5"/>
  <c r="L310" i="5" s="1"/>
  <c r="G313" i="5"/>
  <c r="L313" i="5" s="1"/>
  <c r="G316" i="5"/>
  <c r="L316" i="5" s="1"/>
  <c r="G319" i="5"/>
  <c r="L319" i="5" s="1"/>
  <c r="G322" i="5"/>
  <c r="L322" i="5" s="1"/>
  <c r="G325" i="5"/>
  <c r="L325" i="5" s="1"/>
  <c r="G328" i="5"/>
  <c r="L328" i="5" s="1"/>
  <c r="G331" i="5"/>
  <c r="L331" i="5" s="1"/>
  <c r="G334" i="5"/>
  <c r="L334" i="5" s="1"/>
  <c r="G337" i="5"/>
  <c r="L337" i="5" s="1"/>
  <c r="G340" i="5"/>
  <c r="L340" i="5" s="1"/>
  <c r="G343" i="5"/>
  <c r="L343" i="5" s="1"/>
  <c r="G346" i="5"/>
  <c r="L346" i="5" s="1"/>
  <c r="G349" i="5"/>
  <c r="L349" i="5" s="1"/>
  <c r="G352" i="5"/>
  <c r="L352" i="5" s="1"/>
  <c r="G355" i="5"/>
  <c r="L355" i="5" s="1"/>
  <c r="G358" i="5"/>
  <c r="L358" i="5" s="1"/>
  <c r="G361" i="5"/>
  <c r="L361" i="5" s="1"/>
  <c r="G364" i="5"/>
  <c r="L364" i="5" s="1"/>
  <c r="G367" i="5"/>
  <c r="L367" i="5" s="1"/>
  <c r="G370" i="5"/>
  <c r="L370" i="5" s="1"/>
  <c r="G373" i="5"/>
  <c r="L373" i="5" s="1"/>
  <c r="G376" i="5"/>
  <c r="L376" i="5" s="1"/>
  <c r="G379" i="5"/>
  <c r="L379" i="5" s="1"/>
  <c r="G382" i="5"/>
  <c r="L382" i="5" s="1"/>
  <c r="G385" i="5"/>
  <c r="L385" i="5" s="1"/>
  <c r="G388" i="5"/>
  <c r="L388" i="5" s="1"/>
  <c r="G391" i="5"/>
  <c r="L391" i="5" s="1"/>
  <c r="G394" i="5"/>
  <c r="L394" i="5" s="1"/>
  <c r="G397" i="5"/>
  <c r="L397" i="5" s="1"/>
  <c r="G400" i="5"/>
  <c r="L400" i="5" s="1"/>
  <c r="G403" i="5"/>
  <c r="L403" i="5" s="1"/>
  <c r="G406" i="5"/>
  <c r="L406" i="5" s="1"/>
  <c r="G409" i="5"/>
  <c r="L409" i="5" s="1"/>
  <c r="G412" i="5"/>
  <c r="L412" i="5" s="1"/>
  <c r="G415" i="5"/>
  <c r="L415" i="5" s="1"/>
  <c r="G418" i="5"/>
  <c r="L418" i="5" s="1"/>
  <c r="G421" i="5"/>
  <c r="L421" i="5" s="1"/>
  <c r="G424" i="5"/>
  <c r="L424" i="5" s="1"/>
  <c r="G427" i="5"/>
  <c r="L427" i="5" s="1"/>
  <c r="G430" i="5"/>
  <c r="L430" i="5" s="1"/>
  <c r="G433" i="5"/>
  <c r="L433" i="5" s="1"/>
  <c r="G436" i="5"/>
  <c r="L436" i="5" s="1"/>
  <c r="G439" i="5"/>
  <c r="L439" i="5" s="1"/>
  <c r="G442" i="5"/>
  <c r="L442" i="5" s="1"/>
  <c r="G445" i="5"/>
  <c r="L445" i="5" s="1"/>
  <c r="G448" i="5"/>
  <c r="L448" i="5" s="1"/>
  <c r="G451" i="5"/>
  <c r="L451" i="5" s="1"/>
  <c r="G454" i="5"/>
  <c r="L454" i="5" s="1"/>
  <c r="G457" i="5"/>
  <c r="L457" i="5" s="1"/>
  <c r="G460" i="5"/>
  <c r="L460" i="5" s="1"/>
  <c r="G463" i="5"/>
  <c r="L463" i="5" s="1"/>
  <c r="G466" i="5"/>
  <c r="L466" i="5" s="1"/>
  <c r="G469" i="5"/>
  <c r="L469" i="5" s="1"/>
  <c r="G472" i="5"/>
  <c r="L472" i="5" s="1"/>
  <c r="G475" i="5"/>
  <c r="L475" i="5" s="1"/>
  <c r="G478" i="5"/>
  <c r="L478" i="5" s="1"/>
  <c r="G481" i="5"/>
  <c r="L481" i="5" s="1"/>
  <c r="G484" i="5"/>
  <c r="L484" i="5" s="1"/>
  <c r="G487" i="5"/>
  <c r="L487" i="5" s="1"/>
  <c r="G490" i="5"/>
  <c r="L490" i="5" s="1"/>
  <c r="G493" i="5"/>
  <c r="L493" i="5" s="1"/>
  <c r="G496" i="5"/>
  <c r="L496" i="5" s="1"/>
  <c r="G499" i="5"/>
  <c r="L499" i="5" s="1"/>
  <c r="G502" i="5"/>
  <c r="L502" i="5" s="1"/>
  <c r="G505" i="5"/>
  <c r="L505" i="5" s="1"/>
  <c r="G508" i="5"/>
  <c r="L508" i="5" s="1"/>
  <c r="G511" i="5"/>
  <c r="L511" i="5" s="1"/>
  <c r="G514" i="5"/>
  <c r="L514" i="5" s="1"/>
  <c r="G517" i="5"/>
  <c r="L517" i="5" s="1"/>
  <c r="G520" i="5"/>
  <c r="L520" i="5" s="1"/>
  <c r="G523" i="5"/>
  <c r="L523" i="5" s="1"/>
  <c r="G526" i="5"/>
  <c r="L526" i="5" s="1"/>
  <c r="G529" i="5"/>
  <c r="L529" i="5" s="1"/>
  <c r="G532" i="5"/>
  <c r="L532" i="5" s="1"/>
  <c r="G535" i="5"/>
  <c r="L535" i="5" s="1"/>
  <c r="G538" i="5"/>
  <c r="L538" i="5" s="1"/>
  <c r="G541" i="5"/>
  <c r="L541" i="5" s="1"/>
  <c r="G544" i="5"/>
  <c r="L544" i="5" s="1"/>
  <c r="G547" i="5"/>
  <c r="L547" i="5" s="1"/>
  <c r="G550" i="5"/>
  <c r="L550" i="5" s="1"/>
  <c r="G553" i="5"/>
  <c r="L553" i="5" s="1"/>
  <c r="G556" i="5"/>
  <c r="L556" i="5" s="1"/>
  <c r="G559" i="5"/>
  <c r="L559" i="5" s="1"/>
  <c r="G562" i="5"/>
  <c r="L562" i="5" s="1"/>
  <c r="G565" i="5"/>
  <c r="L565" i="5" s="1"/>
  <c r="G568" i="5"/>
  <c r="L568" i="5" s="1"/>
  <c r="G571" i="5"/>
  <c r="L571" i="5" s="1"/>
  <c r="G574" i="5"/>
  <c r="L574" i="5" s="1"/>
  <c r="G577" i="5"/>
  <c r="L577" i="5" s="1"/>
  <c r="G580" i="5"/>
  <c r="L580" i="5" s="1"/>
  <c r="G583" i="5"/>
  <c r="L583" i="5" s="1"/>
  <c r="G586" i="5"/>
  <c r="L586" i="5" s="1"/>
  <c r="G589" i="5"/>
  <c r="L589" i="5" s="1"/>
  <c r="G592" i="5"/>
  <c r="L592" i="5" s="1"/>
  <c r="G595" i="5"/>
  <c r="L595" i="5" s="1"/>
  <c r="G598" i="5"/>
  <c r="L598" i="5" s="1"/>
  <c r="G601" i="5"/>
  <c r="L601" i="5" s="1"/>
  <c r="G604" i="5"/>
  <c r="L604" i="5" s="1"/>
  <c r="G607" i="5"/>
  <c r="L607" i="5" s="1"/>
  <c r="G610" i="5"/>
  <c r="L610" i="5" s="1"/>
  <c r="G613" i="5"/>
  <c r="L613" i="5" s="1"/>
  <c r="G616" i="5"/>
  <c r="L616" i="5" s="1"/>
  <c r="G619" i="5"/>
  <c r="L619" i="5" s="1"/>
  <c r="G622" i="5"/>
  <c r="L622" i="5" s="1"/>
  <c r="G625" i="5"/>
  <c r="L625" i="5" s="1"/>
  <c r="G628" i="5"/>
  <c r="L628" i="5" s="1"/>
  <c r="G5" i="5"/>
  <c r="L5" i="5" s="1"/>
  <c r="G8" i="5"/>
  <c r="L8" i="5" s="1"/>
  <c r="G11" i="5"/>
  <c r="L11" i="5" s="1"/>
  <c r="G14" i="5"/>
  <c r="L14" i="5" s="1"/>
  <c r="G17" i="5"/>
  <c r="L17" i="5" s="1"/>
  <c r="G20" i="5"/>
  <c r="L20" i="5" s="1"/>
  <c r="G23" i="5"/>
  <c r="L23" i="5" s="1"/>
  <c r="G26" i="5"/>
  <c r="L26" i="5" s="1"/>
  <c r="G29" i="5"/>
  <c r="L29" i="5" s="1"/>
  <c r="G32" i="5"/>
  <c r="L32" i="5" s="1"/>
  <c r="G35" i="5"/>
  <c r="L35" i="5" s="1"/>
  <c r="G38" i="5"/>
  <c r="L38" i="5" s="1"/>
  <c r="G41" i="5"/>
  <c r="L41" i="5" s="1"/>
  <c r="G44" i="5"/>
  <c r="L44" i="5" s="1"/>
  <c r="G47" i="5"/>
  <c r="L47" i="5" s="1"/>
  <c r="G50" i="5"/>
  <c r="L50" i="5" s="1"/>
  <c r="G53" i="5"/>
  <c r="L53" i="5" s="1"/>
  <c r="G56" i="5"/>
  <c r="L56" i="5" s="1"/>
  <c r="G59" i="5"/>
  <c r="L59" i="5" s="1"/>
  <c r="G62" i="5"/>
  <c r="L62" i="5" s="1"/>
  <c r="G65" i="5"/>
  <c r="L65" i="5" s="1"/>
  <c r="G68" i="5"/>
  <c r="L68" i="5" s="1"/>
  <c r="G71" i="5"/>
  <c r="L71" i="5" s="1"/>
  <c r="G74" i="5"/>
  <c r="L74" i="5" s="1"/>
  <c r="G77" i="5"/>
  <c r="L77" i="5" s="1"/>
  <c r="G80" i="5"/>
  <c r="L80" i="5" s="1"/>
  <c r="G83" i="5"/>
  <c r="L83" i="5" s="1"/>
  <c r="G86" i="5"/>
  <c r="L86" i="5" s="1"/>
  <c r="G89" i="5"/>
  <c r="L89" i="5" s="1"/>
  <c r="G92" i="5"/>
  <c r="L92" i="5" s="1"/>
  <c r="G95" i="5"/>
  <c r="L95" i="5" s="1"/>
  <c r="G98" i="5"/>
  <c r="L98" i="5" s="1"/>
  <c r="G101" i="5"/>
  <c r="L101" i="5" s="1"/>
  <c r="G104" i="5"/>
  <c r="L104" i="5" s="1"/>
  <c r="G107" i="5"/>
  <c r="L107" i="5" s="1"/>
  <c r="G110" i="5"/>
  <c r="L110" i="5" s="1"/>
  <c r="G113" i="5"/>
  <c r="L113" i="5" s="1"/>
  <c r="G116" i="5"/>
  <c r="L116" i="5" s="1"/>
  <c r="G119" i="5"/>
  <c r="L119" i="5" s="1"/>
  <c r="G122" i="5"/>
  <c r="L122" i="5" s="1"/>
  <c r="G125" i="5"/>
  <c r="L125" i="5" s="1"/>
  <c r="G128" i="5"/>
  <c r="L128" i="5" s="1"/>
  <c r="G131" i="5"/>
  <c r="L131" i="5" s="1"/>
  <c r="G134" i="5"/>
  <c r="L134" i="5" s="1"/>
  <c r="G137" i="5"/>
  <c r="L137" i="5" s="1"/>
  <c r="G140" i="5"/>
  <c r="L140" i="5" s="1"/>
  <c r="G143" i="5"/>
  <c r="L143" i="5" s="1"/>
  <c r="G146" i="5"/>
  <c r="L146" i="5" s="1"/>
  <c r="G149" i="5"/>
  <c r="L149" i="5" s="1"/>
  <c r="G152" i="5"/>
  <c r="L152" i="5" s="1"/>
  <c r="G155" i="5"/>
  <c r="L155" i="5" s="1"/>
  <c r="G3" i="5"/>
  <c r="L3" i="5" s="1"/>
  <c r="G6" i="5"/>
  <c r="L6" i="5" s="1"/>
  <c r="G9" i="5"/>
  <c r="L9" i="5" s="1"/>
  <c r="G12" i="5"/>
  <c r="L12" i="5" s="1"/>
  <c r="G15" i="5"/>
  <c r="G18" i="5"/>
  <c r="G21" i="5"/>
  <c r="L21" i="5" s="1"/>
  <c r="G24" i="5"/>
  <c r="L24" i="5" s="1"/>
  <c r="G27" i="5"/>
  <c r="L27" i="5" s="1"/>
  <c r="G30" i="5"/>
  <c r="L30" i="5" s="1"/>
  <c r="G33" i="5"/>
  <c r="L33" i="5" s="1"/>
  <c r="G36" i="5"/>
  <c r="L36" i="5" s="1"/>
  <c r="G39" i="5"/>
  <c r="L39" i="5" s="1"/>
  <c r="G42" i="5"/>
  <c r="L42" i="5" s="1"/>
  <c r="G45" i="5"/>
  <c r="L45" i="5" s="1"/>
  <c r="G48" i="5"/>
  <c r="L48" i="5" s="1"/>
  <c r="G51" i="5"/>
  <c r="L51" i="5" s="1"/>
  <c r="G54" i="5"/>
  <c r="L54" i="5" s="1"/>
  <c r="G57" i="5"/>
  <c r="L57" i="5" s="1"/>
  <c r="G60" i="5"/>
  <c r="L60" i="5" s="1"/>
  <c r="G63" i="5"/>
  <c r="L63" i="5" s="1"/>
  <c r="G66" i="5"/>
  <c r="L66" i="5" s="1"/>
  <c r="G69" i="5"/>
  <c r="L69" i="5" s="1"/>
  <c r="G72" i="5"/>
  <c r="L72" i="5" s="1"/>
  <c r="G75" i="5"/>
  <c r="L75" i="5" s="1"/>
  <c r="G78" i="5"/>
  <c r="L78" i="5" s="1"/>
  <c r="G81" i="5"/>
  <c r="L81" i="5" s="1"/>
  <c r="G84" i="5"/>
  <c r="L84" i="5" s="1"/>
  <c r="G87" i="5"/>
  <c r="L87" i="5" s="1"/>
  <c r="G90" i="5"/>
  <c r="L90" i="5" s="1"/>
  <c r="G93" i="5"/>
  <c r="L93" i="5" s="1"/>
  <c r="G96" i="5"/>
  <c r="L96" i="5" s="1"/>
  <c r="G99" i="5"/>
  <c r="L99" i="5" s="1"/>
  <c r="G102" i="5"/>
  <c r="L102" i="5" s="1"/>
  <c r="G105" i="5"/>
  <c r="L105" i="5" s="1"/>
  <c r="G108" i="5"/>
  <c r="L108" i="5" s="1"/>
  <c r="G111" i="5"/>
  <c r="L111" i="5" s="1"/>
  <c r="G114" i="5"/>
  <c r="L114" i="5" s="1"/>
  <c r="G117" i="5"/>
  <c r="L117" i="5" s="1"/>
  <c r="G120" i="5"/>
  <c r="L120" i="5" s="1"/>
  <c r="G123" i="5"/>
  <c r="L123" i="5" s="1"/>
  <c r="G126" i="5"/>
  <c r="L126" i="5" s="1"/>
  <c r="G129" i="5"/>
  <c r="L129" i="5" s="1"/>
  <c r="G132" i="5"/>
  <c r="L132" i="5" s="1"/>
  <c r="G135" i="5"/>
  <c r="L135" i="5" s="1"/>
  <c r="G138" i="5"/>
  <c r="L138" i="5" s="1"/>
  <c r="G141" i="5"/>
  <c r="L141" i="5" s="1"/>
  <c r="G144" i="5"/>
  <c r="L144" i="5" s="1"/>
  <c r="G147" i="5"/>
  <c r="L147" i="5" s="1"/>
  <c r="G150" i="5"/>
  <c r="L150" i="5" s="1"/>
  <c r="G153" i="5"/>
  <c r="L153" i="5" s="1"/>
  <c r="G156" i="5"/>
  <c r="L156" i="5" s="1"/>
  <c r="G159" i="5"/>
  <c r="L159" i="5" s="1"/>
  <c r="G162" i="5"/>
  <c r="L162" i="5" s="1"/>
  <c r="G165" i="5"/>
  <c r="L165" i="5" s="1"/>
  <c r="G168" i="5"/>
  <c r="L168" i="5" s="1"/>
  <c r="G171" i="5"/>
  <c r="L171" i="5" s="1"/>
  <c r="G174" i="5"/>
  <c r="L174" i="5" s="1"/>
  <c r="G177" i="5"/>
  <c r="L177" i="5" s="1"/>
  <c r="G180" i="5"/>
  <c r="L180" i="5" s="1"/>
  <c r="G183" i="5"/>
  <c r="L183" i="5" s="1"/>
  <c r="G186" i="5"/>
  <c r="L186" i="5" s="1"/>
  <c r="G189" i="5"/>
  <c r="L189" i="5" s="1"/>
  <c r="G192" i="5"/>
  <c r="L192" i="5" s="1"/>
  <c r="G195" i="5"/>
  <c r="L195" i="5" s="1"/>
  <c r="G198" i="5"/>
  <c r="L198" i="5" s="1"/>
  <c r="G201" i="5"/>
  <c r="L201" i="5" s="1"/>
  <c r="G204" i="5"/>
  <c r="L204" i="5" s="1"/>
  <c r="G207" i="5"/>
  <c r="L207" i="5" s="1"/>
  <c r="G210" i="5"/>
  <c r="L210" i="5" s="1"/>
  <c r="G213" i="5"/>
  <c r="L213" i="5" s="1"/>
  <c r="G216" i="5"/>
  <c r="L216" i="5" s="1"/>
  <c r="G219" i="5"/>
  <c r="L219" i="5" s="1"/>
  <c r="G222" i="5"/>
  <c r="L222" i="5" s="1"/>
  <c r="G225" i="5"/>
  <c r="L225" i="5" s="1"/>
  <c r="G228" i="5"/>
  <c r="L228" i="5" s="1"/>
  <c r="G231" i="5"/>
  <c r="L231" i="5" s="1"/>
  <c r="G234" i="5"/>
  <c r="L234" i="5" s="1"/>
  <c r="G237" i="5"/>
  <c r="L237" i="5" s="1"/>
  <c r="G240" i="5"/>
  <c r="L240" i="5" s="1"/>
  <c r="G243" i="5"/>
  <c r="L243" i="5" s="1"/>
  <c r="G246" i="5"/>
  <c r="L246" i="5" s="1"/>
  <c r="G249" i="5"/>
  <c r="L249" i="5" s="1"/>
  <c r="G252" i="5"/>
  <c r="L252" i="5" s="1"/>
  <c r="G255" i="5"/>
  <c r="L255" i="5" s="1"/>
  <c r="G258" i="5"/>
  <c r="L258" i="5" s="1"/>
  <c r="G261" i="5"/>
  <c r="L261" i="5" s="1"/>
  <c r="G264" i="5"/>
  <c r="L264" i="5" s="1"/>
  <c r="G267" i="5"/>
  <c r="L267" i="5" s="1"/>
  <c r="G270" i="5"/>
  <c r="L270" i="5" s="1"/>
  <c r="G273" i="5"/>
  <c r="L273" i="5" s="1"/>
  <c r="G276" i="5"/>
  <c r="L276" i="5" s="1"/>
  <c r="G279" i="5"/>
  <c r="L279" i="5" s="1"/>
  <c r="G282" i="5"/>
  <c r="L282" i="5" s="1"/>
  <c r="G285" i="5"/>
  <c r="L285" i="5" s="1"/>
  <c r="G288" i="5"/>
  <c r="L288" i="5" s="1"/>
  <c r="G291" i="5"/>
  <c r="L291" i="5" s="1"/>
  <c r="G294" i="5"/>
  <c r="L294" i="5" s="1"/>
  <c r="G297" i="5"/>
  <c r="L297" i="5" s="1"/>
  <c r="G300" i="5"/>
  <c r="L300" i="5" s="1"/>
  <c r="G303" i="5"/>
  <c r="L303" i="5" s="1"/>
  <c r="G306" i="5"/>
  <c r="L306" i="5" s="1"/>
  <c r="G309" i="5"/>
  <c r="L309" i="5" s="1"/>
  <c r="G312" i="5"/>
  <c r="L312" i="5" s="1"/>
  <c r="G315" i="5"/>
  <c r="L315" i="5" s="1"/>
  <c r="G318" i="5"/>
  <c r="L318" i="5" s="1"/>
  <c r="G321" i="5"/>
  <c r="L321" i="5" s="1"/>
  <c r="G324" i="5"/>
  <c r="L324" i="5" s="1"/>
  <c r="G327" i="5"/>
  <c r="L327" i="5" s="1"/>
  <c r="G330" i="5"/>
  <c r="L330" i="5" s="1"/>
  <c r="G333" i="5"/>
  <c r="L333" i="5" s="1"/>
  <c r="G336" i="5"/>
  <c r="L336" i="5" s="1"/>
  <c r="G339" i="5"/>
  <c r="L339" i="5" s="1"/>
  <c r="G342" i="5"/>
  <c r="L342" i="5" s="1"/>
  <c r="G345" i="5"/>
  <c r="L345" i="5" s="1"/>
  <c r="G348" i="5"/>
  <c r="L348" i="5" s="1"/>
  <c r="G351" i="5"/>
  <c r="L351" i="5" s="1"/>
  <c r="G354" i="5"/>
  <c r="L354" i="5" s="1"/>
  <c r="G357" i="5"/>
  <c r="L357" i="5" s="1"/>
  <c r="G360" i="5"/>
  <c r="L360" i="5" s="1"/>
  <c r="G363" i="5"/>
  <c r="L363" i="5" s="1"/>
  <c r="G366" i="5"/>
  <c r="L366" i="5" s="1"/>
  <c r="G369" i="5"/>
  <c r="L369" i="5" s="1"/>
  <c r="G372" i="5"/>
  <c r="L372" i="5" s="1"/>
  <c r="G375" i="5"/>
  <c r="L375" i="5" s="1"/>
  <c r="G378" i="5"/>
  <c r="L378" i="5" s="1"/>
  <c r="G381" i="5"/>
  <c r="L381" i="5" s="1"/>
  <c r="G384" i="5"/>
  <c r="L384" i="5" s="1"/>
  <c r="G387" i="5"/>
  <c r="L387" i="5" s="1"/>
  <c r="G390" i="5"/>
  <c r="L390" i="5" s="1"/>
  <c r="G393" i="5"/>
  <c r="L393" i="5" s="1"/>
  <c r="G396" i="5"/>
  <c r="L396" i="5" s="1"/>
  <c r="G399" i="5"/>
  <c r="L399" i="5" s="1"/>
  <c r="G402" i="5"/>
  <c r="L402" i="5" s="1"/>
  <c r="G405" i="5"/>
  <c r="L405" i="5" s="1"/>
  <c r="G408" i="5"/>
  <c r="L408" i="5" s="1"/>
  <c r="G411" i="5"/>
  <c r="L411" i="5" s="1"/>
  <c r="G414" i="5"/>
  <c r="L414" i="5" s="1"/>
  <c r="G417" i="5"/>
  <c r="L417" i="5" s="1"/>
  <c r="G420" i="5"/>
  <c r="L420" i="5" s="1"/>
  <c r="G423" i="5"/>
  <c r="L423" i="5" s="1"/>
  <c r="G426" i="5"/>
  <c r="L426" i="5" s="1"/>
  <c r="G429" i="5"/>
  <c r="L429" i="5" s="1"/>
  <c r="G432" i="5"/>
  <c r="L432" i="5" s="1"/>
  <c r="G435" i="5"/>
  <c r="L435" i="5" s="1"/>
  <c r="G438" i="5"/>
  <c r="L438" i="5" s="1"/>
  <c r="G441" i="5"/>
  <c r="L441" i="5" s="1"/>
  <c r="G444" i="5"/>
  <c r="L444" i="5" s="1"/>
  <c r="G447" i="5"/>
  <c r="L447" i="5" s="1"/>
  <c r="G450" i="5"/>
  <c r="L450" i="5" s="1"/>
  <c r="G453" i="5"/>
  <c r="L453" i="5" s="1"/>
  <c r="G456" i="5"/>
  <c r="L456" i="5" s="1"/>
  <c r="G459" i="5"/>
  <c r="L459" i="5" s="1"/>
  <c r="G462" i="5"/>
  <c r="L462" i="5" s="1"/>
  <c r="G465" i="5"/>
  <c r="L465" i="5" s="1"/>
  <c r="G468" i="5"/>
  <c r="L468" i="5" s="1"/>
  <c r="G471" i="5"/>
  <c r="L471" i="5" s="1"/>
  <c r="G474" i="5"/>
  <c r="L474" i="5" s="1"/>
  <c r="G477" i="5"/>
  <c r="L477" i="5" s="1"/>
  <c r="G480" i="5"/>
  <c r="L480" i="5" s="1"/>
  <c r="G483" i="5"/>
  <c r="L483" i="5" s="1"/>
  <c r="G486" i="5"/>
  <c r="L486" i="5" s="1"/>
  <c r="G489" i="5"/>
  <c r="L489" i="5" s="1"/>
  <c r="G492" i="5"/>
  <c r="L492" i="5" s="1"/>
  <c r="G495" i="5"/>
  <c r="L495" i="5" s="1"/>
  <c r="G498" i="5"/>
  <c r="L498" i="5" s="1"/>
  <c r="G501" i="5"/>
  <c r="L501" i="5" s="1"/>
  <c r="G504" i="5"/>
  <c r="L504" i="5" s="1"/>
  <c r="G507" i="5"/>
  <c r="L507" i="5" s="1"/>
  <c r="G510" i="5"/>
  <c r="L510" i="5" s="1"/>
  <c r="G513" i="5"/>
  <c r="L513" i="5" s="1"/>
  <c r="G516" i="5"/>
  <c r="L516" i="5" s="1"/>
  <c r="G519" i="5"/>
  <c r="L519" i="5" s="1"/>
  <c r="G522" i="5"/>
  <c r="L522" i="5" s="1"/>
  <c r="G525" i="5"/>
  <c r="L525" i="5" s="1"/>
  <c r="G528" i="5"/>
  <c r="L528" i="5" s="1"/>
  <c r="G531" i="5"/>
  <c r="L531" i="5" s="1"/>
  <c r="G534" i="5"/>
  <c r="L534" i="5" s="1"/>
  <c r="G537" i="5"/>
  <c r="L537" i="5" s="1"/>
  <c r="G540" i="5"/>
  <c r="L540" i="5" s="1"/>
  <c r="G543" i="5"/>
  <c r="L543" i="5" s="1"/>
  <c r="G546" i="5"/>
  <c r="L546" i="5" s="1"/>
  <c r="G549" i="5"/>
  <c r="L549" i="5" s="1"/>
  <c r="G552" i="5"/>
  <c r="L552" i="5" s="1"/>
  <c r="G558" i="5"/>
  <c r="L558" i="5" s="1"/>
  <c r="G561" i="5"/>
  <c r="L561" i="5" s="1"/>
  <c r="G564" i="5"/>
  <c r="L564" i="5" s="1"/>
  <c r="G567" i="5"/>
  <c r="L567" i="5" s="1"/>
  <c r="G570" i="5"/>
  <c r="L570" i="5" s="1"/>
  <c r="G573" i="5"/>
  <c r="L573" i="5" s="1"/>
  <c r="G576" i="5"/>
  <c r="L576" i="5" s="1"/>
  <c r="G579" i="5"/>
  <c r="L579" i="5" s="1"/>
  <c r="G582" i="5"/>
  <c r="L582" i="5" s="1"/>
  <c r="G585" i="5"/>
  <c r="L585" i="5" s="1"/>
  <c r="G588" i="5"/>
  <c r="L588" i="5" s="1"/>
  <c r="G591" i="5"/>
  <c r="L591" i="5" s="1"/>
  <c r="G594" i="5"/>
  <c r="L594" i="5" s="1"/>
  <c r="G597" i="5"/>
  <c r="L597" i="5" s="1"/>
  <c r="G600" i="5"/>
  <c r="L600" i="5" s="1"/>
  <c r="G603" i="5"/>
  <c r="L603" i="5" s="1"/>
  <c r="G606" i="5"/>
  <c r="L606" i="5" s="1"/>
  <c r="G609" i="5"/>
  <c r="L609" i="5" s="1"/>
  <c r="G612" i="5"/>
  <c r="L612" i="5" s="1"/>
  <c r="G615" i="5"/>
  <c r="L615" i="5" s="1"/>
  <c r="G618" i="5"/>
  <c r="L618" i="5" s="1"/>
  <c r="G621" i="5"/>
  <c r="L621" i="5" s="1"/>
  <c r="G624" i="5"/>
  <c r="L624" i="5" s="1"/>
  <c r="G627" i="5"/>
  <c r="L627" i="5" s="1"/>
  <c r="G630" i="5"/>
  <c r="L630" i="5" s="1"/>
  <c r="G633" i="5"/>
  <c r="L633" i="5" s="1"/>
  <c r="G636" i="5"/>
  <c r="L636" i="5" s="1"/>
  <c r="G639" i="5"/>
  <c r="L639" i="5" s="1"/>
  <c r="G642" i="5"/>
  <c r="L642" i="5" s="1"/>
  <c r="G645" i="5"/>
  <c r="L645" i="5" s="1"/>
  <c r="G648" i="5"/>
  <c r="L648" i="5" s="1"/>
  <c r="G651" i="5"/>
  <c r="L651" i="5" s="1"/>
  <c r="G654" i="5"/>
  <c r="L654" i="5" s="1"/>
  <c r="G657" i="5"/>
  <c r="L657" i="5" s="1"/>
  <c r="G660" i="5"/>
  <c r="L660" i="5" s="1"/>
  <c r="G663" i="5"/>
  <c r="L663" i="5" s="1"/>
  <c r="G666" i="5"/>
  <c r="L666" i="5" s="1"/>
  <c r="G669" i="5"/>
  <c r="L669" i="5" s="1"/>
  <c r="G672" i="5"/>
  <c r="L672" i="5" s="1"/>
  <c r="G675" i="5"/>
  <c r="L675" i="5" s="1"/>
  <c r="G678" i="5"/>
  <c r="L678" i="5" s="1"/>
  <c r="G681" i="5"/>
  <c r="L681" i="5" s="1"/>
  <c r="G684" i="5"/>
  <c r="L684" i="5" s="1"/>
  <c r="G687" i="5"/>
  <c r="L687" i="5" s="1"/>
  <c r="G690" i="5"/>
  <c r="L690" i="5" s="1"/>
  <c r="G693" i="5"/>
  <c r="L693" i="5" s="1"/>
  <c r="G696" i="5"/>
  <c r="L696" i="5" s="1"/>
  <c r="G699" i="5"/>
  <c r="L699" i="5" s="1"/>
  <c r="G702" i="5"/>
  <c r="L702" i="5" s="1"/>
  <c r="G705" i="5"/>
  <c r="L705" i="5" s="1"/>
  <c r="G708" i="5"/>
  <c r="L708" i="5" s="1"/>
  <c r="G711" i="5"/>
  <c r="L711" i="5" s="1"/>
  <c r="G714" i="5"/>
  <c r="L714" i="5" s="1"/>
  <c r="G717" i="5"/>
  <c r="L717" i="5" s="1"/>
  <c r="G720" i="5"/>
  <c r="L720" i="5" s="1"/>
  <c r="G723" i="5"/>
  <c r="L723" i="5" s="1"/>
  <c r="G726" i="5"/>
  <c r="L726" i="5" s="1"/>
  <c r="G729" i="5"/>
  <c r="L729" i="5" s="1"/>
  <c r="G732" i="5"/>
  <c r="L732" i="5" s="1"/>
  <c r="G735" i="5"/>
  <c r="L735" i="5" s="1"/>
  <c r="G738" i="5"/>
  <c r="L738" i="5" s="1"/>
  <c r="G741" i="5"/>
  <c r="L741" i="5" s="1"/>
  <c r="G744" i="5"/>
  <c r="L744" i="5" s="1"/>
  <c r="G747" i="5"/>
  <c r="L747" i="5" s="1"/>
  <c r="G750" i="5"/>
  <c r="L750" i="5" s="1"/>
  <c r="G753" i="5"/>
  <c r="L753" i="5" s="1"/>
  <c r="G756" i="5"/>
  <c r="L756" i="5" s="1"/>
  <c r="G759" i="5"/>
  <c r="L759" i="5" s="1"/>
  <c r="G762" i="5"/>
  <c r="L762" i="5" s="1"/>
  <c r="G765" i="5"/>
  <c r="L765" i="5" s="1"/>
  <c r="G768" i="5"/>
  <c r="L768" i="5" s="1"/>
  <c r="G771" i="5"/>
  <c r="L771" i="5" s="1"/>
  <c r="G774" i="5"/>
  <c r="L774" i="5" s="1"/>
  <c r="G777" i="5"/>
  <c r="L777" i="5" s="1"/>
  <c r="G780" i="5"/>
  <c r="L780" i="5" s="1"/>
  <c r="G783" i="5"/>
  <c r="L783" i="5" s="1"/>
  <c r="G786" i="5"/>
  <c r="L786" i="5" s="1"/>
  <c r="G789" i="5"/>
  <c r="L789" i="5" s="1"/>
  <c r="G792" i="5"/>
  <c r="L792" i="5" s="1"/>
  <c r="G795" i="5"/>
  <c r="L795" i="5" s="1"/>
  <c r="G798" i="5"/>
  <c r="L798" i="5" s="1"/>
  <c r="G801" i="5"/>
  <c r="L801" i="5" s="1"/>
  <c r="G804" i="5"/>
  <c r="L804" i="5" s="1"/>
  <c r="G807" i="5"/>
  <c r="L807" i="5" s="1"/>
  <c r="G810" i="5"/>
  <c r="L810" i="5" s="1"/>
  <c r="G813" i="5"/>
  <c r="L813" i="5" s="1"/>
  <c r="G816" i="5"/>
  <c r="L816" i="5" s="1"/>
  <c r="G819" i="5"/>
  <c r="L819" i="5" s="1"/>
  <c r="G822" i="5"/>
  <c r="L822" i="5" s="1"/>
  <c r="G825" i="5"/>
  <c r="L825" i="5" s="1"/>
  <c r="G828" i="5"/>
  <c r="L828" i="5" s="1"/>
  <c r="G831" i="5"/>
  <c r="L831" i="5" s="1"/>
  <c r="G834" i="5"/>
  <c r="L834" i="5" s="1"/>
  <c r="G837" i="5"/>
  <c r="L837" i="5" s="1"/>
  <c r="G840" i="5"/>
  <c r="L840" i="5" s="1"/>
  <c r="G843" i="5"/>
  <c r="L843" i="5" s="1"/>
  <c r="G846" i="5"/>
  <c r="L846" i="5" s="1"/>
  <c r="G849" i="5"/>
  <c r="L849" i="5" s="1"/>
  <c r="G852" i="5"/>
  <c r="L852" i="5" s="1"/>
  <c r="G855" i="5"/>
  <c r="L855" i="5" s="1"/>
  <c r="G858" i="5"/>
  <c r="L858" i="5" s="1"/>
  <c r="G861" i="5"/>
  <c r="L861" i="5" s="1"/>
  <c r="G864" i="5"/>
  <c r="L864" i="5" s="1"/>
  <c r="G867" i="5"/>
  <c r="L867" i="5" s="1"/>
  <c r="G870" i="5"/>
  <c r="L870" i="5" s="1"/>
  <c r="G873" i="5"/>
  <c r="L873" i="5" s="1"/>
  <c r="G879" i="5"/>
  <c r="L879" i="5" s="1"/>
  <c r="G882" i="5"/>
  <c r="L882" i="5" s="1"/>
  <c r="G885" i="5"/>
  <c r="L885" i="5" s="1"/>
  <c r="G888" i="5"/>
  <c r="L888" i="5" s="1"/>
  <c r="G891" i="5"/>
  <c r="L891" i="5" s="1"/>
  <c r="G894" i="5"/>
  <c r="L894" i="5" s="1"/>
  <c r="G897" i="5"/>
  <c r="L897" i="5" s="1"/>
  <c r="G900" i="5"/>
  <c r="L900" i="5" s="1"/>
  <c r="G903" i="5"/>
  <c r="L903" i="5" s="1"/>
  <c r="G906" i="5"/>
  <c r="L906" i="5" s="1"/>
  <c r="G909" i="5"/>
  <c r="L909" i="5" s="1"/>
  <c r="G912" i="5"/>
  <c r="L912" i="5" s="1"/>
  <c r="G915" i="5"/>
  <c r="L915" i="5" s="1"/>
  <c r="G918" i="5"/>
  <c r="L918" i="5" s="1"/>
  <c r="G921" i="5"/>
  <c r="L921" i="5" s="1"/>
  <c r="G924" i="5"/>
  <c r="L924" i="5" s="1"/>
  <c r="G927" i="5"/>
  <c r="L927" i="5" s="1"/>
  <c r="G930" i="5"/>
  <c r="L930" i="5" s="1"/>
  <c r="G933" i="5"/>
  <c r="L933" i="5" s="1"/>
  <c r="G936" i="5"/>
  <c r="L936" i="5" s="1"/>
  <c r="G939" i="5"/>
  <c r="L939" i="5" s="1"/>
  <c r="G942" i="5"/>
  <c r="L942" i="5" s="1"/>
  <c r="G945" i="5"/>
  <c r="L945" i="5" s="1"/>
  <c r="G948" i="5"/>
  <c r="L948" i="5" s="1"/>
  <c r="G951" i="5"/>
  <c r="L951" i="5" s="1"/>
  <c r="G954" i="5"/>
  <c r="L954" i="5" s="1"/>
  <c r="G957" i="5"/>
  <c r="L957" i="5" s="1"/>
  <c r="G960" i="5"/>
  <c r="L960" i="5" s="1"/>
  <c r="G963" i="5"/>
  <c r="L963" i="5" s="1"/>
  <c r="G966" i="5"/>
  <c r="L966" i="5" s="1"/>
  <c r="G969" i="5"/>
  <c r="L969" i="5" s="1"/>
  <c r="G972" i="5"/>
  <c r="L972" i="5" s="1"/>
  <c r="G975" i="5"/>
  <c r="L975" i="5" s="1"/>
  <c r="G978" i="5"/>
  <c r="L978" i="5" s="1"/>
  <c r="G981" i="5"/>
  <c r="L981" i="5" s="1"/>
  <c r="G631" i="5"/>
  <c r="L631" i="5" s="1"/>
  <c r="G634" i="5"/>
  <c r="L634" i="5" s="1"/>
  <c r="G637" i="5"/>
  <c r="L637" i="5" s="1"/>
  <c r="G640" i="5"/>
  <c r="L640" i="5" s="1"/>
  <c r="G643" i="5"/>
  <c r="L643" i="5" s="1"/>
  <c r="G646" i="5"/>
  <c r="L646" i="5" s="1"/>
  <c r="G649" i="5"/>
  <c r="L649" i="5" s="1"/>
  <c r="G652" i="5"/>
  <c r="L652" i="5" s="1"/>
  <c r="G655" i="5"/>
  <c r="L655" i="5" s="1"/>
  <c r="G658" i="5"/>
  <c r="L658" i="5" s="1"/>
  <c r="G661" i="5"/>
  <c r="L661" i="5" s="1"/>
  <c r="G664" i="5"/>
  <c r="L664" i="5" s="1"/>
  <c r="G667" i="5"/>
  <c r="L667" i="5" s="1"/>
  <c r="G670" i="5"/>
  <c r="L670" i="5" s="1"/>
  <c r="G673" i="5"/>
  <c r="L673" i="5" s="1"/>
  <c r="G676" i="5"/>
  <c r="L676" i="5" s="1"/>
  <c r="G679" i="5"/>
  <c r="L679" i="5" s="1"/>
  <c r="G682" i="5"/>
  <c r="L682" i="5" s="1"/>
  <c r="G685" i="5"/>
  <c r="L685" i="5" s="1"/>
  <c r="G688" i="5"/>
  <c r="L688" i="5" s="1"/>
  <c r="G691" i="5"/>
  <c r="L691" i="5" s="1"/>
  <c r="G694" i="5"/>
  <c r="L694" i="5" s="1"/>
  <c r="G697" i="5"/>
  <c r="L697" i="5" s="1"/>
  <c r="G700" i="5"/>
  <c r="L700" i="5" s="1"/>
  <c r="G703" i="5"/>
  <c r="L703" i="5" s="1"/>
  <c r="G706" i="5"/>
  <c r="L706" i="5" s="1"/>
  <c r="G709" i="5"/>
  <c r="L709" i="5" s="1"/>
  <c r="G712" i="5"/>
  <c r="L712" i="5" s="1"/>
  <c r="G715" i="5"/>
  <c r="L715" i="5" s="1"/>
  <c r="G718" i="5"/>
  <c r="L718" i="5" s="1"/>
  <c r="G721" i="5"/>
  <c r="L721" i="5" s="1"/>
  <c r="G724" i="5"/>
  <c r="L724" i="5" s="1"/>
  <c r="G727" i="5"/>
  <c r="L727" i="5" s="1"/>
  <c r="G730" i="5"/>
  <c r="L730" i="5" s="1"/>
  <c r="G733" i="5"/>
  <c r="L733" i="5" s="1"/>
  <c r="G736" i="5"/>
  <c r="L736" i="5" s="1"/>
  <c r="G739" i="5"/>
  <c r="L739" i="5" s="1"/>
  <c r="G742" i="5"/>
  <c r="L742" i="5" s="1"/>
  <c r="G811" i="5"/>
  <c r="L811" i="5" s="1"/>
  <c r="G814" i="5"/>
  <c r="L814" i="5" s="1"/>
  <c r="G817" i="5"/>
  <c r="L817" i="5" s="1"/>
  <c r="G820" i="5"/>
  <c r="L820" i="5" s="1"/>
  <c r="G823" i="5"/>
  <c r="L823" i="5" s="1"/>
  <c r="G826" i="5"/>
  <c r="L826" i="5" s="1"/>
  <c r="G829" i="5"/>
  <c r="L829" i="5" s="1"/>
  <c r="G832" i="5"/>
  <c r="L832" i="5" s="1"/>
  <c r="G835" i="5"/>
  <c r="L835" i="5" s="1"/>
  <c r="G838" i="5"/>
  <c r="L838" i="5" s="1"/>
  <c r="G841" i="5"/>
  <c r="L841" i="5" s="1"/>
  <c r="G844" i="5"/>
  <c r="L844" i="5" s="1"/>
  <c r="G847" i="5"/>
  <c r="L847" i="5" s="1"/>
  <c r="G850" i="5"/>
  <c r="L850" i="5" s="1"/>
  <c r="G853" i="5"/>
  <c r="L853" i="5" s="1"/>
  <c r="G856" i="5"/>
  <c r="L856" i="5" s="1"/>
  <c r="G859" i="5"/>
  <c r="L859" i="5" s="1"/>
  <c r="G862" i="5"/>
  <c r="L862" i="5" s="1"/>
  <c r="G865" i="5"/>
  <c r="L865" i="5" s="1"/>
  <c r="G868" i="5"/>
  <c r="L868" i="5" s="1"/>
  <c r="G871" i="5"/>
  <c r="L871" i="5" s="1"/>
  <c r="G1384" i="5"/>
  <c r="L1384" i="5" s="1"/>
  <c r="G1387" i="5"/>
  <c r="L1387" i="5" s="1"/>
  <c r="G1390" i="5"/>
  <c r="L1390" i="5" s="1"/>
  <c r="G1393" i="5"/>
  <c r="L1393" i="5" s="1"/>
  <c r="G1396" i="5"/>
  <c r="L1396" i="5" s="1"/>
  <c r="G1399" i="5"/>
  <c r="L1399" i="5" s="1"/>
  <c r="G1402" i="5"/>
  <c r="L1402" i="5" s="1"/>
  <c r="G1405" i="5"/>
  <c r="L1405" i="5" s="1"/>
  <c r="G1408" i="5"/>
  <c r="L1408" i="5" s="1"/>
  <c r="G1411" i="5"/>
  <c r="L1411" i="5" s="1"/>
  <c r="G1414" i="5"/>
  <c r="L1414" i="5" s="1"/>
  <c r="G1417" i="5"/>
  <c r="L1417" i="5" s="1"/>
  <c r="G1420" i="5"/>
  <c r="L1420" i="5" s="1"/>
  <c r="G1423" i="5"/>
  <c r="L1423" i="5" s="1"/>
  <c r="G1426" i="5"/>
  <c r="L1426" i="5" s="1"/>
  <c r="G1429" i="5"/>
  <c r="L1429" i="5" s="1"/>
  <c r="G1432" i="5"/>
  <c r="L1432" i="5" s="1"/>
  <c r="G1435" i="5"/>
  <c r="L1435" i="5" s="1"/>
  <c r="G1438" i="5"/>
  <c r="L1438" i="5" s="1"/>
  <c r="G1441" i="5"/>
  <c r="L1441" i="5" s="1"/>
  <c r="G1444" i="5"/>
  <c r="L1444" i="5" s="1"/>
  <c r="G1447" i="5"/>
  <c r="L1447" i="5" s="1"/>
  <c r="G1450" i="5"/>
  <c r="L1450" i="5" s="1"/>
  <c r="G1453" i="5"/>
  <c r="L1453" i="5" s="1"/>
  <c r="G1456" i="5"/>
  <c r="L1456" i="5" s="1"/>
  <c r="G1459" i="5"/>
  <c r="L1459" i="5" s="1"/>
  <c r="G1462" i="5"/>
  <c r="L1462" i="5" s="1"/>
  <c r="G1465" i="5"/>
  <c r="L1465" i="5" s="1"/>
  <c r="G1468" i="5"/>
  <c r="L1468" i="5" s="1"/>
  <c r="G1471" i="5"/>
  <c r="L1471" i="5" s="1"/>
  <c r="G1474" i="5"/>
  <c r="L1474" i="5" s="1"/>
  <c r="G1477" i="5"/>
  <c r="L1477" i="5" s="1"/>
  <c r="G1480" i="5"/>
  <c r="L1480" i="5" s="1"/>
  <c r="G1483" i="5"/>
  <c r="L1483" i="5" s="1"/>
  <c r="G1486" i="5"/>
  <c r="L1486" i="5" s="1"/>
  <c r="G1489" i="5"/>
  <c r="L1489" i="5" s="1"/>
  <c r="G1492" i="5"/>
  <c r="L1492" i="5" s="1"/>
  <c r="G1495" i="5"/>
  <c r="L1495" i="5" s="1"/>
  <c r="G1498" i="5"/>
  <c r="L1498" i="5" s="1"/>
  <c r="G1501" i="5"/>
  <c r="L1501" i="5" s="1"/>
  <c r="G1504" i="5"/>
  <c r="L1504" i="5" s="1"/>
  <c r="G1507" i="5"/>
  <c r="L1507" i="5" s="1"/>
  <c r="G1510" i="5"/>
  <c r="L1510" i="5" s="1"/>
  <c r="G1513" i="5"/>
  <c r="L1513" i="5" s="1"/>
  <c r="G1516" i="5"/>
  <c r="L1516" i="5" s="1"/>
  <c r="G1519" i="5"/>
  <c r="L1519" i="5" s="1"/>
  <c r="G1522" i="5"/>
  <c r="L1522" i="5" s="1"/>
  <c r="G1525" i="5"/>
  <c r="L1525" i="5" s="1"/>
  <c r="G1528" i="5"/>
  <c r="L1528" i="5" s="1"/>
  <c r="G1531" i="5"/>
  <c r="L1531" i="5" s="1"/>
  <c r="G1534" i="5"/>
  <c r="L1534" i="5" s="1"/>
  <c r="G1537" i="5"/>
  <c r="L1537" i="5" s="1"/>
  <c r="G1540" i="5"/>
  <c r="L1540" i="5" s="1"/>
  <c r="G1543" i="5"/>
  <c r="L1543" i="5" s="1"/>
  <c r="G1546" i="5"/>
  <c r="L1546" i="5" s="1"/>
  <c r="G1549" i="5"/>
  <c r="L1549" i="5" s="1"/>
  <c r="G1552" i="5"/>
  <c r="L1552" i="5" s="1"/>
  <c r="G1555" i="5"/>
  <c r="L1555" i="5" s="1"/>
  <c r="G1558" i="5"/>
  <c r="L1558" i="5" s="1"/>
  <c r="G1561" i="5"/>
  <c r="L1561" i="5" s="1"/>
  <c r="G1564" i="5"/>
  <c r="L1564" i="5" s="1"/>
  <c r="G1567" i="5"/>
  <c r="L1567" i="5" s="1"/>
  <c r="G1570" i="5"/>
  <c r="L1570" i="5" s="1"/>
  <c r="G1573" i="5"/>
  <c r="L1573" i="5" s="1"/>
  <c r="G1576" i="5"/>
  <c r="L1576" i="5" s="1"/>
  <c r="G1579" i="5"/>
  <c r="L1579" i="5" s="1"/>
  <c r="G1582" i="5"/>
  <c r="L1582" i="5" s="1"/>
  <c r="G1585" i="5"/>
  <c r="L1585" i="5" s="1"/>
  <c r="G1588" i="5"/>
  <c r="L1588" i="5" s="1"/>
  <c r="G1591" i="5"/>
  <c r="L1591" i="5" s="1"/>
  <c r="G1594" i="5"/>
  <c r="L1594" i="5" s="1"/>
  <c r="G1597" i="5"/>
  <c r="L1597" i="5" s="1"/>
  <c r="G1600" i="5"/>
  <c r="L1600" i="5" s="1"/>
  <c r="G1603" i="5"/>
  <c r="L1603" i="5" s="1"/>
  <c r="G1606" i="5"/>
  <c r="L1606" i="5" s="1"/>
  <c r="G1609" i="5"/>
  <c r="L1609" i="5" s="1"/>
  <c r="G1612" i="5"/>
  <c r="L1612" i="5" s="1"/>
  <c r="G1615" i="5"/>
  <c r="L1615" i="5" s="1"/>
  <c r="G1618" i="5"/>
  <c r="L1618" i="5" s="1"/>
  <c r="G1621" i="5"/>
  <c r="L1621" i="5" s="1"/>
  <c r="G1624" i="5"/>
  <c r="L1624" i="5" s="1"/>
  <c r="G1627" i="5"/>
  <c r="L1627" i="5" s="1"/>
  <c r="G1630" i="5"/>
  <c r="L1630" i="5" s="1"/>
  <c r="G1633" i="5"/>
  <c r="L1633" i="5" s="1"/>
  <c r="G1636" i="5"/>
  <c r="L1636" i="5" s="1"/>
  <c r="G1639" i="5"/>
  <c r="L1639" i="5" s="1"/>
  <c r="G1642" i="5"/>
  <c r="L1642" i="5" s="1"/>
  <c r="G1645" i="5"/>
  <c r="L1645" i="5" s="1"/>
  <c r="G1648" i="5"/>
  <c r="L1648" i="5" s="1"/>
  <c r="G1651" i="5"/>
  <c r="L1651" i="5" s="1"/>
  <c r="G1654" i="5"/>
  <c r="L1654" i="5" s="1"/>
  <c r="G1657" i="5"/>
  <c r="L1657" i="5" s="1"/>
  <c r="G1660" i="5"/>
  <c r="L1660" i="5" s="1"/>
  <c r="G1663" i="5"/>
  <c r="L1663" i="5" s="1"/>
  <c r="G1666" i="5"/>
  <c r="L1666" i="5" s="1"/>
  <c r="G1669" i="5"/>
  <c r="L1669" i="5" s="1"/>
  <c r="G1672" i="5"/>
  <c r="L1672" i="5" s="1"/>
  <c r="G1675" i="5"/>
  <c r="L1675" i="5" s="1"/>
  <c r="G1678" i="5"/>
  <c r="L1678" i="5" s="1"/>
  <c r="G1681" i="5"/>
  <c r="L1681" i="5" s="1"/>
  <c r="G1684" i="5"/>
  <c r="L1684" i="5" s="1"/>
  <c r="G1687" i="5"/>
  <c r="L1687" i="5" s="1"/>
  <c r="G1690" i="5"/>
  <c r="L1690" i="5" s="1"/>
  <c r="G1693" i="5"/>
  <c r="L1693" i="5" s="1"/>
  <c r="G1696" i="5"/>
  <c r="L1696" i="5" s="1"/>
  <c r="G1699" i="5"/>
  <c r="L1699" i="5" s="1"/>
  <c r="G1702" i="5"/>
  <c r="L1702" i="5" s="1"/>
  <c r="G1705" i="5"/>
  <c r="L1705" i="5" s="1"/>
  <c r="G1708" i="5"/>
  <c r="L1708" i="5" s="1"/>
  <c r="G1711" i="5"/>
  <c r="L1711" i="5" s="1"/>
  <c r="G1714" i="5"/>
  <c r="L1714" i="5" s="1"/>
  <c r="G1717" i="5"/>
  <c r="L1717" i="5" s="1"/>
  <c r="G1720" i="5"/>
  <c r="L1720" i="5" s="1"/>
  <c r="G1723" i="5"/>
  <c r="L1723" i="5" s="1"/>
  <c r="G1726" i="5"/>
  <c r="L1726" i="5" s="1"/>
  <c r="G1729" i="5"/>
  <c r="L1729" i="5" s="1"/>
  <c r="G1732" i="5"/>
  <c r="L1732" i="5" s="1"/>
  <c r="G745" i="5"/>
  <c r="L745" i="5" s="1"/>
  <c r="G748" i="5"/>
  <c r="L748" i="5" s="1"/>
  <c r="G751" i="5"/>
  <c r="L751" i="5" s="1"/>
  <c r="G754" i="5"/>
  <c r="L754" i="5" s="1"/>
  <c r="G757" i="5"/>
  <c r="L757" i="5" s="1"/>
  <c r="G760" i="5"/>
  <c r="L760" i="5" s="1"/>
  <c r="G763" i="5"/>
  <c r="L763" i="5" s="1"/>
  <c r="G766" i="5"/>
  <c r="L766" i="5" s="1"/>
  <c r="G769" i="5"/>
  <c r="L769" i="5" s="1"/>
  <c r="G772" i="5"/>
  <c r="L772" i="5" s="1"/>
  <c r="G775" i="5"/>
  <c r="L775" i="5" s="1"/>
  <c r="G778" i="5"/>
  <c r="L778" i="5" s="1"/>
  <c r="G781" i="5"/>
  <c r="L781" i="5" s="1"/>
  <c r="G784" i="5"/>
  <c r="L784" i="5" s="1"/>
  <c r="G787" i="5"/>
  <c r="L787" i="5" s="1"/>
  <c r="G790" i="5"/>
  <c r="L790" i="5" s="1"/>
  <c r="G793" i="5"/>
  <c r="L793" i="5" s="1"/>
  <c r="G796" i="5"/>
  <c r="L796" i="5" s="1"/>
  <c r="G799" i="5"/>
  <c r="L799" i="5" s="1"/>
  <c r="G802" i="5"/>
  <c r="L802" i="5" s="1"/>
  <c r="G805" i="5"/>
  <c r="L805" i="5" s="1"/>
  <c r="G808" i="5"/>
  <c r="L808" i="5" s="1"/>
  <c r="G158" i="5"/>
  <c r="L158" i="5" s="1"/>
  <c r="G161" i="5"/>
  <c r="L161" i="5" s="1"/>
  <c r="G164" i="5"/>
  <c r="L164" i="5" s="1"/>
  <c r="G167" i="5"/>
  <c r="L167" i="5" s="1"/>
  <c r="G170" i="5"/>
  <c r="L170" i="5" s="1"/>
  <c r="G173" i="5"/>
  <c r="L173" i="5" s="1"/>
  <c r="G176" i="5"/>
  <c r="L176" i="5" s="1"/>
  <c r="G179" i="5"/>
  <c r="L179" i="5" s="1"/>
  <c r="G182" i="5"/>
  <c r="L182" i="5" s="1"/>
  <c r="G185" i="5"/>
  <c r="L185" i="5" s="1"/>
  <c r="G188" i="5"/>
  <c r="L188" i="5" s="1"/>
  <c r="G191" i="5"/>
  <c r="L191" i="5" s="1"/>
  <c r="G194" i="5"/>
  <c r="L194" i="5" s="1"/>
  <c r="G197" i="5"/>
  <c r="L197" i="5" s="1"/>
  <c r="G200" i="5"/>
  <c r="L200" i="5" s="1"/>
  <c r="G203" i="5"/>
  <c r="L203" i="5" s="1"/>
  <c r="G206" i="5"/>
  <c r="L206" i="5" s="1"/>
  <c r="G209" i="5"/>
  <c r="L209" i="5" s="1"/>
  <c r="G212" i="5"/>
  <c r="L212" i="5" s="1"/>
  <c r="G215" i="5"/>
  <c r="L215" i="5" s="1"/>
  <c r="G218" i="5"/>
  <c r="L218" i="5" s="1"/>
  <c r="G221" i="5"/>
  <c r="L221" i="5" s="1"/>
  <c r="G224" i="5"/>
  <c r="L224" i="5" s="1"/>
  <c r="G227" i="5"/>
  <c r="L227" i="5" s="1"/>
  <c r="G230" i="5"/>
  <c r="L230" i="5" s="1"/>
  <c r="G233" i="5"/>
  <c r="L233" i="5" s="1"/>
  <c r="G236" i="5"/>
  <c r="L236" i="5" s="1"/>
  <c r="G239" i="5"/>
  <c r="L239" i="5" s="1"/>
  <c r="G242" i="5"/>
  <c r="L242" i="5" s="1"/>
  <c r="G245" i="5"/>
  <c r="L245" i="5" s="1"/>
  <c r="G248" i="5"/>
  <c r="L248" i="5" s="1"/>
  <c r="G251" i="5"/>
  <c r="L251" i="5" s="1"/>
  <c r="G254" i="5"/>
  <c r="L254" i="5" s="1"/>
  <c r="G257" i="5"/>
  <c r="L257" i="5" s="1"/>
  <c r="G260" i="5"/>
  <c r="L260" i="5" s="1"/>
  <c r="G263" i="5"/>
  <c r="L263" i="5" s="1"/>
  <c r="G266" i="5"/>
  <c r="L266" i="5" s="1"/>
  <c r="G269" i="5"/>
  <c r="L269" i="5" s="1"/>
  <c r="G272" i="5"/>
  <c r="L272" i="5" s="1"/>
  <c r="G275" i="5"/>
  <c r="L275" i="5" s="1"/>
  <c r="G278" i="5"/>
  <c r="L278" i="5" s="1"/>
  <c r="G281" i="5"/>
  <c r="L281" i="5" s="1"/>
  <c r="G284" i="5"/>
  <c r="L284" i="5" s="1"/>
  <c r="G287" i="5"/>
  <c r="L287" i="5" s="1"/>
  <c r="G290" i="5"/>
  <c r="L290" i="5" s="1"/>
  <c r="G293" i="5"/>
  <c r="L293" i="5" s="1"/>
  <c r="G296" i="5"/>
  <c r="L296" i="5" s="1"/>
  <c r="G299" i="5"/>
  <c r="L299" i="5" s="1"/>
  <c r="G302" i="5"/>
  <c r="L302" i="5" s="1"/>
  <c r="G305" i="5"/>
  <c r="L305" i="5" s="1"/>
  <c r="G308" i="5"/>
  <c r="L308" i="5" s="1"/>
  <c r="G311" i="5"/>
  <c r="L311" i="5" s="1"/>
  <c r="G314" i="5"/>
  <c r="L314" i="5" s="1"/>
  <c r="G317" i="5"/>
  <c r="L317" i="5" s="1"/>
  <c r="G320" i="5"/>
  <c r="L320" i="5" s="1"/>
  <c r="G323" i="5"/>
  <c r="L323" i="5" s="1"/>
  <c r="G326" i="5"/>
  <c r="L326" i="5" s="1"/>
  <c r="G329" i="5"/>
  <c r="L329" i="5" s="1"/>
  <c r="G332" i="5"/>
  <c r="L332" i="5" s="1"/>
  <c r="G335" i="5"/>
  <c r="L335" i="5" s="1"/>
  <c r="G338" i="5"/>
  <c r="L338" i="5" s="1"/>
  <c r="G341" i="5"/>
  <c r="L341" i="5" s="1"/>
  <c r="G344" i="5"/>
  <c r="L344" i="5" s="1"/>
  <c r="G347" i="5"/>
  <c r="L347" i="5" s="1"/>
  <c r="G350" i="5"/>
  <c r="L350" i="5" s="1"/>
  <c r="G353" i="5"/>
  <c r="L353" i="5" s="1"/>
  <c r="G356" i="5"/>
  <c r="L356" i="5" s="1"/>
  <c r="G359" i="5"/>
  <c r="L359" i="5" s="1"/>
  <c r="G362" i="5"/>
  <c r="L362" i="5" s="1"/>
  <c r="G365" i="5"/>
  <c r="L365" i="5" s="1"/>
  <c r="G368" i="5"/>
  <c r="L368" i="5" s="1"/>
  <c r="G371" i="5"/>
  <c r="L371" i="5" s="1"/>
  <c r="G374" i="5"/>
  <c r="L374" i="5" s="1"/>
  <c r="G377" i="5"/>
  <c r="L377" i="5" s="1"/>
  <c r="G380" i="5"/>
  <c r="L380" i="5" s="1"/>
  <c r="G383" i="5"/>
  <c r="L383" i="5" s="1"/>
  <c r="G386" i="5"/>
  <c r="L386" i="5" s="1"/>
  <c r="G389" i="5"/>
  <c r="L389" i="5" s="1"/>
  <c r="G392" i="5"/>
  <c r="L392" i="5" s="1"/>
  <c r="G395" i="5"/>
  <c r="L395" i="5" s="1"/>
  <c r="G398" i="5"/>
  <c r="L398" i="5" s="1"/>
  <c r="G401" i="5"/>
  <c r="L401" i="5" s="1"/>
  <c r="G404" i="5"/>
  <c r="L404" i="5" s="1"/>
  <c r="G407" i="5"/>
  <c r="L407" i="5" s="1"/>
  <c r="G410" i="5"/>
  <c r="L410" i="5" s="1"/>
  <c r="G413" i="5"/>
  <c r="L413" i="5" s="1"/>
  <c r="G416" i="5"/>
  <c r="L416" i="5" s="1"/>
  <c r="G419" i="5"/>
  <c r="L419" i="5" s="1"/>
  <c r="G422" i="5"/>
  <c r="L422" i="5" s="1"/>
  <c r="G425" i="5"/>
  <c r="L425" i="5" s="1"/>
  <c r="G428" i="5"/>
  <c r="L428" i="5" s="1"/>
  <c r="G431" i="5"/>
  <c r="L431" i="5" s="1"/>
  <c r="G434" i="5"/>
  <c r="L434" i="5" s="1"/>
  <c r="G437" i="5"/>
  <c r="L437" i="5" s="1"/>
  <c r="G440" i="5"/>
  <c r="L440" i="5" s="1"/>
  <c r="G443" i="5"/>
  <c r="L443" i="5" s="1"/>
  <c r="G446" i="5"/>
  <c r="L446" i="5" s="1"/>
  <c r="G449" i="5"/>
  <c r="L449" i="5" s="1"/>
  <c r="G452" i="5"/>
  <c r="L452" i="5" s="1"/>
  <c r="G455" i="5"/>
  <c r="L455" i="5" s="1"/>
  <c r="G458" i="5"/>
  <c r="L458" i="5" s="1"/>
  <c r="G461" i="5"/>
  <c r="L461" i="5" s="1"/>
  <c r="G464" i="5"/>
  <c r="L464" i="5" s="1"/>
  <c r="G467" i="5"/>
  <c r="L467" i="5" s="1"/>
  <c r="G470" i="5"/>
  <c r="L470" i="5" s="1"/>
  <c r="G473" i="5"/>
  <c r="L473" i="5" s="1"/>
  <c r="G476" i="5"/>
  <c r="L476" i="5" s="1"/>
  <c r="G479" i="5"/>
  <c r="L479" i="5" s="1"/>
  <c r="G482" i="5"/>
  <c r="L482" i="5" s="1"/>
  <c r="G485" i="5"/>
  <c r="L485" i="5" s="1"/>
  <c r="G488" i="5"/>
  <c r="L488" i="5" s="1"/>
  <c r="G491" i="5"/>
  <c r="L491" i="5" s="1"/>
  <c r="G494" i="5"/>
  <c r="L494" i="5" s="1"/>
  <c r="G497" i="5"/>
  <c r="L497" i="5" s="1"/>
  <c r="G500" i="5"/>
  <c r="L500" i="5" s="1"/>
  <c r="G503" i="5"/>
  <c r="L503" i="5" s="1"/>
  <c r="G506" i="5"/>
  <c r="L506" i="5" s="1"/>
  <c r="G509" i="5"/>
  <c r="L509" i="5" s="1"/>
  <c r="G512" i="5"/>
  <c r="L512" i="5" s="1"/>
  <c r="G515" i="5"/>
  <c r="L515" i="5" s="1"/>
  <c r="G518" i="5"/>
  <c r="L518" i="5" s="1"/>
  <c r="G521" i="5"/>
  <c r="L521" i="5" s="1"/>
  <c r="G524" i="5"/>
  <c r="L524" i="5" s="1"/>
  <c r="G527" i="5"/>
  <c r="L527" i="5" s="1"/>
  <c r="G530" i="5"/>
  <c r="L530" i="5" s="1"/>
  <c r="G533" i="5"/>
  <c r="L533" i="5" s="1"/>
  <c r="G536" i="5"/>
  <c r="L536" i="5" s="1"/>
  <c r="G539" i="5"/>
  <c r="L539" i="5" s="1"/>
  <c r="G542" i="5"/>
  <c r="L542" i="5" s="1"/>
  <c r="G545" i="5"/>
  <c r="L545" i="5" s="1"/>
  <c r="G548" i="5"/>
  <c r="L548" i="5" s="1"/>
  <c r="G551" i="5"/>
  <c r="L551" i="5" s="1"/>
  <c r="G554" i="5"/>
  <c r="L554" i="5" s="1"/>
  <c r="G557" i="5"/>
  <c r="L557" i="5" s="1"/>
  <c r="G560" i="5"/>
  <c r="L560" i="5" s="1"/>
  <c r="G563" i="5"/>
  <c r="L563" i="5" s="1"/>
  <c r="G566" i="5"/>
  <c r="L566" i="5" s="1"/>
  <c r="G569" i="5"/>
  <c r="L569" i="5" s="1"/>
  <c r="G572" i="5"/>
  <c r="L572" i="5" s="1"/>
  <c r="G575" i="5"/>
  <c r="L575" i="5" s="1"/>
  <c r="G578" i="5"/>
  <c r="L578" i="5" s="1"/>
  <c r="G581" i="5"/>
  <c r="L581" i="5" s="1"/>
  <c r="G584" i="5"/>
  <c r="L584" i="5" s="1"/>
  <c r="G587" i="5"/>
  <c r="L587" i="5" s="1"/>
  <c r="G590" i="5"/>
  <c r="L590" i="5" s="1"/>
  <c r="G593" i="5"/>
  <c r="L593" i="5" s="1"/>
  <c r="G596" i="5"/>
  <c r="L596" i="5" s="1"/>
  <c r="G599" i="5"/>
  <c r="L599" i="5" s="1"/>
  <c r="G602" i="5"/>
  <c r="L602" i="5" s="1"/>
  <c r="G605" i="5"/>
  <c r="L605" i="5" s="1"/>
  <c r="G608" i="5"/>
  <c r="L608" i="5" s="1"/>
  <c r="G611" i="5"/>
  <c r="L611" i="5" s="1"/>
  <c r="G614" i="5"/>
  <c r="L614" i="5" s="1"/>
  <c r="G617" i="5"/>
  <c r="L617" i="5" s="1"/>
  <c r="G620" i="5"/>
  <c r="L620" i="5" s="1"/>
  <c r="G623" i="5"/>
  <c r="L623" i="5" s="1"/>
  <c r="G626" i="5"/>
  <c r="L626" i="5" s="1"/>
  <c r="G629" i="5"/>
  <c r="L629" i="5" s="1"/>
  <c r="G632" i="5"/>
  <c r="L632" i="5" s="1"/>
  <c r="G635" i="5"/>
  <c r="L635" i="5" s="1"/>
  <c r="G638" i="5"/>
  <c r="L638" i="5" s="1"/>
  <c r="G641" i="5"/>
  <c r="L641" i="5" s="1"/>
  <c r="G644" i="5"/>
  <c r="L644" i="5" s="1"/>
  <c r="G647" i="5"/>
  <c r="L647" i="5" s="1"/>
  <c r="G650" i="5"/>
  <c r="L650" i="5" s="1"/>
  <c r="G653" i="5"/>
  <c r="L653" i="5" s="1"/>
  <c r="G656" i="5"/>
  <c r="L656" i="5" s="1"/>
  <c r="G659" i="5"/>
  <c r="L659" i="5" s="1"/>
  <c r="G662" i="5"/>
  <c r="L662" i="5" s="1"/>
  <c r="G665" i="5"/>
  <c r="L665" i="5" s="1"/>
  <c r="G668" i="5"/>
  <c r="L668" i="5" s="1"/>
  <c r="G671" i="5"/>
  <c r="L671" i="5" s="1"/>
  <c r="G674" i="5"/>
  <c r="L674" i="5" s="1"/>
  <c r="G677" i="5"/>
  <c r="L677" i="5" s="1"/>
  <c r="G680" i="5"/>
  <c r="L680" i="5" s="1"/>
  <c r="G683" i="5"/>
  <c r="L683" i="5" s="1"/>
  <c r="G686" i="5"/>
  <c r="L686" i="5" s="1"/>
  <c r="G689" i="5"/>
  <c r="L689" i="5" s="1"/>
  <c r="G692" i="5"/>
  <c r="L692" i="5" s="1"/>
  <c r="G695" i="5"/>
  <c r="L695" i="5" s="1"/>
  <c r="G698" i="5"/>
  <c r="L698" i="5" s="1"/>
  <c r="G701" i="5"/>
  <c r="L701" i="5" s="1"/>
  <c r="G704" i="5"/>
  <c r="L704" i="5" s="1"/>
  <c r="G707" i="5"/>
  <c r="L707" i="5" s="1"/>
  <c r="G710" i="5"/>
  <c r="L710" i="5" s="1"/>
  <c r="G713" i="5"/>
  <c r="L713" i="5" s="1"/>
  <c r="G716" i="5"/>
  <c r="L716" i="5" s="1"/>
  <c r="G719" i="5"/>
  <c r="L719" i="5" s="1"/>
  <c r="G722" i="5"/>
  <c r="L722" i="5" s="1"/>
  <c r="G725" i="5"/>
  <c r="L725" i="5" s="1"/>
  <c r="G728" i="5"/>
  <c r="L728" i="5" s="1"/>
  <c r="G731" i="5"/>
  <c r="L731" i="5" s="1"/>
  <c r="G734" i="5"/>
  <c r="L734" i="5" s="1"/>
  <c r="G737" i="5"/>
  <c r="L737" i="5" s="1"/>
  <c r="G740" i="5"/>
  <c r="L740" i="5" s="1"/>
  <c r="G743" i="5"/>
  <c r="L743" i="5" s="1"/>
  <c r="G746" i="5"/>
  <c r="L746" i="5" s="1"/>
  <c r="G749" i="5"/>
  <c r="L749" i="5" s="1"/>
  <c r="G752" i="5"/>
  <c r="L752" i="5" s="1"/>
  <c r="G755" i="5"/>
  <c r="L755" i="5" s="1"/>
  <c r="G758" i="5"/>
  <c r="L758" i="5" s="1"/>
  <c r="G761" i="5"/>
  <c r="L761" i="5" s="1"/>
  <c r="G764" i="5"/>
  <c r="L764" i="5" s="1"/>
  <c r="G767" i="5"/>
  <c r="L767" i="5" s="1"/>
  <c r="G770" i="5"/>
  <c r="L770" i="5" s="1"/>
  <c r="G773" i="5"/>
  <c r="L773" i="5" s="1"/>
  <c r="G776" i="5"/>
  <c r="L776" i="5" s="1"/>
  <c r="G779" i="5"/>
  <c r="L779" i="5" s="1"/>
  <c r="G782" i="5"/>
  <c r="L782" i="5" s="1"/>
  <c r="G785" i="5"/>
  <c r="L785" i="5" s="1"/>
  <c r="G788" i="5"/>
  <c r="L788" i="5" s="1"/>
  <c r="G791" i="5"/>
  <c r="L791" i="5" s="1"/>
  <c r="G794" i="5"/>
  <c r="L794" i="5" s="1"/>
  <c r="G797" i="5"/>
  <c r="L797" i="5" s="1"/>
  <c r="G800" i="5"/>
  <c r="L800" i="5" s="1"/>
  <c r="G803" i="5"/>
  <c r="L803" i="5" s="1"/>
  <c r="G806" i="5"/>
  <c r="L806" i="5" s="1"/>
  <c r="G809" i="5"/>
  <c r="L809" i="5" s="1"/>
  <c r="G812" i="5"/>
  <c r="L812" i="5" s="1"/>
  <c r="G815" i="5"/>
  <c r="L815" i="5" s="1"/>
  <c r="G818" i="5"/>
  <c r="L818" i="5" s="1"/>
  <c r="G821" i="5"/>
  <c r="L821" i="5" s="1"/>
  <c r="G824" i="5"/>
  <c r="L824" i="5" s="1"/>
  <c r="G827" i="5"/>
  <c r="L827" i="5" s="1"/>
  <c r="G830" i="5"/>
  <c r="L830" i="5" s="1"/>
  <c r="G833" i="5"/>
  <c r="L833" i="5" s="1"/>
  <c r="G836" i="5"/>
  <c r="L836" i="5" s="1"/>
  <c r="G839" i="5"/>
  <c r="L839" i="5" s="1"/>
  <c r="G842" i="5"/>
  <c r="L842" i="5" s="1"/>
  <c r="G845" i="5"/>
  <c r="L845" i="5" s="1"/>
  <c r="G848" i="5"/>
  <c r="L848" i="5" s="1"/>
  <c r="G851" i="5"/>
  <c r="L851" i="5" s="1"/>
  <c r="G854" i="5"/>
  <c r="L854" i="5" s="1"/>
  <c r="G857" i="5"/>
  <c r="L857" i="5" s="1"/>
  <c r="G860" i="5"/>
  <c r="L860" i="5" s="1"/>
  <c r="G863" i="5"/>
  <c r="L863" i="5" s="1"/>
  <c r="G866" i="5"/>
  <c r="L866" i="5" s="1"/>
  <c r="G869" i="5"/>
  <c r="L869" i="5" s="1"/>
  <c r="G872" i="5"/>
  <c r="L872" i="5" s="1"/>
  <c r="G875" i="5"/>
  <c r="L875" i="5" s="1"/>
  <c r="G878" i="5"/>
  <c r="L878" i="5" s="1"/>
  <c r="G881" i="5"/>
  <c r="L881" i="5" s="1"/>
  <c r="G884" i="5"/>
  <c r="L884" i="5" s="1"/>
  <c r="G887" i="5"/>
  <c r="L887" i="5" s="1"/>
  <c r="G890" i="5"/>
  <c r="L890" i="5" s="1"/>
  <c r="G893" i="5"/>
  <c r="L893" i="5" s="1"/>
  <c r="G896" i="5"/>
  <c r="L896" i="5" s="1"/>
  <c r="G899" i="5"/>
  <c r="L899" i="5" s="1"/>
  <c r="G902" i="5"/>
  <c r="L902" i="5" s="1"/>
  <c r="G905" i="5"/>
  <c r="L905" i="5" s="1"/>
  <c r="G908" i="5"/>
  <c r="L908" i="5" s="1"/>
  <c r="G911" i="5"/>
  <c r="L911" i="5" s="1"/>
  <c r="G914" i="5"/>
  <c r="L914" i="5" s="1"/>
  <c r="G917" i="5"/>
  <c r="L917" i="5" s="1"/>
  <c r="G920" i="5"/>
  <c r="L920" i="5" s="1"/>
  <c r="G923" i="5"/>
  <c r="L923" i="5" s="1"/>
  <c r="G926" i="5"/>
  <c r="L926" i="5" s="1"/>
  <c r="G929" i="5"/>
  <c r="L929" i="5" s="1"/>
  <c r="G932" i="5"/>
  <c r="L932" i="5" s="1"/>
  <c r="G935" i="5"/>
  <c r="L935" i="5" s="1"/>
  <c r="G938" i="5"/>
  <c r="L938" i="5" s="1"/>
  <c r="G941" i="5"/>
  <c r="L941" i="5" s="1"/>
  <c r="G944" i="5"/>
  <c r="L944" i="5" s="1"/>
  <c r="G947" i="5"/>
  <c r="L947" i="5" s="1"/>
  <c r="G950" i="5"/>
  <c r="L950" i="5" s="1"/>
  <c r="G953" i="5"/>
  <c r="L953" i="5" s="1"/>
  <c r="G956" i="5"/>
  <c r="L956" i="5" s="1"/>
  <c r="G959" i="5"/>
  <c r="L959" i="5" s="1"/>
  <c r="G962" i="5"/>
  <c r="L962" i="5" s="1"/>
  <c r="G965" i="5"/>
  <c r="L965" i="5" s="1"/>
  <c r="G968" i="5"/>
  <c r="L968" i="5" s="1"/>
  <c r="G971" i="5"/>
  <c r="L971" i="5" s="1"/>
  <c r="G974" i="5"/>
  <c r="L974" i="5" s="1"/>
  <c r="G977" i="5"/>
  <c r="L977" i="5" s="1"/>
  <c r="G980" i="5"/>
  <c r="L980" i="5" s="1"/>
  <c r="G983" i="5"/>
  <c r="L983" i="5" s="1"/>
  <c r="G986" i="5"/>
  <c r="L986" i="5" s="1"/>
  <c r="G989" i="5"/>
  <c r="L989" i="5" s="1"/>
  <c r="G992" i="5"/>
  <c r="L992" i="5" s="1"/>
  <c r="G995" i="5"/>
  <c r="L995" i="5" s="1"/>
  <c r="G998" i="5"/>
  <c r="L998" i="5" s="1"/>
  <c r="G1001" i="5"/>
  <c r="L1001" i="5" s="1"/>
  <c r="G1004" i="5"/>
  <c r="L1004" i="5" s="1"/>
  <c r="G1007" i="5"/>
  <c r="L1007" i="5" s="1"/>
  <c r="G1010" i="5"/>
  <c r="L1010" i="5" s="1"/>
  <c r="G1013" i="5"/>
  <c r="L1013" i="5" s="1"/>
  <c r="G1016" i="5"/>
  <c r="L1016" i="5" s="1"/>
  <c r="G1019" i="5"/>
  <c r="L1019" i="5" s="1"/>
  <c r="G1022" i="5"/>
  <c r="L1022" i="5" s="1"/>
  <c r="G1025" i="5"/>
  <c r="L1025" i="5" s="1"/>
  <c r="G1028" i="5"/>
  <c r="L1028" i="5" s="1"/>
  <c r="G1031" i="5"/>
  <c r="L1031" i="5" s="1"/>
  <c r="G1034" i="5"/>
  <c r="L1034" i="5" s="1"/>
  <c r="G1037" i="5"/>
  <c r="L1037" i="5" s="1"/>
  <c r="G1040" i="5"/>
  <c r="L1040" i="5" s="1"/>
  <c r="G1043" i="5"/>
  <c r="L1043" i="5" s="1"/>
  <c r="G1046" i="5"/>
  <c r="L1046" i="5" s="1"/>
  <c r="G1049" i="5"/>
  <c r="L1049" i="5" s="1"/>
  <c r="G1052" i="5"/>
  <c r="L1052" i="5" s="1"/>
  <c r="G1055" i="5"/>
  <c r="L1055" i="5" s="1"/>
  <c r="G1058" i="5"/>
  <c r="L1058" i="5" s="1"/>
  <c r="G1061" i="5"/>
  <c r="L1061" i="5" s="1"/>
  <c r="G1064" i="5"/>
  <c r="L1064" i="5" s="1"/>
  <c r="G1067" i="5"/>
  <c r="L1067" i="5" s="1"/>
  <c r="G1070" i="5"/>
  <c r="L1070" i="5" s="1"/>
  <c r="G1073" i="5"/>
  <c r="L1073" i="5" s="1"/>
  <c r="G1076" i="5"/>
  <c r="L1076" i="5" s="1"/>
  <c r="G1079" i="5"/>
  <c r="L1079" i="5" s="1"/>
  <c r="G1082" i="5"/>
  <c r="L1082" i="5" s="1"/>
  <c r="G1085" i="5"/>
  <c r="L1085" i="5" s="1"/>
  <c r="G1088" i="5"/>
  <c r="L1088" i="5" s="1"/>
  <c r="G1091" i="5"/>
  <c r="L1091" i="5" s="1"/>
  <c r="G1094" i="5"/>
  <c r="L1094" i="5" s="1"/>
  <c r="G1097" i="5"/>
  <c r="L1097" i="5" s="1"/>
  <c r="G1100" i="5"/>
  <c r="L1100" i="5" s="1"/>
  <c r="G1103" i="5"/>
  <c r="L1103" i="5" s="1"/>
  <c r="G1106" i="5"/>
  <c r="L1106" i="5" s="1"/>
  <c r="G1109" i="5"/>
  <c r="L1109" i="5" s="1"/>
  <c r="G1112" i="5"/>
  <c r="L1112" i="5" s="1"/>
  <c r="G1115" i="5"/>
  <c r="L1115" i="5" s="1"/>
  <c r="G1118" i="5"/>
  <c r="L1118" i="5" s="1"/>
  <c r="G1121" i="5"/>
  <c r="L1121" i="5" s="1"/>
  <c r="G1124" i="5"/>
  <c r="L1124" i="5" s="1"/>
  <c r="G1127" i="5"/>
  <c r="L1127" i="5" s="1"/>
  <c r="G1130" i="5"/>
  <c r="L1130" i="5" s="1"/>
  <c r="G1133" i="5"/>
  <c r="L1133" i="5" s="1"/>
  <c r="G1136" i="5"/>
  <c r="L1136" i="5" s="1"/>
  <c r="G1139" i="5"/>
  <c r="L1139" i="5" s="1"/>
  <c r="G1142" i="5"/>
  <c r="L1142" i="5" s="1"/>
  <c r="G1145" i="5"/>
  <c r="L1145" i="5" s="1"/>
  <c r="G1148" i="5"/>
  <c r="L1148" i="5" s="1"/>
  <c r="G1151" i="5"/>
  <c r="L1151" i="5" s="1"/>
  <c r="G1154" i="5"/>
  <c r="L1154" i="5" s="1"/>
  <c r="G1157" i="5"/>
  <c r="L1157" i="5" s="1"/>
  <c r="G1160" i="5"/>
  <c r="L1160" i="5" s="1"/>
  <c r="G1163" i="5"/>
  <c r="L1163" i="5" s="1"/>
  <c r="G1166" i="5"/>
  <c r="L1166" i="5" s="1"/>
  <c r="G1169" i="5"/>
  <c r="L1169" i="5" s="1"/>
  <c r="G1172" i="5"/>
  <c r="L1172" i="5" s="1"/>
  <c r="G1175" i="5"/>
  <c r="L1175" i="5" s="1"/>
  <c r="G1178" i="5"/>
  <c r="L1178" i="5" s="1"/>
  <c r="G1181" i="5"/>
  <c r="L1181" i="5" s="1"/>
  <c r="G1184" i="5"/>
  <c r="L1184" i="5" s="1"/>
  <c r="G1187" i="5"/>
  <c r="L1187" i="5" s="1"/>
  <c r="G1190" i="5"/>
  <c r="L1190" i="5" s="1"/>
  <c r="G1193" i="5"/>
  <c r="L1193" i="5" s="1"/>
  <c r="G1196" i="5"/>
  <c r="L1196" i="5" s="1"/>
  <c r="G1199" i="5"/>
  <c r="L1199" i="5" s="1"/>
  <c r="G1202" i="5"/>
  <c r="L1202" i="5" s="1"/>
  <c r="G1205" i="5"/>
  <c r="L1205" i="5" s="1"/>
  <c r="G1208" i="5"/>
  <c r="L1208" i="5" s="1"/>
  <c r="G1211" i="5"/>
  <c r="L1211" i="5" s="1"/>
  <c r="G1214" i="5"/>
  <c r="L1214" i="5" s="1"/>
  <c r="G1217" i="5"/>
  <c r="L1217" i="5" s="1"/>
  <c r="G1220" i="5"/>
  <c r="L1220" i="5" s="1"/>
  <c r="G1223" i="5"/>
  <c r="L1223" i="5" s="1"/>
  <c r="G1226" i="5"/>
  <c r="L1226" i="5" s="1"/>
  <c r="G1229" i="5"/>
  <c r="L1229" i="5" s="1"/>
  <c r="G1232" i="5"/>
  <c r="L1232" i="5" s="1"/>
  <c r="G1235" i="5"/>
  <c r="L1235" i="5" s="1"/>
  <c r="G1238" i="5"/>
  <c r="L1238" i="5" s="1"/>
  <c r="G1241" i="5"/>
  <c r="L1241" i="5" s="1"/>
  <c r="G1244" i="5"/>
  <c r="L1244" i="5" s="1"/>
  <c r="G1247" i="5"/>
  <c r="L1247" i="5" s="1"/>
  <c r="G1250" i="5"/>
  <c r="L1250" i="5" s="1"/>
  <c r="G1253" i="5"/>
  <c r="L1253" i="5" s="1"/>
  <c r="G1256" i="5"/>
  <c r="L1256" i="5" s="1"/>
  <c r="G1259" i="5"/>
  <c r="L1259" i="5" s="1"/>
  <c r="G1262" i="5"/>
  <c r="L1262" i="5" s="1"/>
  <c r="G1265" i="5"/>
  <c r="L1265" i="5" s="1"/>
  <c r="G1268" i="5"/>
  <c r="L1268" i="5" s="1"/>
  <c r="G1271" i="5"/>
  <c r="L1271" i="5" s="1"/>
  <c r="G1274" i="5"/>
  <c r="L1274" i="5" s="1"/>
  <c r="G1277" i="5"/>
  <c r="L1277" i="5" s="1"/>
  <c r="G1280" i="5"/>
  <c r="L1280" i="5" s="1"/>
  <c r="G1283" i="5"/>
  <c r="L1283" i="5" s="1"/>
  <c r="G1286" i="5"/>
  <c r="L1286" i="5" s="1"/>
  <c r="G1289" i="5"/>
  <c r="L1289" i="5" s="1"/>
  <c r="G1292" i="5"/>
  <c r="L1292" i="5" s="1"/>
  <c r="G1295" i="5"/>
  <c r="L1295" i="5" s="1"/>
  <c r="G1298" i="5"/>
  <c r="L1298" i="5" s="1"/>
  <c r="G1301" i="5"/>
  <c r="L1301" i="5" s="1"/>
  <c r="G1304" i="5"/>
  <c r="L1304" i="5" s="1"/>
  <c r="G1307" i="5"/>
  <c r="L1307" i="5" s="1"/>
  <c r="G1310" i="5"/>
  <c r="L1310" i="5" s="1"/>
  <c r="G1313" i="5"/>
  <c r="L1313" i="5" s="1"/>
  <c r="G1316" i="5"/>
  <c r="L1316" i="5" s="1"/>
  <c r="G1319" i="5"/>
  <c r="L1319" i="5" s="1"/>
  <c r="G1322" i="5"/>
  <c r="L1322" i="5" s="1"/>
  <c r="G1325" i="5"/>
  <c r="L1325" i="5" s="1"/>
  <c r="G1328" i="5"/>
  <c r="L1328" i="5" s="1"/>
  <c r="G1331" i="5"/>
  <c r="L1331" i="5" s="1"/>
  <c r="G1334" i="5"/>
  <c r="L1334" i="5" s="1"/>
  <c r="G1337" i="5"/>
  <c r="L1337" i="5" s="1"/>
  <c r="G1340" i="5"/>
  <c r="L1340" i="5" s="1"/>
  <c r="G1343" i="5"/>
  <c r="L1343" i="5" s="1"/>
  <c r="G1346" i="5"/>
  <c r="L1346" i="5" s="1"/>
  <c r="G1349" i="5"/>
  <c r="L1349" i="5" s="1"/>
  <c r="G1352" i="5"/>
  <c r="L1352" i="5" s="1"/>
  <c r="G1355" i="5"/>
  <c r="L1355" i="5" s="1"/>
  <c r="G1358" i="5"/>
  <c r="L1358" i="5" s="1"/>
  <c r="G1361" i="5"/>
  <c r="L1361" i="5" s="1"/>
  <c r="G1364" i="5"/>
  <c r="L1364" i="5" s="1"/>
  <c r="G1367" i="5"/>
  <c r="L1367" i="5" s="1"/>
  <c r="G1370" i="5"/>
  <c r="L1370" i="5" s="1"/>
  <c r="G1373" i="5"/>
  <c r="L1373" i="5" s="1"/>
  <c r="G1376" i="5"/>
  <c r="L1376" i="5" s="1"/>
  <c r="G1379" i="5"/>
  <c r="L1379" i="5" s="1"/>
  <c r="G1382" i="5"/>
  <c r="L1382" i="5" s="1"/>
  <c r="G1385" i="5"/>
  <c r="L1385" i="5" s="1"/>
  <c r="G1388" i="5"/>
  <c r="L1388" i="5" s="1"/>
  <c r="G1391" i="5"/>
  <c r="L1391" i="5" s="1"/>
  <c r="G1394" i="5"/>
  <c r="L1394" i="5" s="1"/>
  <c r="G1397" i="5"/>
  <c r="L1397" i="5" s="1"/>
  <c r="G1400" i="5"/>
  <c r="L1400" i="5" s="1"/>
  <c r="G1403" i="5"/>
  <c r="L1403" i="5" s="1"/>
  <c r="G1406" i="5"/>
  <c r="L1406" i="5" s="1"/>
  <c r="G1409" i="5"/>
  <c r="L1409" i="5" s="1"/>
  <c r="G1412" i="5"/>
  <c r="L1412" i="5" s="1"/>
  <c r="G1415" i="5"/>
  <c r="L1415" i="5" s="1"/>
  <c r="G1418" i="5"/>
  <c r="L1418" i="5" s="1"/>
  <c r="G1421" i="5"/>
  <c r="L1421" i="5" s="1"/>
  <c r="G1424" i="5"/>
  <c r="L1424" i="5" s="1"/>
  <c r="G1427" i="5"/>
  <c r="L1427" i="5" s="1"/>
  <c r="G1430" i="5"/>
  <c r="L1430" i="5" s="1"/>
  <c r="G1433" i="5"/>
  <c r="L1433" i="5" s="1"/>
  <c r="G1436" i="5"/>
  <c r="L1436" i="5" s="1"/>
  <c r="G1439" i="5"/>
  <c r="L1439" i="5" s="1"/>
  <c r="G1442" i="5"/>
  <c r="L1442" i="5" s="1"/>
  <c r="G1445" i="5"/>
  <c r="L1445" i="5" s="1"/>
  <c r="G1448" i="5"/>
  <c r="L1448" i="5" s="1"/>
  <c r="G1451" i="5"/>
  <c r="L1451" i="5" s="1"/>
  <c r="G1454" i="5"/>
  <c r="L1454" i="5" s="1"/>
  <c r="G1457" i="5"/>
  <c r="L1457" i="5" s="1"/>
  <c r="G1460" i="5"/>
  <c r="L1460" i="5" s="1"/>
  <c r="G1463" i="5"/>
  <c r="L1463" i="5" s="1"/>
  <c r="G1466" i="5"/>
  <c r="L1466" i="5" s="1"/>
  <c r="G1469" i="5"/>
  <c r="L1469" i="5" s="1"/>
  <c r="G1472" i="5"/>
  <c r="L1472" i="5" s="1"/>
  <c r="G1475" i="5"/>
  <c r="L1475" i="5" s="1"/>
  <c r="G1478" i="5"/>
  <c r="L1478" i="5" s="1"/>
  <c r="G1481" i="5"/>
  <c r="L1481" i="5" s="1"/>
  <c r="G1484" i="5"/>
  <c r="L1484" i="5" s="1"/>
  <c r="G1487" i="5"/>
  <c r="L1487" i="5" s="1"/>
  <c r="G1490" i="5"/>
  <c r="L1490" i="5" s="1"/>
  <c r="G1493" i="5"/>
  <c r="L1493" i="5" s="1"/>
  <c r="G1496" i="5"/>
  <c r="L1496" i="5" s="1"/>
  <c r="G1499" i="5"/>
  <c r="L1499" i="5" s="1"/>
  <c r="G1502" i="5"/>
  <c r="L1502" i="5" s="1"/>
  <c r="G1505" i="5"/>
  <c r="L1505" i="5" s="1"/>
  <c r="G1508" i="5"/>
  <c r="L1508" i="5" s="1"/>
  <c r="G1511" i="5"/>
  <c r="L1511" i="5" s="1"/>
  <c r="G1514" i="5"/>
  <c r="L1514" i="5" s="1"/>
  <c r="G1517" i="5"/>
  <c r="L1517" i="5" s="1"/>
  <c r="G1520" i="5"/>
  <c r="L1520" i="5" s="1"/>
  <c r="G1523" i="5"/>
  <c r="L1523" i="5" s="1"/>
  <c r="G1526" i="5"/>
  <c r="L1526" i="5" s="1"/>
  <c r="G1529" i="5"/>
  <c r="L1529" i="5" s="1"/>
  <c r="G1532" i="5"/>
  <c r="L1532" i="5" s="1"/>
  <c r="G1535" i="5"/>
  <c r="L1535" i="5" s="1"/>
  <c r="G1538" i="5"/>
  <c r="L1538" i="5" s="1"/>
  <c r="G1541" i="5"/>
  <c r="L1541" i="5" s="1"/>
  <c r="G1544" i="5"/>
  <c r="L1544" i="5" s="1"/>
  <c r="G1547" i="5"/>
  <c r="L1547" i="5" s="1"/>
  <c r="G1550" i="5"/>
  <c r="L1550" i="5" s="1"/>
  <c r="G1553" i="5"/>
  <c r="L1553" i="5" s="1"/>
  <c r="G1556" i="5"/>
  <c r="L1556" i="5" s="1"/>
  <c r="G1559" i="5"/>
  <c r="L1559" i="5" s="1"/>
  <c r="G1562" i="5"/>
  <c r="L1562" i="5" s="1"/>
  <c r="G1565" i="5"/>
  <c r="L1565" i="5" s="1"/>
  <c r="G1568" i="5"/>
  <c r="L1568" i="5" s="1"/>
  <c r="G1571" i="5"/>
  <c r="L1571" i="5" s="1"/>
  <c r="G1574" i="5"/>
  <c r="L1574" i="5" s="1"/>
  <c r="G1577" i="5"/>
  <c r="L1577" i="5" s="1"/>
  <c r="G1580" i="5"/>
  <c r="L1580" i="5" s="1"/>
  <c r="G1583" i="5"/>
  <c r="L1583" i="5" s="1"/>
  <c r="G1586" i="5"/>
  <c r="L1586" i="5" s="1"/>
  <c r="G1589" i="5"/>
  <c r="L1589" i="5" s="1"/>
  <c r="G1592" i="5"/>
  <c r="L1592" i="5" s="1"/>
  <c r="G1595" i="5"/>
  <c r="L1595" i="5" s="1"/>
  <c r="G1598" i="5"/>
  <c r="L1598" i="5" s="1"/>
  <c r="G1601" i="5"/>
  <c r="L1601" i="5" s="1"/>
  <c r="G1604" i="5"/>
  <c r="L1604" i="5" s="1"/>
  <c r="G1607" i="5"/>
  <c r="L1607" i="5" s="1"/>
  <c r="G1610" i="5"/>
  <c r="L1610" i="5" s="1"/>
  <c r="G1613" i="5"/>
  <c r="L1613" i="5" s="1"/>
  <c r="G1616" i="5"/>
  <c r="L1616" i="5" s="1"/>
  <c r="G1619" i="5"/>
  <c r="L1619" i="5" s="1"/>
  <c r="G1622" i="5"/>
  <c r="L1622" i="5" s="1"/>
  <c r="G1625" i="5"/>
  <c r="L1625" i="5" s="1"/>
  <c r="G1628" i="5"/>
  <c r="L1628" i="5" s="1"/>
  <c r="G1631" i="5"/>
  <c r="L1631" i="5" s="1"/>
  <c r="G1634" i="5"/>
  <c r="L1634" i="5" s="1"/>
  <c r="G1637" i="5"/>
  <c r="L1637" i="5" s="1"/>
  <c r="G1640" i="5"/>
  <c r="L1640" i="5" s="1"/>
  <c r="G1643" i="5"/>
  <c r="L1643" i="5" s="1"/>
  <c r="G1646" i="5"/>
  <c r="L1646" i="5" s="1"/>
  <c r="G1649" i="5"/>
  <c r="L1649" i="5" s="1"/>
  <c r="G1652" i="5"/>
  <c r="L1652" i="5" s="1"/>
  <c r="G1655" i="5"/>
  <c r="L1655" i="5" s="1"/>
  <c r="G1658" i="5"/>
  <c r="L1658" i="5" s="1"/>
  <c r="G1661" i="5"/>
  <c r="L1661" i="5" s="1"/>
  <c r="G1664" i="5"/>
  <c r="L1664" i="5" s="1"/>
  <c r="G1667" i="5"/>
  <c r="L1667" i="5" s="1"/>
  <c r="G1670" i="5"/>
  <c r="L1670" i="5" s="1"/>
  <c r="G1673" i="5"/>
  <c r="L1673" i="5" s="1"/>
  <c r="G1676" i="5"/>
  <c r="L1676" i="5" s="1"/>
  <c r="G1679" i="5"/>
  <c r="L1679" i="5" s="1"/>
  <c r="G1682" i="5"/>
  <c r="L1682" i="5" s="1"/>
  <c r="G1685" i="5"/>
  <c r="L1685" i="5" s="1"/>
  <c r="G876" i="5"/>
  <c r="L876" i="5" s="1"/>
  <c r="G984" i="5"/>
  <c r="L984" i="5" s="1"/>
  <c r="G987" i="5"/>
  <c r="L987" i="5" s="1"/>
  <c r="G990" i="5"/>
  <c r="L990" i="5" s="1"/>
  <c r="G993" i="5"/>
  <c r="L993" i="5" s="1"/>
  <c r="G996" i="5"/>
  <c r="L996" i="5" s="1"/>
  <c r="G999" i="5"/>
  <c r="L999" i="5" s="1"/>
  <c r="G1002" i="5"/>
  <c r="L1002" i="5" s="1"/>
  <c r="G1005" i="5"/>
  <c r="L1005" i="5" s="1"/>
  <c r="G1008" i="5"/>
  <c r="L1008" i="5" s="1"/>
  <c r="G1011" i="5"/>
  <c r="L1011" i="5" s="1"/>
  <c r="G1014" i="5"/>
  <c r="L1014" i="5" s="1"/>
  <c r="G1017" i="5"/>
  <c r="L1017" i="5" s="1"/>
  <c r="G1020" i="5"/>
  <c r="L1020" i="5" s="1"/>
  <c r="G1023" i="5"/>
  <c r="L1023" i="5" s="1"/>
  <c r="G1026" i="5"/>
  <c r="L1026" i="5" s="1"/>
  <c r="G1029" i="5"/>
  <c r="L1029" i="5" s="1"/>
  <c r="G1032" i="5"/>
  <c r="L1032" i="5" s="1"/>
  <c r="G1035" i="5"/>
  <c r="L1035" i="5" s="1"/>
  <c r="G1038" i="5"/>
  <c r="L1038" i="5" s="1"/>
  <c r="G1041" i="5"/>
  <c r="L1041" i="5" s="1"/>
  <c r="G1044" i="5"/>
  <c r="L1044" i="5" s="1"/>
  <c r="G1047" i="5"/>
  <c r="L1047" i="5" s="1"/>
  <c r="G1050" i="5"/>
  <c r="L1050" i="5" s="1"/>
  <c r="G1053" i="5"/>
  <c r="L1053" i="5" s="1"/>
  <c r="G1056" i="5"/>
  <c r="L1056" i="5" s="1"/>
  <c r="G1059" i="5"/>
  <c r="L1059" i="5" s="1"/>
  <c r="G1062" i="5"/>
  <c r="L1062" i="5" s="1"/>
  <c r="G1065" i="5"/>
  <c r="L1065" i="5" s="1"/>
  <c r="G1068" i="5"/>
  <c r="L1068" i="5" s="1"/>
  <c r="G1071" i="5"/>
  <c r="L1071" i="5" s="1"/>
  <c r="G1074" i="5"/>
  <c r="L1074" i="5" s="1"/>
  <c r="G1077" i="5"/>
  <c r="L1077" i="5" s="1"/>
  <c r="G1080" i="5"/>
  <c r="L1080" i="5" s="1"/>
  <c r="G1083" i="5"/>
  <c r="L1083" i="5" s="1"/>
  <c r="G1086" i="5"/>
  <c r="L1086" i="5" s="1"/>
  <c r="G1089" i="5"/>
  <c r="L1089" i="5" s="1"/>
  <c r="G1092" i="5"/>
  <c r="L1092" i="5" s="1"/>
  <c r="G1095" i="5"/>
  <c r="L1095" i="5" s="1"/>
  <c r="G1098" i="5"/>
  <c r="L1098" i="5" s="1"/>
  <c r="G1101" i="5"/>
  <c r="L1101" i="5" s="1"/>
  <c r="G1104" i="5"/>
  <c r="L1104" i="5" s="1"/>
  <c r="G1107" i="5"/>
  <c r="L1107" i="5" s="1"/>
  <c r="G1110" i="5"/>
  <c r="L1110" i="5" s="1"/>
  <c r="G1113" i="5"/>
  <c r="L1113" i="5" s="1"/>
  <c r="G1116" i="5"/>
  <c r="L1116" i="5" s="1"/>
  <c r="G1119" i="5"/>
  <c r="L1119" i="5" s="1"/>
  <c r="G1122" i="5"/>
  <c r="L1122" i="5" s="1"/>
  <c r="G1125" i="5"/>
  <c r="L1125" i="5" s="1"/>
  <c r="G1128" i="5"/>
  <c r="L1128" i="5" s="1"/>
  <c r="G1131" i="5"/>
  <c r="L1131" i="5" s="1"/>
  <c r="G1134" i="5"/>
  <c r="L1134" i="5" s="1"/>
  <c r="G1137" i="5"/>
  <c r="L1137" i="5" s="1"/>
  <c r="G1140" i="5"/>
  <c r="L1140" i="5" s="1"/>
  <c r="G1143" i="5"/>
  <c r="L1143" i="5" s="1"/>
  <c r="G1146" i="5"/>
  <c r="L1146" i="5" s="1"/>
  <c r="G1149" i="5"/>
  <c r="L1149" i="5" s="1"/>
  <c r="G1152" i="5"/>
  <c r="L1152" i="5" s="1"/>
  <c r="G1155" i="5"/>
  <c r="L1155" i="5" s="1"/>
  <c r="G1158" i="5"/>
  <c r="L1158" i="5" s="1"/>
  <c r="G1161" i="5"/>
  <c r="L1161" i="5" s="1"/>
  <c r="G1164" i="5"/>
  <c r="L1164" i="5" s="1"/>
  <c r="G1167" i="5"/>
  <c r="L1167" i="5" s="1"/>
  <c r="G1170" i="5"/>
  <c r="L1170" i="5" s="1"/>
  <c r="G1173" i="5"/>
  <c r="L1173" i="5" s="1"/>
  <c r="G1176" i="5"/>
  <c r="L1176" i="5" s="1"/>
  <c r="G1179" i="5"/>
  <c r="L1179" i="5" s="1"/>
  <c r="G1182" i="5"/>
  <c r="L1182" i="5" s="1"/>
  <c r="G1185" i="5"/>
  <c r="L1185" i="5" s="1"/>
  <c r="G1188" i="5"/>
  <c r="L1188" i="5" s="1"/>
  <c r="G1191" i="5"/>
  <c r="L1191" i="5" s="1"/>
  <c r="G1194" i="5"/>
  <c r="L1194" i="5" s="1"/>
  <c r="G1197" i="5"/>
  <c r="L1197" i="5" s="1"/>
  <c r="G1200" i="5"/>
  <c r="L1200" i="5" s="1"/>
  <c r="G1203" i="5"/>
  <c r="L1203" i="5" s="1"/>
  <c r="G1206" i="5"/>
  <c r="L1206" i="5" s="1"/>
  <c r="G1209" i="5"/>
  <c r="L1209" i="5" s="1"/>
  <c r="G1212" i="5"/>
  <c r="L1212" i="5" s="1"/>
  <c r="G1215" i="5"/>
  <c r="L1215" i="5" s="1"/>
  <c r="G1218" i="5"/>
  <c r="L1218" i="5" s="1"/>
  <c r="G1221" i="5"/>
  <c r="L1221" i="5" s="1"/>
  <c r="G1224" i="5"/>
  <c r="L1224" i="5" s="1"/>
  <c r="G1227" i="5"/>
  <c r="L1227" i="5" s="1"/>
  <c r="G1230" i="5"/>
  <c r="L1230" i="5" s="1"/>
  <c r="G1233" i="5"/>
  <c r="L1233" i="5" s="1"/>
  <c r="G1236" i="5"/>
  <c r="L1236" i="5" s="1"/>
  <c r="G1239" i="5"/>
  <c r="L1239" i="5" s="1"/>
  <c r="G1242" i="5"/>
  <c r="L1242" i="5" s="1"/>
  <c r="G1245" i="5"/>
  <c r="L1245" i="5" s="1"/>
  <c r="G1248" i="5"/>
  <c r="L1248" i="5" s="1"/>
  <c r="G1251" i="5"/>
  <c r="L1251" i="5" s="1"/>
  <c r="G1254" i="5"/>
  <c r="L1254" i="5" s="1"/>
  <c r="G1257" i="5"/>
  <c r="L1257" i="5" s="1"/>
  <c r="G1260" i="5"/>
  <c r="L1260" i="5" s="1"/>
  <c r="G1263" i="5"/>
  <c r="L1263" i="5" s="1"/>
  <c r="G1266" i="5"/>
  <c r="L1266" i="5" s="1"/>
  <c r="G1269" i="5"/>
  <c r="L1269" i="5" s="1"/>
  <c r="G1272" i="5"/>
  <c r="L1272" i="5" s="1"/>
  <c r="G1275" i="5"/>
  <c r="L1275" i="5" s="1"/>
  <c r="G1278" i="5"/>
  <c r="L1278" i="5" s="1"/>
  <c r="G1281" i="5"/>
  <c r="L1281" i="5" s="1"/>
  <c r="G1284" i="5"/>
  <c r="L1284" i="5" s="1"/>
  <c r="G1287" i="5"/>
  <c r="L1287" i="5" s="1"/>
  <c r="G1290" i="5"/>
  <c r="L1290" i="5" s="1"/>
  <c r="G1293" i="5"/>
  <c r="L1293" i="5" s="1"/>
  <c r="G1296" i="5"/>
  <c r="L1296" i="5" s="1"/>
  <c r="G1299" i="5"/>
  <c r="L1299" i="5" s="1"/>
  <c r="G1302" i="5"/>
  <c r="L1302" i="5" s="1"/>
  <c r="G1305" i="5"/>
  <c r="L1305" i="5" s="1"/>
  <c r="G1308" i="5"/>
  <c r="L1308" i="5" s="1"/>
  <c r="G1311" i="5"/>
  <c r="L1311" i="5" s="1"/>
  <c r="G1314" i="5"/>
  <c r="L1314" i="5" s="1"/>
  <c r="G1317" i="5"/>
  <c r="L1317" i="5" s="1"/>
  <c r="G1320" i="5"/>
  <c r="L1320" i="5" s="1"/>
  <c r="G1323" i="5"/>
  <c r="L1323" i="5" s="1"/>
  <c r="G1326" i="5"/>
  <c r="L1326" i="5" s="1"/>
  <c r="G1329" i="5"/>
  <c r="L1329" i="5" s="1"/>
  <c r="G1332" i="5"/>
  <c r="L1332" i="5" s="1"/>
  <c r="G1335" i="5"/>
  <c r="L1335" i="5" s="1"/>
  <c r="G1338" i="5"/>
  <c r="L1338" i="5" s="1"/>
  <c r="G1341" i="5"/>
  <c r="L1341" i="5" s="1"/>
  <c r="G1344" i="5"/>
  <c r="L1344" i="5" s="1"/>
  <c r="G1347" i="5"/>
  <c r="L1347" i="5" s="1"/>
  <c r="G1350" i="5"/>
  <c r="L1350" i="5" s="1"/>
  <c r="G1353" i="5"/>
  <c r="L1353" i="5" s="1"/>
  <c r="G1356" i="5"/>
  <c r="L1356" i="5" s="1"/>
  <c r="G1359" i="5"/>
  <c r="L1359" i="5" s="1"/>
  <c r="G1362" i="5"/>
  <c r="L1362" i="5" s="1"/>
  <c r="G1365" i="5"/>
  <c r="L1365" i="5" s="1"/>
  <c r="G1368" i="5"/>
  <c r="L1368" i="5" s="1"/>
  <c r="G1371" i="5"/>
  <c r="L1371" i="5" s="1"/>
  <c r="G1374" i="5"/>
  <c r="L1374" i="5" s="1"/>
  <c r="G1377" i="5"/>
  <c r="L1377" i="5" s="1"/>
  <c r="G1380" i="5"/>
  <c r="L1380" i="5" s="1"/>
  <c r="G1383" i="5"/>
  <c r="L1383" i="5" s="1"/>
  <c r="G1386" i="5"/>
  <c r="L1386" i="5" s="1"/>
  <c r="G1389" i="5"/>
  <c r="L1389" i="5" s="1"/>
  <c r="G1392" i="5"/>
  <c r="L1392" i="5" s="1"/>
  <c r="G1395" i="5"/>
  <c r="L1395" i="5" s="1"/>
  <c r="G1398" i="5"/>
  <c r="L1398" i="5" s="1"/>
  <c r="G1401" i="5"/>
  <c r="L1401" i="5" s="1"/>
  <c r="G1404" i="5"/>
  <c r="L1404" i="5" s="1"/>
  <c r="G1407" i="5"/>
  <c r="L1407" i="5" s="1"/>
  <c r="G1410" i="5"/>
  <c r="L1410" i="5" s="1"/>
  <c r="G1413" i="5"/>
  <c r="L1413" i="5" s="1"/>
  <c r="G1416" i="5"/>
  <c r="L1416" i="5" s="1"/>
  <c r="G1419" i="5"/>
  <c r="L1419" i="5" s="1"/>
  <c r="G1422" i="5"/>
  <c r="L1422" i="5" s="1"/>
  <c r="G1425" i="5"/>
  <c r="L1425" i="5" s="1"/>
  <c r="G1428" i="5"/>
  <c r="L1428" i="5" s="1"/>
  <c r="G1431" i="5"/>
  <c r="L1431" i="5" s="1"/>
  <c r="G1434" i="5"/>
  <c r="L1434" i="5" s="1"/>
  <c r="G1437" i="5"/>
  <c r="L1437" i="5" s="1"/>
  <c r="G1440" i="5"/>
  <c r="L1440" i="5" s="1"/>
  <c r="G1443" i="5"/>
  <c r="L1443" i="5" s="1"/>
  <c r="G1446" i="5"/>
  <c r="L1446" i="5" s="1"/>
  <c r="G1449" i="5"/>
  <c r="L1449" i="5" s="1"/>
  <c r="G1452" i="5"/>
  <c r="L1452" i="5" s="1"/>
  <c r="G1455" i="5"/>
  <c r="L1455" i="5" s="1"/>
  <c r="G1458" i="5"/>
  <c r="L1458" i="5" s="1"/>
  <c r="G1461" i="5"/>
  <c r="L1461" i="5" s="1"/>
  <c r="G1464" i="5"/>
  <c r="L1464" i="5" s="1"/>
  <c r="G1467" i="5"/>
  <c r="L1467" i="5" s="1"/>
  <c r="G1470" i="5"/>
  <c r="L1470" i="5" s="1"/>
  <c r="G1473" i="5"/>
  <c r="L1473" i="5" s="1"/>
  <c r="G1476" i="5"/>
  <c r="L1476" i="5" s="1"/>
  <c r="G1479" i="5"/>
  <c r="L1479" i="5" s="1"/>
  <c r="G1482" i="5"/>
  <c r="L1482" i="5" s="1"/>
  <c r="G1485" i="5"/>
  <c r="L1485" i="5" s="1"/>
  <c r="G1488" i="5"/>
  <c r="L1488" i="5" s="1"/>
  <c r="G1491" i="5"/>
  <c r="L1491" i="5" s="1"/>
  <c r="L15" i="5"/>
  <c r="L18" i="5"/>
  <c r="G874" i="5"/>
  <c r="L874" i="5" s="1"/>
  <c r="G877" i="5"/>
  <c r="L877" i="5" s="1"/>
  <c r="G880" i="5"/>
  <c r="L880" i="5" s="1"/>
  <c r="G883" i="5"/>
  <c r="L883" i="5" s="1"/>
  <c r="G886" i="5"/>
  <c r="L886" i="5" s="1"/>
  <c r="G889" i="5"/>
  <c r="L889" i="5" s="1"/>
  <c r="G892" i="5"/>
  <c r="L892" i="5" s="1"/>
  <c r="G895" i="5"/>
  <c r="L895" i="5" s="1"/>
  <c r="G898" i="5"/>
  <c r="L898" i="5" s="1"/>
  <c r="G901" i="5"/>
  <c r="L901" i="5" s="1"/>
  <c r="G904" i="5"/>
  <c r="L904" i="5" s="1"/>
  <c r="G907" i="5"/>
  <c r="L907" i="5" s="1"/>
  <c r="G910" i="5"/>
  <c r="L910" i="5" s="1"/>
  <c r="G913" i="5"/>
  <c r="L913" i="5" s="1"/>
  <c r="G916" i="5"/>
  <c r="L916" i="5" s="1"/>
  <c r="G919" i="5"/>
  <c r="L919" i="5" s="1"/>
  <c r="G922" i="5"/>
  <c r="L922" i="5" s="1"/>
  <c r="G925" i="5"/>
  <c r="L925" i="5" s="1"/>
  <c r="G928" i="5"/>
  <c r="L928" i="5" s="1"/>
  <c r="G931" i="5"/>
  <c r="L931" i="5" s="1"/>
  <c r="G934" i="5"/>
  <c r="L934" i="5" s="1"/>
  <c r="G937" i="5"/>
  <c r="L937" i="5" s="1"/>
  <c r="G940" i="5"/>
  <c r="L940" i="5" s="1"/>
  <c r="G943" i="5"/>
  <c r="L943" i="5" s="1"/>
  <c r="G946" i="5"/>
  <c r="L946" i="5" s="1"/>
  <c r="G949" i="5"/>
  <c r="L949" i="5" s="1"/>
  <c r="G952" i="5"/>
  <c r="L952" i="5" s="1"/>
  <c r="G955" i="5"/>
  <c r="L955" i="5" s="1"/>
  <c r="G958" i="5"/>
  <c r="L958" i="5" s="1"/>
  <c r="G961" i="5"/>
  <c r="L961" i="5" s="1"/>
  <c r="G964" i="5"/>
  <c r="L964" i="5" s="1"/>
  <c r="G967" i="5"/>
  <c r="L967" i="5" s="1"/>
  <c r="G970" i="5"/>
  <c r="L970" i="5" s="1"/>
  <c r="G973" i="5"/>
  <c r="L973" i="5" s="1"/>
  <c r="G976" i="5"/>
  <c r="L976" i="5" s="1"/>
  <c r="G979" i="5"/>
  <c r="L979" i="5" s="1"/>
  <c r="G982" i="5"/>
  <c r="L982" i="5" s="1"/>
  <c r="G985" i="5"/>
  <c r="L985" i="5" s="1"/>
  <c r="G988" i="5"/>
  <c r="L988" i="5" s="1"/>
  <c r="G991" i="5"/>
  <c r="L991" i="5" s="1"/>
  <c r="G994" i="5"/>
  <c r="L994" i="5" s="1"/>
  <c r="G997" i="5"/>
  <c r="L997" i="5" s="1"/>
  <c r="G1000" i="5"/>
  <c r="L1000" i="5" s="1"/>
  <c r="G1003" i="5"/>
  <c r="L1003" i="5" s="1"/>
  <c r="G1006" i="5"/>
  <c r="L1006" i="5" s="1"/>
  <c r="G1009" i="5"/>
  <c r="L1009" i="5" s="1"/>
  <c r="G1012" i="5"/>
  <c r="L1012" i="5" s="1"/>
  <c r="G1015" i="5"/>
  <c r="L1015" i="5" s="1"/>
  <c r="G1018" i="5"/>
  <c r="L1018" i="5" s="1"/>
  <c r="G1021" i="5"/>
  <c r="L1021" i="5" s="1"/>
  <c r="G1024" i="5"/>
  <c r="L1024" i="5" s="1"/>
  <c r="G1027" i="5"/>
  <c r="L1027" i="5" s="1"/>
  <c r="G1030" i="5"/>
  <c r="L1030" i="5" s="1"/>
  <c r="G1033" i="5"/>
  <c r="L1033" i="5" s="1"/>
  <c r="G1036" i="5"/>
  <c r="L1036" i="5" s="1"/>
  <c r="G1039" i="5"/>
  <c r="L1039" i="5" s="1"/>
  <c r="G1042" i="5"/>
  <c r="L1042" i="5" s="1"/>
  <c r="G1045" i="5"/>
  <c r="L1045" i="5" s="1"/>
  <c r="G1048" i="5"/>
  <c r="L1048" i="5" s="1"/>
  <c r="G1051" i="5"/>
  <c r="L1051" i="5" s="1"/>
  <c r="G1054" i="5"/>
  <c r="L1054" i="5" s="1"/>
  <c r="G1057" i="5"/>
  <c r="L1057" i="5" s="1"/>
  <c r="G1060" i="5"/>
  <c r="L1060" i="5" s="1"/>
  <c r="G1063" i="5"/>
  <c r="L1063" i="5" s="1"/>
  <c r="G1066" i="5"/>
  <c r="L1066" i="5" s="1"/>
  <c r="G1069" i="5"/>
  <c r="L1069" i="5" s="1"/>
  <c r="G1072" i="5"/>
  <c r="L1072" i="5" s="1"/>
  <c r="G1075" i="5"/>
  <c r="L1075" i="5" s="1"/>
  <c r="G1078" i="5"/>
  <c r="L1078" i="5" s="1"/>
  <c r="G1081" i="5"/>
  <c r="L1081" i="5" s="1"/>
  <c r="G1084" i="5"/>
  <c r="L1084" i="5" s="1"/>
  <c r="G1087" i="5"/>
  <c r="L1087" i="5" s="1"/>
  <c r="G1090" i="5"/>
  <c r="L1090" i="5" s="1"/>
  <c r="G1093" i="5"/>
  <c r="L1093" i="5" s="1"/>
  <c r="G1096" i="5"/>
  <c r="L1096" i="5" s="1"/>
  <c r="G1099" i="5"/>
  <c r="L1099" i="5" s="1"/>
  <c r="G1102" i="5"/>
  <c r="L1102" i="5" s="1"/>
  <c r="G1105" i="5"/>
  <c r="L1105" i="5" s="1"/>
  <c r="G1108" i="5"/>
  <c r="L1108" i="5" s="1"/>
  <c r="G1111" i="5"/>
  <c r="L1111" i="5" s="1"/>
  <c r="G1114" i="5"/>
  <c r="L1114" i="5" s="1"/>
  <c r="G1117" i="5"/>
  <c r="L1117" i="5" s="1"/>
  <c r="G1120" i="5"/>
  <c r="L1120" i="5" s="1"/>
  <c r="G1123" i="5"/>
  <c r="L1123" i="5" s="1"/>
  <c r="G1126" i="5"/>
  <c r="L1126" i="5" s="1"/>
  <c r="G1129" i="5"/>
  <c r="L1129" i="5" s="1"/>
  <c r="G1132" i="5"/>
  <c r="L1132" i="5" s="1"/>
  <c r="G1135" i="5"/>
  <c r="L1135" i="5" s="1"/>
  <c r="G1138" i="5"/>
  <c r="L1138" i="5" s="1"/>
  <c r="G1141" i="5"/>
  <c r="L1141" i="5" s="1"/>
  <c r="G1144" i="5"/>
  <c r="L1144" i="5" s="1"/>
  <c r="G1147" i="5"/>
  <c r="L1147" i="5" s="1"/>
  <c r="G1150" i="5"/>
  <c r="L1150" i="5" s="1"/>
  <c r="G1153" i="5"/>
  <c r="L1153" i="5" s="1"/>
  <c r="G1156" i="5"/>
  <c r="L1156" i="5" s="1"/>
  <c r="G1159" i="5"/>
  <c r="L1159" i="5" s="1"/>
  <c r="G1162" i="5"/>
  <c r="L1162" i="5" s="1"/>
  <c r="G1165" i="5"/>
  <c r="L1165" i="5" s="1"/>
  <c r="G1168" i="5"/>
  <c r="L1168" i="5" s="1"/>
  <c r="G1171" i="5"/>
  <c r="L1171" i="5" s="1"/>
  <c r="G1174" i="5"/>
  <c r="L1174" i="5" s="1"/>
  <c r="G1177" i="5"/>
  <c r="L1177" i="5" s="1"/>
  <c r="G1180" i="5"/>
  <c r="L1180" i="5" s="1"/>
  <c r="G1183" i="5"/>
  <c r="L1183" i="5" s="1"/>
  <c r="G1186" i="5"/>
  <c r="L1186" i="5" s="1"/>
  <c r="G1189" i="5"/>
  <c r="L1189" i="5" s="1"/>
  <c r="G1192" i="5"/>
  <c r="L1192" i="5" s="1"/>
  <c r="G1195" i="5"/>
  <c r="L1195" i="5" s="1"/>
  <c r="G1198" i="5"/>
  <c r="L1198" i="5" s="1"/>
  <c r="G1201" i="5"/>
  <c r="L1201" i="5" s="1"/>
  <c r="G1204" i="5"/>
  <c r="L1204" i="5" s="1"/>
  <c r="G1207" i="5"/>
  <c r="L1207" i="5" s="1"/>
  <c r="G1210" i="5"/>
  <c r="L1210" i="5" s="1"/>
  <c r="G1213" i="5"/>
  <c r="L1213" i="5" s="1"/>
  <c r="G1216" i="5"/>
  <c r="L1216" i="5" s="1"/>
  <c r="G1219" i="5"/>
  <c r="L1219" i="5" s="1"/>
  <c r="G1222" i="5"/>
  <c r="L1222" i="5" s="1"/>
  <c r="G1225" i="5"/>
  <c r="L1225" i="5" s="1"/>
  <c r="G1228" i="5"/>
  <c r="L1228" i="5" s="1"/>
  <c r="G1231" i="5"/>
  <c r="L1231" i="5" s="1"/>
  <c r="G1234" i="5"/>
  <c r="L1234" i="5" s="1"/>
  <c r="G1237" i="5"/>
  <c r="L1237" i="5" s="1"/>
  <c r="G1240" i="5"/>
  <c r="L1240" i="5" s="1"/>
  <c r="G1243" i="5"/>
  <c r="L1243" i="5" s="1"/>
  <c r="G1246" i="5"/>
  <c r="L1246" i="5" s="1"/>
  <c r="G1249" i="5"/>
  <c r="L1249" i="5" s="1"/>
  <c r="G1252" i="5"/>
  <c r="L1252" i="5" s="1"/>
  <c r="G1255" i="5"/>
  <c r="L1255" i="5" s="1"/>
  <c r="G1258" i="5"/>
  <c r="L1258" i="5" s="1"/>
  <c r="G1261" i="5"/>
  <c r="L1261" i="5" s="1"/>
  <c r="G1264" i="5"/>
  <c r="L1264" i="5" s="1"/>
  <c r="G1267" i="5"/>
  <c r="L1267" i="5" s="1"/>
  <c r="G1270" i="5"/>
  <c r="L1270" i="5" s="1"/>
  <c r="G1273" i="5"/>
  <c r="L1273" i="5" s="1"/>
  <c r="G1276" i="5"/>
  <c r="L1276" i="5" s="1"/>
  <c r="G1279" i="5"/>
  <c r="L1279" i="5" s="1"/>
  <c r="G1282" i="5"/>
  <c r="L1282" i="5" s="1"/>
  <c r="G1285" i="5"/>
  <c r="L1285" i="5" s="1"/>
  <c r="G1288" i="5"/>
  <c r="L1288" i="5" s="1"/>
  <c r="G1291" i="5"/>
  <c r="L1291" i="5" s="1"/>
  <c r="G1294" i="5"/>
  <c r="L1294" i="5" s="1"/>
  <c r="G1297" i="5"/>
  <c r="L1297" i="5" s="1"/>
  <c r="G1300" i="5"/>
  <c r="L1300" i="5" s="1"/>
  <c r="G1303" i="5"/>
  <c r="L1303" i="5" s="1"/>
  <c r="G1306" i="5"/>
  <c r="L1306" i="5" s="1"/>
  <c r="G1309" i="5"/>
  <c r="L1309" i="5" s="1"/>
  <c r="G1312" i="5"/>
  <c r="L1312" i="5" s="1"/>
  <c r="G1315" i="5"/>
  <c r="L1315" i="5" s="1"/>
  <c r="G1318" i="5"/>
  <c r="L1318" i="5" s="1"/>
  <c r="G1321" i="5"/>
  <c r="L1321" i="5" s="1"/>
  <c r="G1324" i="5"/>
  <c r="L1324" i="5" s="1"/>
  <c r="G1327" i="5"/>
  <c r="L1327" i="5" s="1"/>
  <c r="G1330" i="5"/>
  <c r="L1330" i="5" s="1"/>
  <c r="G1333" i="5"/>
  <c r="L1333" i="5" s="1"/>
  <c r="G1336" i="5"/>
  <c r="L1336" i="5" s="1"/>
  <c r="G1339" i="5"/>
  <c r="L1339" i="5" s="1"/>
  <c r="G1342" i="5"/>
  <c r="L1342" i="5" s="1"/>
  <c r="G1345" i="5"/>
  <c r="L1345" i="5" s="1"/>
  <c r="G1348" i="5"/>
  <c r="L1348" i="5" s="1"/>
  <c r="G1351" i="5"/>
  <c r="L1351" i="5" s="1"/>
  <c r="G1354" i="5"/>
  <c r="L1354" i="5" s="1"/>
  <c r="G1357" i="5"/>
  <c r="L1357" i="5" s="1"/>
  <c r="G1360" i="5"/>
  <c r="L1360" i="5" s="1"/>
  <c r="G1363" i="5"/>
  <c r="L1363" i="5" s="1"/>
  <c r="G1366" i="5"/>
  <c r="L1366" i="5" s="1"/>
  <c r="G1369" i="5"/>
  <c r="L1369" i="5" s="1"/>
  <c r="G1372" i="5"/>
  <c r="L1372" i="5" s="1"/>
  <c r="G1375" i="5"/>
  <c r="L1375" i="5" s="1"/>
  <c r="G1378" i="5"/>
  <c r="L1378" i="5" s="1"/>
  <c r="G1381" i="5"/>
  <c r="L1381" i="5" s="1"/>
  <c r="G1735" i="5"/>
  <c r="L1735" i="5" s="1"/>
  <c r="G1738" i="5"/>
  <c r="L1738" i="5" s="1"/>
  <c r="G1741" i="5"/>
  <c r="L1741" i="5" s="1"/>
  <c r="G1744" i="5"/>
  <c r="L1744" i="5" s="1"/>
  <c r="G1747" i="5"/>
  <c r="L1747" i="5" s="1"/>
  <c r="G1750" i="5"/>
  <c r="L1750" i="5" s="1"/>
  <c r="G1753" i="5"/>
  <c r="L1753" i="5" s="1"/>
  <c r="G1756" i="5"/>
  <c r="L1756" i="5" s="1"/>
  <c r="G1759" i="5"/>
  <c r="L1759" i="5" s="1"/>
  <c r="G1762" i="5"/>
  <c r="L1762" i="5" s="1"/>
  <c r="G1765" i="5"/>
  <c r="L1765" i="5" s="1"/>
  <c r="G1768" i="5"/>
  <c r="L1768" i="5" s="1"/>
  <c r="G1771" i="5"/>
  <c r="L1771" i="5" s="1"/>
  <c r="G1774" i="5"/>
  <c r="L1774" i="5" s="1"/>
  <c r="G1777" i="5"/>
  <c r="L1777" i="5" s="1"/>
  <c r="G1780" i="5"/>
  <c r="L1780" i="5" s="1"/>
  <c r="G1783" i="5"/>
  <c r="L1783" i="5" s="1"/>
  <c r="G1786" i="5"/>
  <c r="L1786" i="5" s="1"/>
  <c r="G1789" i="5"/>
  <c r="L1789" i="5" s="1"/>
  <c r="G1792" i="5"/>
  <c r="L1792" i="5" s="1"/>
  <c r="G1795" i="5"/>
  <c r="L1795" i="5" s="1"/>
  <c r="G1798" i="5"/>
  <c r="L1798" i="5" s="1"/>
  <c r="G1801" i="5"/>
  <c r="L1801" i="5" s="1"/>
  <c r="G1804" i="5"/>
  <c r="L1804" i="5" s="1"/>
  <c r="G1807" i="5"/>
  <c r="L1807" i="5" s="1"/>
  <c r="G1810" i="5"/>
  <c r="L1810" i="5" s="1"/>
  <c r="G1813" i="5"/>
  <c r="L1813" i="5" s="1"/>
  <c r="G1816" i="5"/>
  <c r="L1816" i="5" s="1"/>
  <c r="G1819" i="5"/>
  <c r="L1819" i="5" s="1"/>
  <c r="G1822" i="5"/>
  <c r="L1822" i="5" s="1"/>
  <c r="G1825" i="5"/>
  <c r="L1825" i="5" s="1"/>
  <c r="G1828" i="5"/>
  <c r="L1828" i="5" s="1"/>
  <c r="G1831" i="5"/>
  <c r="L1831" i="5" s="1"/>
  <c r="G1834" i="5"/>
  <c r="L1834" i="5" s="1"/>
  <c r="G1837" i="5"/>
  <c r="L1837" i="5" s="1"/>
  <c r="G1840" i="5"/>
  <c r="L1840" i="5" s="1"/>
  <c r="G1843" i="5"/>
  <c r="L1843" i="5" s="1"/>
  <c r="G1846" i="5"/>
  <c r="L1846" i="5" s="1"/>
  <c r="G1849" i="5"/>
  <c r="L1849" i="5" s="1"/>
  <c r="G1852" i="5"/>
  <c r="L1852" i="5" s="1"/>
  <c r="G1855" i="5"/>
  <c r="L1855" i="5" s="1"/>
  <c r="G1858" i="5"/>
  <c r="L1858" i="5" s="1"/>
  <c r="G1861" i="5"/>
  <c r="L1861" i="5" s="1"/>
  <c r="G1864" i="5"/>
  <c r="L1864" i="5" s="1"/>
  <c r="G1867" i="5"/>
  <c r="L1867" i="5" s="1"/>
  <c r="G1870" i="5"/>
  <c r="L1870" i="5" s="1"/>
  <c r="G1873" i="5"/>
  <c r="L1873" i="5" s="1"/>
  <c r="G1876" i="5"/>
  <c r="L1876" i="5" s="1"/>
  <c r="G1879" i="5"/>
  <c r="L1879" i="5" s="1"/>
  <c r="G1882" i="5"/>
  <c r="L1882" i="5" s="1"/>
  <c r="G1885" i="5"/>
  <c r="L1885" i="5" s="1"/>
  <c r="G1888" i="5"/>
  <c r="L1888" i="5" s="1"/>
  <c r="G1891" i="5"/>
  <c r="L1891" i="5" s="1"/>
  <c r="G1894" i="5"/>
  <c r="L1894" i="5" s="1"/>
  <c r="G1897" i="5"/>
  <c r="L1897" i="5" s="1"/>
  <c r="G1900" i="5"/>
  <c r="L1900" i="5" s="1"/>
  <c r="G1903" i="5"/>
  <c r="L1903" i="5" s="1"/>
  <c r="G1906" i="5"/>
  <c r="L1906" i="5" s="1"/>
  <c r="G1909" i="5"/>
  <c r="L1909" i="5" s="1"/>
  <c r="G1912" i="5"/>
  <c r="L1912" i="5" s="1"/>
  <c r="G1915" i="5"/>
  <c r="L1915" i="5" s="1"/>
  <c r="G1918" i="5"/>
  <c r="L1918" i="5" s="1"/>
  <c r="G1921" i="5"/>
  <c r="L1921" i="5" s="1"/>
  <c r="G1924" i="5"/>
  <c r="L1924" i="5" s="1"/>
  <c r="G1927" i="5"/>
  <c r="L1927" i="5" s="1"/>
  <c r="G1930" i="5"/>
  <c r="L1930" i="5" s="1"/>
  <c r="G1933" i="5"/>
  <c r="L1933" i="5" s="1"/>
  <c r="G1936" i="5"/>
  <c r="L1936" i="5" s="1"/>
  <c r="G1939" i="5"/>
  <c r="L1939" i="5" s="1"/>
  <c r="G1942" i="5"/>
  <c r="L1942" i="5" s="1"/>
  <c r="G1945" i="5"/>
  <c r="L1945" i="5" s="1"/>
  <c r="G1948" i="5"/>
  <c r="L1948" i="5" s="1"/>
  <c r="G1951" i="5"/>
  <c r="L1951" i="5" s="1"/>
  <c r="G1954" i="5"/>
  <c r="L1954" i="5" s="1"/>
  <c r="G1957" i="5"/>
  <c r="L1957" i="5" s="1"/>
  <c r="G1960" i="5"/>
  <c r="L1960" i="5" s="1"/>
  <c r="G1963" i="5"/>
  <c r="L1963" i="5" s="1"/>
  <c r="G1966" i="5"/>
  <c r="L1966" i="5" s="1"/>
  <c r="G1969" i="5"/>
  <c r="L1969" i="5" s="1"/>
  <c r="G1972" i="5"/>
  <c r="L1972" i="5" s="1"/>
  <c r="G1975" i="5"/>
  <c r="L1975" i="5" s="1"/>
  <c r="G1978" i="5"/>
  <c r="L1978" i="5" s="1"/>
  <c r="G1981" i="5"/>
  <c r="L1981" i="5" s="1"/>
  <c r="G1984" i="5"/>
  <c r="L1984" i="5" s="1"/>
  <c r="G1987" i="5"/>
  <c r="L1987" i="5" s="1"/>
  <c r="G1494" i="5"/>
  <c r="L1494" i="5" s="1"/>
  <c r="G1497" i="5"/>
  <c r="L1497" i="5" s="1"/>
  <c r="G1500" i="5"/>
  <c r="L1500" i="5" s="1"/>
  <c r="G1503" i="5"/>
  <c r="L1503" i="5" s="1"/>
  <c r="G1506" i="5"/>
  <c r="L1506" i="5" s="1"/>
  <c r="G1509" i="5"/>
  <c r="L1509" i="5" s="1"/>
  <c r="G1512" i="5"/>
  <c r="L1512" i="5" s="1"/>
  <c r="G1515" i="5"/>
  <c r="L1515" i="5" s="1"/>
  <c r="G1518" i="5"/>
  <c r="L1518" i="5" s="1"/>
  <c r="G1521" i="5"/>
  <c r="L1521" i="5" s="1"/>
  <c r="G1524" i="5"/>
  <c r="L1524" i="5" s="1"/>
  <c r="G1527" i="5"/>
  <c r="L1527" i="5" s="1"/>
  <c r="G1530" i="5"/>
  <c r="L1530" i="5" s="1"/>
  <c r="G1533" i="5"/>
  <c r="L1533" i="5" s="1"/>
  <c r="G1536" i="5"/>
  <c r="L1536" i="5" s="1"/>
  <c r="G1539" i="5"/>
  <c r="L1539" i="5" s="1"/>
  <c r="G1542" i="5"/>
  <c r="L1542" i="5" s="1"/>
  <c r="G1545" i="5"/>
  <c r="L1545" i="5" s="1"/>
  <c r="G1548" i="5"/>
  <c r="L1548" i="5" s="1"/>
  <c r="G1551" i="5"/>
  <c r="L1551" i="5" s="1"/>
  <c r="G1554" i="5"/>
  <c r="L1554" i="5" s="1"/>
  <c r="G1557" i="5"/>
  <c r="L1557" i="5" s="1"/>
  <c r="G1560" i="5"/>
  <c r="L1560" i="5" s="1"/>
  <c r="G1563" i="5"/>
  <c r="L1563" i="5" s="1"/>
  <c r="G1566" i="5"/>
  <c r="L1566" i="5" s="1"/>
  <c r="G1569" i="5"/>
  <c r="L1569" i="5" s="1"/>
  <c r="G1572" i="5"/>
  <c r="L1572" i="5" s="1"/>
  <c r="G1575" i="5"/>
  <c r="L1575" i="5" s="1"/>
  <c r="G1578" i="5"/>
  <c r="L1578" i="5" s="1"/>
  <c r="G1581" i="5"/>
  <c r="L1581" i="5" s="1"/>
  <c r="G1584" i="5"/>
  <c r="L1584" i="5" s="1"/>
  <c r="G1587" i="5"/>
  <c r="L1587" i="5" s="1"/>
  <c r="G1590" i="5"/>
  <c r="L1590" i="5" s="1"/>
  <c r="G1593" i="5"/>
  <c r="L1593" i="5" s="1"/>
  <c r="G1596" i="5"/>
  <c r="L1596" i="5" s="1"/>
  <c r="G1599" i="5"/>
  <c r="L1599" i="5" s="1"/>
  <c r="G1602" i="5"/>
  <c r="L1602" i="5" s="1"/>
  <c r="G1605" i="5"/>
  <c r="L1605" i="5" s="1"/>
  <c r="G1608" i="5"/>
  <c r="L1608" i="5" s="1"/>
  <c r="G1611" i="5"/>
  <c r="L1611" i="5" s="1"/>
  <c r="G1614" i="5"/>
  <c r="L1614" i="5" s="1"/>
  <c r="G1617" i="5"/>
  <c r="L1617" i="5" s="1"/>
  <c r="G1620" i="5"/>
  <c r="L1620" i="5" s="1"/>
  <c r="G1623" i="5"/>
  <c r="L1623" i="5" s="1"/>
  <c r="G1626" i="5"/>
  <c r="L1626" i="5" s="1"/>
  <c r="G1629" i="5"/>
  <c r="L1629" i="5" s="1"/>
  <c r="G1632" i="5"/>
  <c r="L1632" i="5" s="1"/>
  <c r="G1635" i="5"/>
  <c r="L1635" i="5" s="1"/>
  <c r="G1638" i="5"/>
  <c r="L1638" i="5" s="1"/>
  <c r="G1641" i="5"/>
  <c r="L1641" i="5" s="1"/>
  <c r="G1644" i="5"/>
  <c r="L1644" i="5" s="1"/>
  <c r="G1647" i="5"/>
  <c r="L1647" i="5" s="1"/>
  <c r="G1650" i="5"/>
  <c r="L1650" i="5" s="1"/>
  <c r="G1653" i="5"/>
  <c r="L1653" i="5" s="1"/>
  <c r="G1656" i="5"/>
  <c r="L1656" i="5" s="1"/>
  <c r="G1659" i="5"/>
  <c r="L1659" i="5" s="1"/>
  <c r="G1662" i="5"/>
  <c r="L1662" i="5" s="1"/>
  <c r="G1665" i="5"/>
  <c r="L1665" i="5" s="1"/>
  <c r="G1668" i="5"/>
  <c r="L1668" i="5" s="1"/>
  <c r="G1671" i="5"/>
  <c r="L1671" i="5" s="1"/>
  <c r="G1674" i="5"/>
  <c r="L1674" i="5" s="1"/>
  <c r="G1677" i="5"/>
  <c r="L1677" i="5" s="1"/>
  <c r="G1680" i="5"/>
  <c r="L1680" i="5" s="1"/>
  <c r="G1683" i="5"/>
  <c r="L1683" i="5" s="1"/>
  <c r="G1686" i="5"/>
  <c r="L1686" i="5" s="1"/>
  <c r="G1689" i="5"/>
  <c r="L1689" i="5" s="1"/>
  <c r="G1692" i="5"/>
  <c r="L1692" i="5" s="1"/>
  <c r="G1695" i="5"/>
  <c r="L1695" i="5" s="1"/>
  <c r="G1698" i="5"/>
  <c r="L1698" i="5" s="1"/>
  <c r="G1701" i="5"/>
  <c r="L1701" i="5" s="1"/>
  <c r="G1704" i="5"/>
  <c r="L1704" i="5" s="1"/>
  <c r="G1707" i="5"/>
  <c r="L1707" i="5" s="1"/>
  <c r="G1710" i="5"/>
  <c r="L1710" i="5" s="1"/>
  <c r="G1713" i="5"/>
  <c r="L1713" i="5" s="1"/>
  <c r="G1716" i="5"/>
  <c r="L1716" i="5" s="1"/>
  <c r="G1719" i="5"/>
  <c r="L1719" i="5" s="1"/>
  <c r="G1722" i="5"/>
  <c r="L1722" i="5" s="1"/>
  <c r="G1725" i="5"/>
  <c r="L1725" i="5" s="1"/>
  <c r="G1728" i="5"/>
  <c r="L1728" i="5" s="1"/>
  <c r="G1731" i="5"/>
  <c r="L1731" i="5" s="1"/>
  <c r="G1734" i="5"/>
  <c r="L1734" i="5" s="1"/>
  <c r="G1737" i="5"/>
  <c r="L1737" i="5" s="1"/>
  <c r="G1740" i="5"/>
  <c r="L1740" i="5" s="1"/>
  <c r="G1743" i="5"/>
  <c r="L1743" i="5" s="1"/>
  <c r="G1746" i="5"/>
  <c r="L1746" i="5" s="1"/>
  <c r="G555" i="5"/>
  <c r="L555" i="5" s="1"/>
  <c r="G1688" i="5"/>
  <c r="L1688" i="5" s="1"/>
  <c r="G2" i="5"/>
  <c r="L2" i="5" s="1"/>
  <c r="G1749" i="5"/>
  <c r="L1749" i="5" s="1"/>
  <c r="G1752" i="5"/>
  <c r="L1752" i="5" s="1"/>
  <c r="G1755" i="5"/>
  <c r="L1755" i="5" s="1"/>
  <c r="G1758" i="5"/>
  <c r="L1758" i="5" s="1"/>
  <c r="G1761" i="5"/>
  <c r="L1761" i="5" s="1"/>
  <c r="G1764" i="5"/>
  <c r="L1764" i="5" s="1"/>
  <c r="G1767" i="5"/>
  <c r="L1767" i="5" s="1"/>
  <c r="G1770" i="5"/>
  <c r="L1770" i="5" s="1"/>
  <c r="G1773" i="5"/>
  <c r="L1773" i="5" s="1"/>
  <c r="G1776" i="5"/>
  <c r="L1776" i="5" s="1"/>
  <c r="G1779" i="5"/>
  <c r="L1779" i="5" s="1"/>
  <c r="G1782" i="5"/>
  <c r="L1782" i="5" s="1"/>
  <c r="G1785" i="5"/>
  <c r="L1785" i="5" s="1"/>
  <c r="G1788" i="5"/>
  <c r="L1788" i="5" s="1"/>
  <c r="G1791" i="5"/>
  <c r="L1791" i="5" s="1"/>
  <c r="G1794" i="5"/>
  <c r="L1794" i="5" s="1"/>
  <c r="G1797" i="5"/>
  <c r="L1797" i="5" s="1"/>
  <c r="G1800" i="5"/>
  <c r="L1800" i="5" s="1"/>
  <c r="G1803" i="5"/>
  <c r="L1803" i="5" s="1"/>
  <c r="G1806" i="5"/>
  <c r="L1806" i="5" s="1"/>
  <c r="G1809" i="5"/>
  <c r="L1809" i="5" s="1"/>
  <c r="G1812" i="5"/>
  <c r="L1812" i="5" s="1"/>
  <c r="G1815" i="5"/>
  <c r="L1815" i="5" s="1"/>
  <c r="G1818" i="5"/>
  <c r="L1818" i="5" s="1"/>
  <c r="G1821" i="5"/>
  <c r="L1821" i="5" s="1"/>
  <c r="G1824" i="5"/>
  <c r="L1824" i="5" s="1"/>
  <c r="G1827" i="5"/>
  <c r="L1827" i="5" s="1"/>
  <c r="G1830" i="5"/>
  <c r="L1830" i="5" s="1"/>
  <c r="G1833" i="5"/>
  <c r="L1833" i="5" s="1"/>
  <c r="G1836" i="5"/>
  <c r="L1836" i="5" s="1"/>
  <c r="G1839" i="5"/>
  <c r="L1839" i="5" s="1"/>
  <c r="G1842" i="5"/>
  <c r="L1842" i="5" s="1"/>
  <c r="G1845" i="5"/>
  <c r="L1845" i="5" s="1"/>
  <c r="G1848" i="5"/>
  <c r="L1848" i="5" s="1"/>
  <c r="G1851" i="5"/>
  <c r="L1851" i="5" s="1"/>
  <c r="G1854" i="5"/>
  <c r="L1854" i="5" s="1"/>
  <c r="G1857" i="5"/>
  <c r="L1857" i="5" s="1"/>
  <c r="G1860" i="5"/>
  <c r="L1860" i="5" s="1"/>
  <c r="G1863" i="5"/>
  <c r="L1863" i="5" s="1"/>
  <c r="G1866" i="5"/>
  <c r="L1866" i="5" s="1"/>
  <c r="G1869" i="5"/>
  <c r="L1869" i="5" s="1"/>
  <c r="G1872" i="5"/>
  <c r="L1872" i="5" s="1"/>
  <c r="G1875" i="5"/>
  <c r="L1875" i="5" s="1"/>
  <c r="G1878" i="5"/>
  <c r="L1878" i="5" s="1"/>
  <c r="G1881" i="5"/>
  <c r="L1881" i="5" s="1"/>
  <c r="G1884" i="5"/>
  <c r="L1884" i="5" s="1"/>
  <c r="G1887" i="5"/>
  <c r="L1887" i="5" s="1"/>
  <c r="G1890" i="5"/>
  <c r="L1890" i="5" s="1"/>
  <c r="G1893" i="5"/>
  <c r="L1893" i="5" s="1"/>
  <c r="G1896" i="5"/>
  <c r="L1896" i="5" s="1"/>
  <c r="G1899" i="5"/>
  <c r="L1899" i="5" s="1"/>
  <c r="G1902" i="5"/>
  <c r="L1902" i="5" s="1"/>
  <c r="G1905" i="5"/>
  <c r="L1905" i="5" s="1"/>
  <c r="G1908" i="5"/>
  <c r="L1908" i="5" s="1"/>
  <c r="G1911" i="5"/>
  <c r="L1911" i="5" s="1"/>
  <c r="G1914" i="5"/>
  <c r="L1914" i="5" s="1"/>
  <c r="G1917" i="5"/>
  <c r="L1917" i="5" s="1"/>
  <c r="G1920" i="5"/>
  <c r="L1920" i="5" s="1"/>
  <c r="G1923" i="5"/>
  <c r="L1923" i="5" s="1"/>
  <c r="G1926" i="5"/>
  <c r="L1926" i="5" s="1"/>
  <c r="G1929" i="5"/>
  <c r="L1929" i="5" s="1"/>
  <c r="G1932" i="5"/>
  <c r="L1932" i="5" s="1"/>
  <c r="G1935" i="5"/>
  <c r="L1935" i="5" s="1"/>
  <c r="G1938" i="5"/>
  <c r="L1938" i="5" s="1"/>
  <c r="G1941" i="5"/>
  <c r="L1941" i="5" s="1"/>
  <c r="G1944" i="5"/>
  <c r="L1944" i="5" s="1"/>
  <c r="G1947" i="5"/>
  <c r="L1947" i="5" s="1"/>
  <c r="G1950" i="5"/>
  <c r="L1950" i="5" s="1"/>
  <c r="G1953" i="5"/>
  <c r="L1953" i="5" s="1"/>
  <c r="G1956" i="5"/>
  <c r="L1956" i="5" s="1"/>
  <c r="G1959" i="5"/>
  <c r="L1959" i="5" s="1"/>
  <c r="G1962" i="5"/>
  <c r="L1962" i="5" s="1"/>
  <c r="G1965" i="5"/>
  <c r="L1965" i="5" s="1"/>
  <c r="G1968" i="5"/>
  <c r="L1968" i="5" s="1"/>
  <c r="G1971" i="5"/>
  <c r="L1971" i="5" s="1"/>
  <c r="G1974" i="5"/>
  <c r="L1974" i="5" s="1"/>
  <c r="G1977" i="5"/>
  <c r="L1977" i="5" s="1"/>
  <c r="G1980" i="5"/>
  <c r="L1980" i="5" s="1"/>
  <c r="G1983" i="5"/>
  <c r="L1983" i="5" s="1"/>
  <c r="G1986" i="5"/>
  <c r="L1986" i="5" s="1"/>
  <c r="G1989" i="5"/>
  <c r="L1989" i="5" s="1"/>
  <c r="G1992" i="5"/>
  <c r="L1992" i="5" s="1"/>
  <c r="G1995" i="5"/>
  <c r="L1995" i="5" s="1"/>
  <c r="G1998" i="5"/>
  <c r="L1998" i="5" s="1"/>
  <c r="G2001" i="5"/>
  <c r="L2001" i="5" s="1"/>
  <c r="G1691" i="5"/>
  <c r="L1691" i="5" s="1"/>
  <c r="G1694" i="5"/>
  <c r="L1694" i="5" s="1"/>
  <c r="G1697" i="5"/>
  <c r="L1697" i="5" s="1"/>
  <c r="G1700" i="5"/>
  <c r="L1700" i="5" s="1"/>
  <c r="G1703" i="5"/>
  <c r="L1703" i="5" s="1"/>
  <c r="G1706" i="5"/>
  <c r="L1706" i="5" s="1"/>
  <c r="G1709" i="5"/>
  <c r="L1709" i="5" s="1"/>
  <c r="G1712" i="5"/>
  <c r="L1712" i="5" s="1"/>
  <c r="G1715" i="5"/>
  <c r="L1715" i="5" s="1"/>
  <c r="G1718" i="5"/>
  <c r="L1718" i="5" s="1"/>
  <c r="G1721" i="5"/>
  <c r="L1721" i="5" s="1"/>
  <c r="G1724" i="5"/>
  <c r="L1724" i="5" s="1"/>
  <c r="G1727" i="5"/>
  <c r="L1727" i="5" s="1"/>
  <c r="G1730" i="5"/>
  <c r="L1730" i="5" s="1"/>
  <c r="G1733" i="5"/>
  <c r="L1733" i="5" s="1"/>
  <c r="G1736" i="5"/>
  <c r="L1736" i="5" s="1"/>
  <c r="G1739" i="5"/>
  <c r="L1739" i="5" s="1"/>
  <c r="G1742" i="5"/>
  <c r="L1742" i="5" s="1"/>
  <c r="G1745" i="5"/>
  <c r="L1745" i="5" s="1"/>
  <c r="G1748" i="5"/>
  <c r="L1748" i="5" s="1"/>
  <c r="G1751" i="5"/>
  <c r="L1751" i="5" s="1"/>
  <c r="G1754" i="5"/>
  <c r="L1754" i="5" s="1"/>
  <c r="G1757" i="5"/>
  <c r="L1757" i="5" s="1"/>
  <c r="G1760" i="5"/>
  <c r="L1760" i="5" s="1"/>
  <c r="G1763" i="5"/>
  <c r="L1763" i="5" s="1"/>
  <c r="G1766" i="5"/>
  <c r="L1766" i="5" s="1"/>
  <c r="G1769" i="5"/>
  <c r="L1769" i="5" s="1"/>
  <c r="G1772" i="5"/>
  <c r="L1772" i="5" s="1"/>
  <c r="G1775" i="5"/>
  <c r="L1775" i="5" s="1"/>
  <c r="G1778" i="5"/>
  <c r="L1778" i="5" s="1"/>
  <c r="G1781" i="5"/>
  <c r="L1781" i="5" s="1"/>
  <c r="G1784" i="5"/>
  <c r="L1784" i="5" s="1"/>
  <c r="G1787" i="5"/>
  <c r="L1787" i="5" s="1"/>
  <c r="G1790" i="5"/>
  <c r="L1790" i="5" s="1"/>
  <c r="G1793" i="5"/>
  <c r="L1793" i="5" s="1"/>
  <c r="G1796" i="5"/>
  <c r="L1796" i="5" s="1"/>
  <c r="G1799" i="5"/>
  <c r="L1799" i="5" s="1"/>
  <c r="G1802" i="5"/>
  <c r="L1802" i="5" s="1"/>
  <c r="G1805" i="5"/>
  <c r="L1805" i="5" s="1"/>
  <c r="G1808" i="5"/>
  <c r="L1808" i="5" s="1"/>
  <c r="G1811" i="5"/>
  <c r="L1811" i="5" s="1"/>
  <c r="G1814" i="5"/>
  <c r="L1814" i="5" s="1"/>
  <c r="G1817" i="5"/>
  <c r="L1817" i="5" s="1"/>
  <c r="G1820" i="5"/>
  <c r="L1820" i="5" s="1"/>
  <c r="G1823" i="5"/>
  <c r="L1823" i="5" s="1"/>
  <c r="G1826" i="5"/>
  <c r="L1826" i="5" s="1"/>
  <c r="G1829" i="5"/>
  <c r="L1829" i="5" s="1"/>
  <c r="G1832" i="5"/>
  <c r="L1832" i="5" s="1"/>
  <c r="G1835" i="5"/>
  <c r="L1835" i="5" s="1"/>
  <c r="G1838" i="5"/>
  <c r="L1838" i="5" s="1"/>
  <c r="G1841" i="5"/>
  <c r="L1841" i="5" s="1"/>
  <c r="G1844" i="5"/>
  <c r="L1844" i="5" s="1"/>
  <c r="G1847" i="5"/>
  <c r="L1847" i="5" s="1"/>
  <c r="G1850" i="5"/>
  <c r="L1850" i="5" s="1"/>
  <c r="G1853" i="5"/>
  <c r="L1853" i="5" s="1"/>
  <c r="G1856" i="5"/>
  <c r="L1856" i="5" s="1"/>
  <c r="G1859" i="5"/>
  <c r="L1859" i="5" s="1"/>
  <c r="G1862" i="5"/>
  <c r="L1862" i="5" s="1"/>
  <c r="G1865" i="5"/>
  <c r="L1865" i="5" s="1"/>
  <c r="G1868" i="5"/>
  <c r="L1868" i="5" s="1"/>
  <c r="G1871" i="5"/>
  <c r="L1871" i="5" s="1"/>
  <c r="G1874" i="5"/>
  <c r="L1874" i="5" s="1"/>
  <c r="G1877" i="5"/>
  <c r="L1877" i="5" s="1"/>
  <c r="G1880" i="5"/>
  <c r="L1880" i="5" s="1"/>
  <c r="G1883" i="5"/>
  <c r="L1883" i="5" s="1"/>
  <c r="G1886" i="5"/>
  <c r="L1886" i="5" s="1"/>
  <c r="G1889" i="5"/>
  <c r="L1889" i="5" s="1"/>
  <c r="G1892" i="5"/>
  <c r="L1892" i="5" s="1"/>
  <c r="G1895" i="5"/>
  <c r="L1895" i="5" s="1"/>
  <c r="G1898" i="5"/>
  <c r="L1898" i="5" s="1"/>
  <c r="G1901" i="5"/>
  <c r="L1901" i="5" s="1"/>
  <c r="G1904" i="5"/>
  <c r="L1904" i="5" s="1"/>
  <c r="G1907" i="5"/>
  <c r="L1907" i="5" s="1"/>
  <c r="G1910" i="5"/>
  <c r="L1910" i="5" s="1"/>
  <c r="G1913" i="5"/>
  <c r="L1913" i="5" s="1"/>
  <c r="G1916" i="5"/>
  <c r="L1916" i="5" s="1"/>
  <c r="G1919" i="5"/>
  <c r="L1919" i="5" s="1"/>
  <c r="G1922" i="5"/>
  <c r="L1922" i="5" s="1"/>
  <c r="G1925" i="5"/>
  <c r="L1925" i="5" s="1"/>
  <c r="G1928" i="5"/>
  <c r="L1928" i="5" s="1"/>
  <c r="G1931" i="5"/>
  <c r="L1931" i="5" s="1"/>
  <c r="G1934" i="5"/>
  <c r="L1934" i="5" s="1"/>
  <c r="G1937" i="5"/>
  <c r="L1937" i="5" s="1"/>
  <c r="G1940" i="5"/>
  <c r="L1940" i="5" s="1"/>
  <c r="G1943" i="5"/>
  <c r="L1943" i="5" s="1"/>
  <c r="G1946" i="5"/>
  <c r="L1946" i="5" s="1"/>
  <c r="G1949" i="5"/>
  <c r="L1949" i="5" s="1"/>
  <c r="G1952" i="5"/>
  <c r="L1952" i="5" s="1"/>
  <c r="G1955" i="5"/>
  <c r="L1955" i="5" s="1"/>
  <c r="G1958" i="5"/>
  <c r="L1958" i="5" s="1"/>
  <c r="G1961" i="5"/>
  <c r="L1961" i="5" s="1"/>
  <c r="G1964" i="5"/>
  <c r="L1964" i="5" s="1"/>
  <c r="G1967" i="5"/>
  <c r="L1967" i="5" s="1"/>
  <c r="G1970" i="5"/>
  <c r="L1970" i="5" s="1"/>
  <c r="G1973" i="5"/>
  <c r="L1973" i="5" s="1"/>
  <c r="G1976" i="5"/>
  <c r="L1976" i="5" s="1"/>
  <c r="G1979" i="5"/>
  <c r="L1979" i="5" s="1"/>
  <c r="G1982" i="5"/>
  <c r="L1982" i="5" s="1"/>
  <c r="G1985" i="5"/>
  <c r="L1985" i="5" s="1"/>
  <c r="G1988" i="5"/>
  <c r="L1988" i="5" s="1"/>
  <c r="G1991" i="5"/>
  <c r="L1991" i="5" s="1"/>
  <c r="G1994" i="5"/>
  <c r="L1994" i="5" s="1"/>
  <c r="G1997" i="5"/>
  <c r="L1997" i="5" s="1"/>
  <c r="G2000" i="5"/>
  <c r="L2000" i="5" s="1"/>
  <c r="G1990" i="5"/>
  <c r="L1990" i="5" s="1"/>
  <c r="G1993" i="5"/>
  <c r="L1993" i="5" s="1"/>
  <c r="G1996" i="5"/>
  <c r="L1996" i="5" s="1"/>
  <c r="G1999" i="5"/>
  <c r="L1999" i="5" s="1"/>
  <c r="E8" i="7" l="1"/>
  <c r="I8" i="7" s="1"/>
  <c r="E20" i="7"/>
  <c r="I20" i="7" s="1"/>
  <c r="E32" i="7"/>
  <c r="I32" i="7" s="1"/>
  <c r="E44" i="7"/>
  <c r="I44" i="7" s="1"/>
  <c r="E56" i="7"/>
  <c r="I56" i="7" s="1"/>
  <c r="E68" i="7"/>
  <c r="I68" i="7" s="1"/>
  <c r="E80" i="7"/>
  <c r="I80" i="7" s="1"/>
  <c r="E92" i="7"/>
  <c r="I92" i="7" s="1"/>
  <c r="E104" i="7"/>
  <c r="I104" i="7" s="1"/>
  <c r="E116" i="7"/>
  <c r="I116" i="7" s="1"/>
  <c r="E128" i="7"/>
  <c r="I128" i="7" s="1"/>
  <c r="E140" i="7"/>
  <c r="I140" i="7" s="1"/>
  <c r="E152" i="7"/>
  <c r="I152" i="7" s="1"/>
  <c r="E164" i="7"/>
  <c r="I164" i="7" s="1"/>
  <c r="E176" i="7"/>
  <c r="I176" i="7" s="1"/>
  <c r="E188" i="7"/>
  <c r="I188" i="7" s="1"/>
  <c r="E200" i="7"/>
  <c r="I200" i="7" s="1"/>
  <c r="E9" i="7"/>
  <c r="I9" i="7" s="1"/>
  <c r="E21" i="7"/>
  <c r="I21" i="7" s="1"/>
  <c r="E33" i="7"/>
  <c r="I33" i="7" s="1"/>
  <c r="E45" i="7"/>
  <c r="I45" i="7" s="1"/>
  <c r="E57" i="7"/>
  <c r="I57" i="7" s="1"/>
  <c r="E69" i="7"/>
  <c r="I69" i="7" s="1"/>
  <c r="E81" i="7"/>
  <c r="I81" i="7" s="1"/>
  <c r="E93" i="7"/>
  <c r="I93" i="7" s="1"/>
  <c r="E105" i="7"/>
  <c r="I105" i="7" s="1"/>
  <c r="E117" i="7"/>
  <c r="I117" i="7" s="1"/>
  <c r="E129" i="7"/>
  <c r="I129" i="7" s="1"/>
  <c r="E141" i="7"/>
  <c r="I141" i="7" s="1"/>
  <c r="E153" i="7"/>
  <c r="I153" i="7" s="1"/>
  <c r="E165" i="7"/>
  <c r="I165" i="7" s="1"/>
  <c r="E177" i="7"/>
  <c r="I177" i="7" s="1"/>
  <c r="E189" i="7"/>
  <c r="I189" i="7" s="1"/>
  <c r="E10" i="7"/>
  <c r="I10" i="7" s="1"/>
  <c r="E22" i="7"/>
  <c r="I22" i="7" s="1"/>
  <c r="E34" i="7"/>
  <c r="I34" i="7" s="1"/>
  <c r="E46" i="7"/>
  <c r="I46" i="7" s="1"/>
  <c r="E58" i="7"/>
  <c r="I58" i="7" s="1"/>
  <c r="E70" i="7"/>
  <c r="I70" i="7" s="1"/>
  <c r="E82" i="7"/>
  <c r="I82" i="7" s="1"/>
  <c r="E94" i="7"/>
  <c r="I94" i="7" s="1"/>
  <c r="E106" i="7"/>
  <c r="I106" i="7" s="1"/>
  <c r="E118" i="7"/>
  <c r="I118" i="7" s="1"/>
  <c r="E130" i="7"/>
  <c r="I130" i="7" s="1"/>
  <c r="E142" i="7"/>
  <c r="I142" i="7" s="1"/>
  <c r="E154" i="7"/>
  <c r="I154" i="7" s="1"/>
  <c r="E166" i="7"/>
  <c r="I166" i="7" s="1"/>
  <c r="E178" i="7"/>
  <c r="I178" i="7" s="1"/>
  <c r="E190" i="7"/>
  <c r="I190" i="7" s="1"/>
  <c r="E11" i="7"/>
  <c r="I11" i="7" s="1"/>
  <c r="E23" i="7"/>
  <c r="I23" i="7" s="1"/>
  <c r="E35" i="7"/>
  <c r="I35" i="7" s="1"/>
  <c r="E47" i="7"/>
  <c r="I47" i="7" s="1"/>
  <c r="E59" i="7"/>
  <c r="I59" i="7" s="1"/>
  <c r="E71" i="7"/>
  <c r="I71" i="7" s="1"/>
  <c r="E83" i="7"/>
  <c r="I83" i="7" s="1"/>
  <c r="E95" i="7"/>
  <c r="I95" i="7" s="1"/>
  <c r="E107" i="7"/>
  <c r="I107" i="7" s="1"/>
  <c r="E119" i="7"/>
  <c r="I119" i="7" s="1"/>
  <c r="E131" i="7"/>
  <c r="I131" i="7" s="1"/>
  <c r="E143" i="7"/>
  <c r="I143" i="7" s="1"/>
  <c r="E155" i="7"/>
  <c r="I155" i="7" s="1"/>
  <c r="E167" i="7"/>
  <c r="I167" i="7" s="1"/>
  <c r="E179" i="7"/>
  <c r="I179" i="7" s="1"/>
  <c r="E191" i="7"/>
  <c r="I191" i="7" s="1"/>
  <c r="E12" i="7"/>
  <c r="I12" i="7" s="1"/>
  <c r="E24" i="7"/>
  <c r="I24" i="7" s="1"/>
  <c r="E36" i="7"/>
  <c r="I36" i="7" s="1"/>
  <c r="E48" i="7"/>
  <c r="I48" i="7" s="1"/>
  <c r="E60" i="7"/>
  <c r="I60" i="7" s="1"/>
  <c r="E72" i="7"/>
  <c r="I72" i="7" s="1"/>
  <c r="E84" i="7"/>
  <c r="I84" i="7" s="1"/>
  <c r="E96" i="7"/>
  <c r="I96" i="7" s="1"/>
  <c r="E13" i="7"/>
  <c r="I13" i="7" s="1"/>
  <c r="E25" i="7"/>
  <c r="I25" i="7" s="1"/>
  <c r="E37" i="7"/>
  <c r="I37" i="7" s="1"/>
  <c r="E49" i="7"/>
  <c r="I49" i="7" s="1"/>
  <c r="E61" i="7"/>
  <c r="I61" i="7" s="1"/>
  <c r="E73" i="7"/>
  <c r="I73" i="7" s="1"/>
  <c r="E85" i="7"/>
  <c r="I85" i="7" s="1"/>
  <c r="E97" i="7"/>
  <c r="I97" i="7" s="1"/>
  <c r="E109" i="7"/>
  <c r="I109" i="7" s="1"/>
  <c r="E121" i="7"/>
  <c r="I121" i="7" s="1"/>
  <c r="E133" i="7"/>
  <c r="I133" i="7" s="1"/>
  <c r="E145" i="7"/>
  <c r="I145" i="7" s="1"/>
  <c r="E157" i="7"/>
  <c r="I157" i="7" s="1"/>
  <c r="E169" i="7"/>
  <c r="I169" i="7" s="1"/>
  <c r="E181" i="7"/>
  <c r="I181" i="7" s="1"/>
  <c r="E193" i="7"/>
  <c r="I193" i="7" s="1"/>
  <c r="E14" i="7"/>
  <c r="I14" i="7" s="1"/>
  <c r="E26" i="7"/>
  <c r="I26" i="7" s="1"/>
  <c r="E38" i="7"/>
  <c r="I38" i="7" s="1"/>
  <c r="E50" i="7"/>
  <c r="I50" i="7" s="1"/>
  <c r="E62" i="7"/>
  <c r="I62" i="7" s="1"/>
  <c r="E74" i="7"/>
  <c r="I74" i="7" s="1"/>
  <c r="E86" i="7"/>
  <c r="I86" i="7" s="1"/>
  <c r="E98" i="7"/>
  <c r="I98" i="7" s="1"/>
  <c r="E110" i="7"/>
  <c r="I110" i="7" s="1"/>
  <c r="E122" i="7"/>
  <c r="I122" i="7" s="1"/>
  <c r="E134" i="7"/>
  <c r="I134" i="7" s="1"/>
  <c r="E146" i="7"/>
  <c r="I146" i="7" s="1"/>
  <c r="E158" i="7"/>
  <c r="I158" i="7" s="1"/>
  <c r="E170" i="7"/>
  <c r="I170" i="7" s="1"/>
  <c r="E182" i="7"/>
  <c r="I182" i="7" s="1"/>
  <c r="E194" i="7"/>
  <c r="I194" i="7" s="1"/>
  <c r="E3" i="7"/>
  <c r="I3" i="7" s="1"/>
  <c r="E15" i="7"/>
  <c r="I15" i="7" s="1"/>
  <c r="E27" i="7"/>
  <c r="I27" i="7" s="1"/>
  <c r="E39" i="7"/>
  <c r="I39" i="7" s="1"/>
  <c r="E51" i="7"/>
  <c r="I51" i="7" s="1"/>
  <c r="E63" i="7"/>
  <c r="I63" i="7" s="1"/>
  <c r="E75" i="7"/>
  <c r="I75" i="7" s="1"/>
  <c r="E87" i="7"/>
  <c r="I87" i="7" s="1"/>
  <c r="E99" i="7"/>
  <c r="I99" i="7" s="1"/>
  <c r="E111" i="7"/>
  <c r="I111" i="7" s="1"/>
  <c r="E123" i="7"/>
  <c r="I123" i="7" s="1"/>
  <c r="E135" i="7"/>
  <c r="I135" i="7" s="1"/>
  <c r="E147" i="7"/>
  <c r="I147" i="7" s="1"/>
  <c r="E159" i="7"/>
  <c r="I159" i="7" s="1"/>
  <c r="E171" i="7"/>
  <c r="I171" i="7" s="1"/>
  <c r="E183" i="7"/>
  <c r="I183" i="7" s="1"/>
  <c r="E195" i="7"/>
  <c r="I195" i="7" s="1"/>
  <c r="E4" i="7"/>
  <c r="I4" i="7" s="1"/>
  <c r="E16" i="7"/>
  <c r="I16" i="7" s="1"/>
  <c r="E28" i="7"/>
  <c r="I28" i="7" s="1"/>
  <c r="E40" i="7"/>
  <c r="I40" i="7" s="1"/>
  <c r="E52" i="7"/>
  <c r="I52" i="7" s="1"/>
  <c r="E64" i="7"/>
  <c r="I64" i="7" s="1"/>
  <c r="E76" i="7"/>
  <c r="I76" i="7" s="1"/>
  <c r="E88" i="7"/>
  <c r="I88" i="7" s="1"/>
  <c r="E100" i="7"/>
  <c r="I100" i="7" s="1"/>
  <c r="E112" i="7"/>
  <c r="I112" i="7" s="1"/>
  <c r="E124" i="7"/>
  <c r="I124" i="7" s="1"/>
  <c r="E136" i="7"/>
  <c r="I136" i="7" s="1"/>
  <c r="E148" i="7"/>
  <c r="I148" i="7" s="1"/>
  <c r="E160" i="7"/>
  <c r="I160" i="7" s="1"/>
  <c r="E172" i="7"/>
  <c r="I172" i="7" s="1"/>
  <c r="E184" i="7"/>
  <c r="I184" i="7" s="1"/>
  <c r="E196" i="7"/>
  <c r="I196" i="7" s="1"/>
  <c r="E5" i="7"/>
  <c r="I5" i="7" s="1"/>
  <c r="E17" i="7"/>
  <c r="I17" i="7" s="1"/>
  <c r="E29" i="7"/>
  <c r="I29" i="7" s="1"/>
  <c r="E41" i="7"/>
  <c r="I41" i="7" s="1"/>
  <c r="E53" i="7"/>
  <c r="I53" i="7" s="1"/>
  <c r="E65" i="7"/>
  <c r="I65" i="7" s="1"/>
  <c r="E77" i="7"/>
  <c r="I77" i="7" s="1"/>
  <c r="E89" i="7"/>
  <c r="I89" i="7" s="1"/>
  <c r="E101" i="7"/>
  <c r="I101" i="7" s="1"/>
  <c r="E113" i="7"/>
  <c r="I113" i="7" s="1"/>
  <c r="E125" i="7"/>
  <c r="I125" i="7" s="1"/>
  <c r="E137" i="7"/>
  <c r="I137" i="7" s="1"/>
  <c r="E149" i="7"/>
  <c r="I149" i="7" s="1"/>
  <c r="E161" i="7"/>
  <c r="I161" i="7" s="1"/>
  <c r="E173" i="7"/>
  <c r="I173" i="7" s="1"/>
  <c r="E185" i="7"/>
  <c r="I185" i="7" s="1"/>
  <c r="E197" i="7"/>
  <c r="I197" i="7" s="1"/>
  <c r="E6" i="7"/>
  <c r="I6" i="7" s="1"/>
  <c r="E18" i="7"/>
  <c r="I18" i="7" s="1"/>
  <c r="E30" i="7"/>
  <c r="I30" i="7" s="1"/>
  <c r="E42" i="7"/>
  <c r="I42" i="7" s="1"/>
  <c r="E54" i="7"/>
  <c r="I54" i="7" s="1"/>
  <c r="E66" i="7"/>
  <c r="I66" i="7" s="1"/>
  <c r="E78" i="7"/>
  <c r="I78" i="7" s="1"/>
  <c r="E90" i="7"/>
  <c r="I90" i="7" s="1"/>
  <c r="E102" i="7"/>
  <c r="I102" i="7" s="1"/>
  <c r="E114" i="7"/>
  <c r="I114" i="7" s="1"/>
  <c r="E126" i="7"/>
  <c r="I126" i="7" s="1"/>
  <c r="E138" i="7"/>
  <c r="I138" i="7" s="1"/>
  <c r="E150" i="7"/>
  <c r="I150" i="7" s="1"/>
  <c r="E162" i="7"/>
  <c r="I162" i="7" s="1"/>
  <c r="E174" i="7"/>
  <c r="I174" i="7" s="1"/>
  <c r="E186" i="7"/>
  <c r="I186" i="7" s="1"/>
  <c r="E198" i="7"/>
  <c r="I198" i="7" s="1"/>
  <c r="E7" i="7"/>
  <c r="I7" i="7" s="1"/>
  <c r="E19" i="7"/>
  <c r="I19" i="7" s="1"/>
  <c r="E31" i="7"/>
  <c r="I31" i="7" s="1"/>
  <c r="E43" i="7"/>
  <c r="I43" i="7" s="1"/>
  <c r="E55" i="7"/>
  <c r="I55" i="7" s="1"/>
  <c r="E67" i="7"/>
  <c r="I67" i="7" s="1"/>
  <c r="E79" i="7"/>
  <c r="I79" i="7" s="1"/>
  <c r="E91" i="7"/>
  <c r="I91" i="7" s="1"/>
  <c r="E103" i="7"/>
  <c r="I103" i="7" s="1"/>
  <c r="E115" i="7"/>
  <c r="I115" i="7" s="1"/>
  <c r="E127" i="7"/>
  <c r="I127" i="7" s="1"/>
  <c r="E139" i="7"/>
  <c r="I139" i="7" s="1"/>
  <c r="E151" i="7"/>
  <c r="I151" i="7" s="1"/>
  <c r="E163" i="7"/>
  <c r="I163" i="7" s="1"/>
  <c r="E175" i="7"/>
  <c r="I175" i="7" s="1"/>
  <c r="E187" i="7"/>
  <c r="I187" i="7" s="1"/>
  <c r="E199" i="7"/>
  <c r="I199" i="7" s="1"/>
  <c r="E168" i="7"/>
  <c r="I168" i="7" s="1"/>
  <c r="E180" i="7"/>
  <c r="I180" i="7" s="1"/>
  <c r="E192" i="7"/>
  <c r="I192" i="7" s="1"/>
  <c r="E108" i="7"/>
  <c r="I108" i="7" s="1"/>
  <c r="E120" i="7"/>
  <c r="I120" i="7" s="1"/>
  <c r="E132" i="7"/>
  <c r="I132" i="7" s="1"/>
  <c r="E144" i="7"/>
  <c r="I144" i="7" s="1"/>
  <c r="E156" i="7"/>
  <c r="I156" i="7" s="1"/>
  <c r="E2" i="7"/>
  <c r="I2" i="7" l="1"/>
  <c r="L4" i="7" s="1"/>
  <c r="G2" i="7"/>
  <c r="H2" i="7" l="1"/>
  <c r="L5" i="7"/>
</calcChain>
</file>

<file path=xl/sharedStrings.xml><?xml version="1.0" encoding="utf-8"?>
<sst xmlns="http://schemas.openxmlformats.org/spreadsheetml/2006/main" count="1028" uniqueCount="275">
  <si>
    <t>SKU</t>
  </si>
  <si>
    <t>Descripción</t>
  </si>
  <si>
    <t>Proveedor</t>
  </si>
  <si>
    <t>Model</t>
  </si>
  <si>
    <t>Origen</t>
  </si>
  <si>
    <t>Categoría</t>
  </si>
  <si>
    <t>Unidad</t>
  </si>
  <si>
    <t>Moneda_Base</t>
  </si>
  <si>
    <t>Activo (Sí/No)</t>
  </si>
  <si>
    <t>INSTRUCCIONES</t>
  </si>
  <si>
    <t>3101-00123-01</t>
  </si>
  <si>
    <t xml:space="preserve">Set de infusión fotosensible, con un puerto para aguja, conector luer lock, clamp de rodillo, libre de DEHP, de PVC, longitud: 250 cm </t>
  </si>
  <si>
    <t>Ander Med</t>
  </si>
  <si>
    <t>Set de infusión fotosensible</t>
  </si>
  <si>
    <t>Importado</t>
  </si>
  <si>
    <t>Insumo</t>
  </si>
  <si>
    <t>Pza</t>
  </si>
  <si>
    <t>USD</t>
  </si>
  <si>
    <t>No</t>
  </si>
  <si>
    <t>1) Mantén SKU único. 2) Origen=Importado/Nacional. 3) Moneda_Base.</t>
  </si>
  <si>
    <t>3101-00142-01</t>
  </si>
  <si>
    <t>Set de infusión de volumenes medidos, cámara de bureta de 150 ml, dos conexiones para aguja, clamp Robert, libre de DEHP, de PVC, longitud: 300 cm</t>
  </si>
  <si>
    <t>Set de infusión de volumenes medidos</t>
  </si>
  <si>
    <t>3101-00138-01</t>
  </si>
  <si>
    <t xml:space="preserve">Set de infusión convencional, con dos puertos para aguja, conector luer lock, clamp de rodillo, libre de DEHP, de PVC, longitud: 300 cm </t>
  </si>
  <si>
    <t>Set de infusión convencional</t>
  </si>
  <si>
    <t>3101-00149-01</t>
  </si>
  <si>
    <t xml:space="preserve">Set de infusión para hemoderivados, filtro de 200 μm, conector luer lock, clamp de rodillo, libre de DEHP, de PVC, longitud: 250 cm </t>
  </si>
  <si>
    <t>Set de infusión para hemoderivados</t>
  </si>
  <si>
    <t>3103-00004-01</t>
  </si>
  <si>
    <t xml:space="preserve">Linea de extensión para perfusor, una conexión luer hembra y una conexión luer macho, clamp de pinza, diámetro interno 1.4 mm, libre de DEHP, de PVC, longitud: 150 cm </t>
  </si>
  <si>
    <t>Linea de extensión para perfusor</t>
  </si>
  <si>
    <t>5105-00155-01</t>
  </si>
  <si>
    <t xml:space="preserve">Linea de extensión fotosensible para perfusor, una conexión luer hembra y una conexión luer macho, clamp de pinza, diámetro interno 1.4 mm, libre de DEHP, de PVC, longitud: 150 cm </t>
  </si>
  <si>
    <t>Linea de extensión fotosensible para perfusor</t>
  </si>
  <si>
    <t>3101-00140-01</t>
  </si>
  <si>
    <t xml:space="preserve">Set de infusión para soluciones paraenterales, con dos puertos para aguja, conector luer lock, clamp de rodillo, filtro de 1.2 μm, libre de DEHP, de PVC longitud: 300 cm </t>
  </si>
  <si>
    <t>Set de infusión para soluciones paraenterales</t>
  </si>
  <si>
    <t>3101-00137-01</t>
  </si>
  <si>
    <t>Set de infusión convencional, una pinza de rodillo, conector Luer Lock, dos puertos de inyección sin aguja;
PVC sin DEHP; Longitud del tubo: 300 cm.</t>
  </si>
  <si>
    <t>3101-00141-01</t>
  </si>
  <si>
    <t>Set de infusión para volumenes medidos de 150 ml, espiga separada, pinza de rodillo, dos puertos de inyección sin aguja, cierre Luer giratorio, pinza Robert;
PVC sin DEHP; Longitud del tubo: 300 cm.</t>
  </si>
  <si>
    <t>Set de infusión para volumenes medidos de 150 ml</t>
  </si>
  <si>
    <t>3101-00132-01</t>
  </si>
  <si>
    <t>Set de infusión para soluciones paraenterales, una pinza de rodillo, conector Luer Lock, un puerto de inyección sin aguja, filtro de 1,2 μm; PVC sin DEHP; Longitud del tubo: 300 cm.</t>
  </si>
  <si>
    <t>3101-00147-01</t>
  </si>
  <si>
    <t>Set de infusión para hemoderivados, pinza antirretorno, espiga universal, una pinza de rodillo, conector Luer Lock, un puerto de inyección sin aguja, filtro de 200 μm; PVC sin DEHP; longitud del tubo: 250 cm.</t>
  </si>
  <si>
    <t>3101-00120-01</t>
  </si>
  <si>
    <t>Set de infusión fotosensible, una pinza de rodillo, un puerto de inyección sin aguja, conector Luer Lock;
PVC sensible a los rayos UV, sin DEHP; Longitud del tubo: 250 cm.</t>
  </si>
  <si>
    <t>3101-00119-01</t>
  </si>
  <si>
    <t xml:space="preserve">Set de infusión para hemoderivados, filtro de 200 μm, conector luer lock, clamp de rodillo, con segmento de silicon libre de DEHP, de PVC, longitud: 300 cm </t>
  </si>
  <si>
    <t>3101-00115-01</t>
  </si>
  <si>
    <t>Set de infusión fotosensible, con un puerto para aguja, conector luer lock, clamp de rodillo, con segmento de silicon, libre de DEHP, de PVC, longitud: 300 cm</t>
  </si>
  <si>
    <t>3101-00368-01</t>
  </si>
  <si>
    <t>Set de infusión convencional, con dos puertos para aguja, conector luer lock, clamp de rodillo, con segmento de silicon libre de DEHP, de PVC, longitud: 300 cm</t>
  </si>
  <si>
    <t>3101-00369-01</t>
  </si>
  <si>
    <t xml:space="preserve">Set de infusión para soluciones paraenterales, con un puerto para aguja, conector luer lock, clamp de rodillo, filtro de 1.2 μm, con segmento de silicon libre de DEHP, de PVC longitud: 300 cm </t>
  </si>
  <si>
    <t>3101-00370-01</t>
  </si>
  <si>
    <t xml:space="preserve">Set de infusión de volumenes medidos, cámara de bureta de 150 ml, dos conexiones para aguja, clamp Robert, con segmento de silicona libre de DEHP, de PVC,  longitud: 300 cm </t>
  </si>
  <si>
    <t>3101-00371-01</t>
  </si>
  <si>
    <t>Set de infusión, con filtro de 0.2 μm, con segmento de silicon y con puerto de conexión para aguja, libre de DEHP y de PVC  (para medicamentos oncológicos)</t>
  </si>
  <si>
    <t>Set de infusión, con filtro de 0.2 μm</t>
  </si>
  <si>
    <t>3101-00117-01</t>
  </si>
  <si>
    <t>Set de infusión fotosensible, con un puerto libre de aguja, conector luer lock, clamp de rodillo, con segmento de silicon, libre de DEHP, de PVC, longitud: 300 cm</t>
  </si>
  <si>
    <t>NPZ-W-S1</t>
  </si>
  <si>
    <t>Set de infusión convencional, con dos puertos libres de aguja, conector luer lock, clamp de rodillo, con segmento de silicon libre de DEHP, de PVC, longitud: 300 cm</t>
  </si>
  <si>
    <t>3101-00112-01</t>
  </si>
  <si>
    <t xml:space="preserve">Set de infusión para soluciones paraenterales, con un puerto libre de aguja, conector luer lock, clamp de rodillo, filtro de 1.2 μm, con segmento de silicon libre de DEHP, de PVC longitud: 300 cm </t>
  </si>
  <si>
    <t>NPZ-WP-D3</t>
  </si>
  <si>
    <t xml:space="preserve">Set de infusión de volumenes medidos, cámara de bureta de 150 ml, dos conexiones libres de aguja, clamp Robert, con segmento de silicona libre de DEHP, de PVC,  longitud: 300 cm </t>
  </si>
  <si>
    <t>3101-00154-01</t>
  </si>
  <si>
    <t>Set de infusión, con filtro de 0.2 μm, con segmento de silicon y un puerto de conexión libre aguja, libre de DEHP y de PVC  (para medicamentos oncológicos)</t>
  </si>
  <si>
    <t>03ML-WO/N</t>
  </si>
  <si>
    <t>Jeringa s/aguja 3 ml. La jeringa estéril desechable está compuesta por un émbolo, un cilindro y un pistón sin aguja o aguja de seguridad.</t>
  </si>
  <si>
    <t>Jeringa s/aguja 3 ml.</t>
  </si>
  <si>
    <t>05ML-WO/N</t>
  </si>
  <si>
    <t>Jeringa s/aguja 5 ml. La jeringa estéril desechable está compuesta por un émbolo, un cilindro y un pistón sin aguja o aguja de seguridad.</t>
  </si>
  <si>
    <t>Jeringa s/aguja 5 ml.</t>
  </si>
  <si>
    <t>10ML-WO/N</t>
  </si>
  <si>
    <t>Jeringa s/aguja 10 ml. La jeringa estéril desechable está compuesta por un émbolo, un cilindro y un pistón sin aguja o aguja de seguridad.</t>
  </si>
  <si>
    <t>Jeringa s/aguja 10 ml.</t>
  </si>
  <si>
    <t>20ML-WO/N</t>
  </si>
  <si>
    <t>Jeringa s/aguja 20 ml. La jeringa estéril desechable está compuesta por un émbolo, un cilindro y un pistón sin aguja o aguja de seguridad.</t>
  </si>
  <si>
    <t>Jeringa s/aguja 20 ml.</t>
  </si>
  <si>
    <t>50ML-WO/N</t>
  </si>
  <si>
    <t>Jeringa s/aguja 50 ml. La jeringa estéril desechable está compuesta por un émbolo, un cilindro y un pistón sin aguja o aguja de seguridad.</t>
  </si>
  <si>
    <t>Jeringa s/aguja 50 ml.</t>
  </si>
  <si>
    <t>60ML-WO/N</t>
  </si>
  <si>
    <t>Jeringa s/aguja 60 ml. La jeringa estéril desechable está compuesta por un émbolo, un cilindro y un pistón sin aguja o aguja de seguridad.</t>
  </si>
  <si>
    <t>Jeringa s/aguja 60 ml.</t>
  </si>
  <si>
    <t>03ML-FOTO WO/N</t>
  </si>
  <si>
    <t>Jeringa fotosensible s/aguja 3 ml. El producto está compuesto por un émbolo, un cilindro y un pistón sin aguja. El cilindro está diseñado para ser opaco a la luz. El producto se esteriliza con óxido de etileno y es desechable.</t>
  </si>
  <si>
    <t>Jeringa fotosensible s/aguja 3 ml.</t>
  </si>
  <si>
    <t>05ML-FOTO WO/N</t>
  </si>
  <si>
    <t>Jeringa fotosensible s/aguja 5 ml. El producto está compuesto por un émbolo, un cilindro y un pistón sin aguja. El cilindro está diseñado para ser opaco a la luz. El producto se esteriliza con óxido de etileno y es desechable.</t>
  </si>
  <si>
    <t>Jeringa fotosensible s/aguja 5 ml.</t>
  </si>
  <si>
    <t>10ML-FOTO WO/N</t>
  </si>
  <si>
    <t>Jeringa fotosensible s/aguja 10 ml. El producto está compuesto por un émbolo, un cilindro y un pistón sin aguja. El cilindro está diseñado para ser opaco a la luz. El producto se esteriliza con óxido de etileno y es desechable.</t>
  </si>
  <si>
    <t>Jeringa fotosensible s/aguja 10 ml.</t>
  </si>
  <si>
    <t>20ML-FOTO WO/N</t>
  </si>
  <si>
    <t>Jeringa fotosensible s/aguja 20 ml. El producto está compuesto por un émbolo, un cilindro y un pistón sin aguja. El cilindro está diseñado para ser opaco a la luz. El producto se esteriliza con óxido de etileno y es desechable.</t>
  </si>
  <si>
    <t>Jeringa fotosensible s/aguja 20 ml.</t>
  </si>
  <si>
    <t>50ML-FOTO WO/N</t>
  </si>
  <si>
    <t>Jeringa fotosensible s/aguja 50 ml. El producto está compuesto por un émbolo, un cilindro y un pistón sin aguja. El cilindro está diseñado para ser opaco a la luz. El producto se esteriliza con óxido de etileno y es desechable.</t>
  </si>
  <si>
    <t>Jeringa fotosensible s/aguja 50 ml.</t>
  </si>
  <si>
    <t>60ML-FOTO WO/N</t>
  </si>
  <si>
    <t>Jeringa fotosensible s/aguja 60 ml. El producto está compuesto por un émbolo, un cilindro y un pistón sin aguja. El cilindro está diseñado para ser opaco a la luz. El producto se esteriliza con óxido de etileno y es desechable.</t>
  </si>
  <si>
    <t>Jeringa fotosensible s/aguja 60 ml.</t>
  </si>
  <si>
    <t>03ML-FOTO WN</t>
  </si>
  <si>
    <t>Jeringa fotosensible con aguja 3 ml. El producto está compuesto por un émbolo, un cilindro y un pistón con aguja. El cilindro está diseñado para ser opaco a la luz. El producto se esteriliza con óxido de etileno y es desechable.</t>
  </si>
  <si>
    <t>Jeringa fotosensible con aguja 3 ml.</t>
  </si>
  <si>
    <t>Jeringa fotosensible con aguja 5 ml</t>
  </si>
  <si>
    <t>Jeringa fotosensible con aguja 5 ml.</t>
  </si>
  <si>
    <t>Jeringa fotosensible con aguja 10 ml</t>
  </si>
  <si>
    <t>Jeringa fotosensible con aguja 20 ml</t>
  </si>
  <si>
    <t>Jeringa fotosensible con aguja 50 ml</t>
  </si>
  <si>
    <t>Jeringa fotosensible con aguja 60 ml</t>
  </si>
  <si>
    <t>HP60B-CTO-06</t>
  </si>
  <si>
    <t>Bomba de infusión con pantalla táctil universal, sets IV compatibles. 1 asa HP-81, 1 bracket HP  y 1 cable de alimentación.</t>
  </si>
  <si>
    <t>Medcaptain</t>
  </si>
  <si>
    <t>HP-60</t>
  </si>
  <si>
    <t>Equipo</t>
  </si>
  <si>
    <t>Si</t>
  </si>
  <si>
    <t>AP-60</t>
  </si>
  <si>
    <t>HP30B-CTO-01</t>
  </si>
  <si>
    <t xml:space="preserve"> Perfusor con pantalla táctil, compatible con jeringas universales (2ml, 3ml, 5ml, 10ml, 20ml, 30ml, 50/60ml). 1 asa HP-81, 1 bracket HP y 1 cable de alimentación.</t>
  </si>
  <si>
    <t>HP-30</t>
  </si>
  <si>
    <t>HP30B-CTO-05</t>
  </si>
  <si>
    <t>Perfusor para uso con pacientes neonatales, con pantalla táctil, Compatible con jeringa universal (2ml, 3ml, 5ml, 10ml, 20ml, 30ml, 50/60ml). 1 asa HP-81, 1 bracket HP y 1 cable de alimentación.</t>
  </si>
  <si>
    <t>HP-30 Neo (Standard)</t>
  </si>
  <si>
    <t>HP30B-CTO-13</t>
  </si>
  <si>
    <t>HP-30 Neo (MRI compatible)</t>
  </si>
  <si>
    <t>HP TCI</t>
  </si>
  <si>
    <t>Perfusor con pantalla táctil con modo TCI (sistema de infusión controlada por objetivo). 1 asa HP-81, 1 bracket HP y 1 cable de alimentación.</t>
  </si>
  <si>
    <t>AP TCI</t>
  </si>
  <si>
    <t>1103-00110-01</t>
  </si>
  <si>
    <t>Software básico con función de monitorización, Única versión no CE disponible, Usar código de activación para activar diferentes funciones</t>
  </si>
  <si>
    <t>iCMS express Basic monitoring</t>
  </si>
  <si>
    <t>1103-00110-02</t>
  </si>
  <si>
    <t xml:space="preserve"> Acceso para crear y mondificar doseControl perfil de la lista de medicamentos, Crear archivo de actualización, Realizar la mejora de la bomba, Única versión no CE disponible, Usar código de activación para activar diferentes funciones</t>
  </si>
  <si>
    <t>iCMS DoseControl editor</t>
  </si>
  <si>
    <t>1103-00110-03</t>
  </si>
  <si>
    <t>Análisis de datos CQI (mejora continua de la calidad) y generación de informes, Única versión no CE disponible, Usar código de activación para activar diferentes funciones</t>
  </si>
  <si>
    <t>iCMS CQI report module</t>
  </si>
  <si>
    <t>1103-00110-04</t>
  </si>
  <si>
    <t>Acceso para crear y mondificar doseControl perfil de la lista de medicamentos, Crear archivo de actualización, Realizar la mejora de la bomba, Análisis de datos CQI (mejora continua de la calidad) y generación de informes, Función de monitorización, Única versión no CE disponible, Usar código de activación para activar diferentes funciones</t>
  </si>
  <si>
    <t>iCMS professional</t>
  </si>
  <si>
    <t>1103-00110-05</t>
  </si>
  <si>
    <t>Acceso para crear y mondificar doseControl perfil de la lista de medicamentos, Crear archivo de actualización, Realizar la mejora de la bomba, Análisis de datos CQI (mejora continua de la calidad) y generación de informes, Función de monitorización, Periodo de prueba de 3 meses tras la activación, Única versión no CE disponible, Usar código de activación para activar diferentes funciones</t>
  </si>
  <si>
    <t>iCMS professional-trial version</t>
  </si>
  <si>
    <t>IP17B-CTO-02</t>
  </si>
  <si>
    <t>Unidad de control principal + 4 ranuras. Estación de trabajo modular sin bombas. Con 1 SCU, 1 MSU, 1 pinza HP-80 y 1 cable de alimentación.</t>
  </si>
  <si>
    <t>HP-80 MRI Monitor</t>
  </si>
  <si>
    <t>HP80C-CTO-02</t>
  </si>
  <si>
    <t>Unidad de mando inteligente, Módulo WiFi.</t>
  </si>
  <si>
    <t>HP SCU</t>
  </si>
  <si>
    <t>1201-00065-01</t>
  </si>
  <si>
    <t>Unidad modular de apilamiento con 1 abrazadera de estación HP, sin bombas. No hay cable de alimentación. No SCU, Llamada de enfermería y sensor de entrega.</t>
  </si>
  <si>
    <t>HP MSU</t>
  </si>
  <si>
    <t>IP17B-CTO-01</t>
  </si>
  <si>
    <t>Estación de trabajo HP-80 para resonancia magnética con un carro sin bomba, Pero cuando haces el pedido, también tienes que pedir el carrito</t>
  </si>
  <si>
    <t>HP-80 MRI Workstation</t>
  </si>
  <si>
    <t>1199-00042-01</t>
  </si>
  <si>
    <t>Carro para HP-80 MRI
HP-110 IP17 Trolley</t>
  </si>
  <si>
    <t>HP-110</t>
  </si>
  <si>
    <t>1419-00198-01</t>
  </si>
  <si>
    <t>Soporte para mesa MS-100 solo para monitor de 21,5 pulgadas, Sin monitor</t>
  </si>
  <si>
    <t>MS-100 Table Support</t>
  </si>
  <si>
    <t>1408-00348-01</t>
  </si>
  <si>
    <t>Caja de viaje para monitor MS-100 con sus accesorios. Sin estación de trabajo ni bombas. Cuatro rodaños. Tamaño: 600x420x270mm</t>
  </si>
  <si>
    <t>MS-100 monitor travel kits</t>
  </si>
  <si>
    <t>1462-00850-01</t>
  </si>
  <si>
    <t>Cable BiDi estándar 25 m</t>
  </si>
  <si>
    <t>25 m（Standard)</t>
  </si>
  <si>
    <t>1199-00062-01</t>
  </si>
  <si>
    <t>Cable BiDi 50 m</t>
  </si>
  <si>
    <t>50m</t>
  </si>
  <si>
    <t>1199-00063-01</t>
  </si>
  <si>
    <t>Cable BiDi 100 m</t>
  </si>
  <si>
    <t>100m</t>
  </si>
  <si>
    <t>HP-80 MRI</t>
  </si>
  <si>
    <t>Configuración para MRI (Carro, estación de trabajo, monitor, cable BiDI)
HP-80 MRI MRI WORKSTATION MONITOR + HP-80 MRI infusion workstation</t>
  </si>
  <si>
    <t>HP30B-CTO-03</t>
  </si>
  <si>
    <t>Compatible con la resonancia magnética, Estándar: Bomba de jeringuilla con pantalla táctil, compatible con jeringuilla universal (2ml, 3ml, 5ml, 10ml, 20ml, 30ml, 50/60ml), 1 mango HP-81, 1 abrazadera HP PRO para el poste y 1 cable de alimentación, Opciones: llamada de enfermería y módulo wifi.</t>
  </si>
  <si>
    <t>HP-30 PRO (Standard)</t>
  </si>
  <si>
    <t>HP30B-CTO-14</t>
  </si>
  <si>
    <t>HP-30 PRO (MRI compatible)</t>
  </si>
  <si>
    <t>HP60B-CTO-03</t>
  </si>
  <si>
    <t>Modelo de tres en uno Compatible con la resonancia magnética Estándar: bomba de infusión con pantalla táctil, juegos de tubos de PVC dedicados a tubos de silicona compatibles. 1 mango HP-81, 1 abrazadera de tubo de bomba HP y 1 cable de alimentación. Opciones: llamada de enfermería, sensor de caída y módulo wifi.</t>
  </si>
  <si>
    <t>HP-60 PRO (Standard)</t>
  </si>
  <si>
    <t>HP60B-CTO-10</t>
  </si>
  <si>
    <t>HP-60 PRO (MRI compatible)</t>
  </si>
  <si>
    <t>MV01B-CTO-02</t>
  </si>
  <si>
    <t>Localizador de venas con pantalla</t>
  </si>
  <si>
    <t>Navi-60</t>
  </si>
  <si>
    <t>MV01B-CTO-01</t>
  </si>
  <si>
    <t>Localizador de venas sin pantalla</t>
  </si>
  <si>
    <t>NAVI-30</t>
  </si>
  <si>
    <t>1199-00048-01</t>
  </si>
  <si>
    <t>soporte para Navi Mobile</t>
  </si>
  <si>
    <t>NAVI-MS</t>
  </si>
  <si>
    <t>1199-00046-01</t>
  </si>
  <si>
    <t>Navi Soporte fijo Escritorio</t>
  </si>
  <si>
    <t>NAVI-FS</t>
  </si>
  <si>
    <t>3005-01491-01</t>
  </si>
  <si>
    <t>Bolsa de alimentación de 1200 ml, bolsa de hidratación de 1200 ml, cámara antigoteo, conector escalonado, puerto de inyección Luer. Uso con bomba EP-90</t>
  </si>
  <si>
    <t>E705S112</t>
  </si>
  <si>
    <t>3005-01492-01</t>
  </si>
  <si>
    <t>Bolsa de alimentación de 1200 ml, bolsa de hidratación de 1200 ml, cámara antigoteo, conector ENFit, conector escalonado ENFit, puerto de inyección ENFit. Uso con bomba EP-90</t>
  </si>
  <si>
    <t>E705E212</t>
  </si>
  <si>
    <t>3105-00009-01</t>
  </si>
  <si>
    <t>Set de administración enteral desechable para EP-60</t>
  </si>
  <si>
    <t>IP27B-CTO-01</t>
  </si>
  <si>
    <t xml:space="preserve">Bomba de alimentación enteral </t>
  </si>
  <si>
    <t>EP-90</t>
  </si>
  <si>
    <t>RP513</t>
  </si>
  <si>
    <t>Carro para bomba de infusión, con capacidad de carga de 18 kg, altura ajustable de 160 a 248 cm
Carro para bomba de infusión
☆Material: aleación de aluminio
☆Capacidad de carga: 18 kg
☆Base: aleación de aluminio, 580 mm
de diámetro, base en forma de estrella ☆Ruedas: ruedas médicas de 3 pulgadas ☆ Altura: 160-248 cm
Ajustable ☆Sin cesta, CON SOPORTE
PIEZAS</t>
  </si>
  <si>
    <t>TPX</t>
  </si>
  <si>
    <t>RP013</t>
  </si>
  <si>
    <t>Carro para bomba de infusión, con capacidad de carga de 18 kg, soporta de 6 a 8 bombas</t>
  </si>
  <si>
    <t>RP513-M</t>
  </si>
  <si>
    <t>Bracket de seguridad</t>
  </si>
  <si>
    <t>Costo_Base</t>
  </si>
  <si>
    <t>Moneda</t>
  </si>
  <si>
    <t>Fecha_Actualización</t>
  </si>
  <si>
    <t>Notas</t>
  </si>
  <si>
    <t>Aquí solo se actualiza el costo base (Ex-Works o nacional).</t>
  </si>
  <si>
    <t>Free</t>
  </si>
  <si>
    <t>Concepto</t>
  </si>
  <si>
    <t>Tipo</t>
  </si>
  <si>
    <t>Valor</t>
  </si>
  <si>
    <t>NOTA</t>
  </si>
  <si>
    <t>Maritimo</t>
  </si>
  <si>
    <t>%</t>
  </si>
  <si>
    <t>Porcentaje sobre costo base (en moneda base convertida a MXN)</t>
  </si>
  <si>
    <t>Ajusta estos parámetros globales. Si necesitas excepciones por SKU, se puede añadir una hoja de EXCEPCIONES.</t>
  </si>
  <si>
    <t>Aereo</t>
  </si>
  <si>
    <t>Porcentaje sobre costo base</t>
  </si>
  <si>
    <t>Arancel</t>
  </si>
  <si>
    <t>Gastos_Aduana</t>
  </si>
  <si>
    <t>Fijo_MXN</t>
  </si>
  <si>
    <t>Monto fijo por unidad en MXN (ajústalo a tu realidad)</t>
  </si>
  <si>
    <t>maritimo 30%  esto define costo flete</t>
  </si>
  <si>
    <t xml:space="preserve">aereo 120% </t>
  </si>
  <si>
    <t>TC_MXN</t>
  </si>
  <si>
    <t>Fuente/Notas</t>
  </si>
  <si>
    <t>Fecha</t>
  </si>
  <si>
    <t>MXN</t>
  </si>
  <si>
    <t>Base</t>
  </si>
  <si>
    <t xml:space="preserve">Promedio +3 </t>
  </si>
  <si>
    <t>EUR</t>
  </si>
  <si>
    <t>Promedio +1</t>
  </si>
  <si>
    <t>GBP</t>
  </si>
  <si>
    <t>Transporte</t>
  </si>
  <si>
    <t>Costo_Base_MXN</t>
  </si>
  <si>
    <t>Flete_%</t>
  </si>
  <si>
    <t>Seguro_%</t>
  </si>
  <si>
    <t>Arancel_%</t>
  </si>
  <si>
    <t>Gastos_Aduana_MXN</t>
  </si>
  <si>
    <t>Landed_Cost_MXN</t>
  </si>
  <si>
    <t>Tipo_Cliente</t>
  </si>
  <si>
    <t>Margen_%</t>
  </si>
  <si>
    <t>Hospital</t>
  </si>
  <si>
    <t>Distribuidor</t>
  </si>
  <si>
    <t>Gobierno</t>
  </si>
  <si>
    <t>Privado</t>
  </si>
  <si>
    <t>Moneda_Precio</t>
  </si>
  <si>
    <t>Precio_Venta_MXN</t>
  </si>
  <si>
    <t>Precio_Venta_Moneda</t>
  </si>
  <si>
    <t>Precio_Min_MXN</t>
  </si>
  <si>
    <t>USO</t>
  </si>
  <si>
    <t>Ventas debe usar esta hoja (solo lectura). Exporta a CSV/PDF según se requiera.</t>
  </si>
  <si>
    <t>Versión</t>
  </si>
  <si>
    <t>Cambio / Motivo</t>
  </si>
  <si>
    <t>Responsable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</si>
</sst>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4" x14ac:knownFonts="1">
    <font>
      <sz val="11"/>
      <color theme="1"/>
      <name val="Calibri"/>
      <family val="2"/>
      <scheme val="minor"/>
    </font>
    <font>
      <b/>
      <sz val="11"/>
      <color rgb="FFFFFFFF"/>
      <name val="Calibri"/>
    </font>
    <font>
      <sz val="11"/>
      <color theme="1"/>
      <name val="Calibri"/>
      <family val="2"/>
      <scheme val="minor"/>
    </font>
    <font>
      <sz val="10"/>
      <color rgb="FF000000"/>
      <name val="Segoe UI"/>
      <family val="2"/>
    </font>
  </fonts>
  <fills count="3">
    <fill>
      <patternFill patternType="none"/>
    </fill>
    <fill>
      <patternFill patternType="gray125"/>
    </fill>
    <fill>
      <patternFill patternType="solid">
        <fgColor rgb="FF1F4E79"/>
      </patternFill>
    </fill>
  </fills>
  <borders count="1">
    <border>
      <left/>
      <right/>
      <top/>
      <bottom/>
      <diagonal/>
    </border>
  </borders>
  <cellStyleXfs count="4">
    <xf numFmtId="0" fontId="0" fillId="0" borderId="0"/>
    <xf numFmtId="0" fontId="2" fillId="0" borderId="0"/>
    <xf numFmtId="0" fontId="2" fillId="0" borderId="0"/>
    <xf numFmtId="0" fontId="2" fillId="0" borderId="0">
      <alignment vertical="center"/>
    </xf>
  </cellStyleXfs>
  <cellXfs count="10">
    <xf numFmtId="0" fontId="0" fillId="0" borderId="0" xfId="0"/>
    <xf numFmtId="0" fontId="1" fillId="2" borderId="0" xfId="0" applyFont="1" applyFill="1" applyAlignment="1">
      <alignment horizontal="center" vertical="center" wrapText="1"/>
    </xf>
    <xf numFmtId="4" fontId="0" fillId="0" borderId="0" xfId="0" applyNumberFormat="1"/>
    <xf numFmtId="10" fontId="0" fillId="0" borderId="0" xfId="0" applyNumberFormat="1"/>
    <xf numFmtId="49" fontId="0" fillId="0" borderId="0" xfId="0" applyNumberFormat="1"/>
    <xf numFmtId="0" fontId="3" fillId="0" borderId="0" xfId="0" applyFont="1"/>
    <xf numFmtId="14" fontId="0" fillId="0" borderId="0" xfId="0" applyNumberFormat="1"/>
    <xf numFmtId="164" fontId="0" fillId="0" borderId="0" xfId="0" applyNumberFormat="1"/>
    <xf numFmtId="10" fontId="0" fillId="0" borderId="0" xfId="0" applyNumberFormat="1" applyAlignment="1">
      <alignment horizontal="right"/>
    </xf>
    <xf numFmtId="4" fontId="0" fillId="0" borderId="0" xfId="0" applyNumberFormat="1" applyAlignment="1">
      <alignment horizontal="right"/>
    </xf>
  </cellXfs>
  <cellStyles count="4">
    <cellStyle name="Normal" xfId="0" builtinId="0"/>
    <cellStyle name="Normal 2" xfId="3" xr:uid="{B59CDC4A-B88C-4505-B127-1B64AE2D93A6}"/>
    <cellStyle name="常规 2" xfId="2" xr:uid="{9C728637-E1ED-4D31-B3AD-541A926F6BD0}"/>
    <cellStyle name="常规 4" xfId="1" xr:uid="{2E1E2ABB-6C43-4B1B-8EEB-31B1A47BCB52}"/>
  </cellStyles>
  <dxfs count="6">
    <dxf>
      <numFmt numFmtId="14" formatCode="0.00%"/>
    </dxf>
    <dxf>
      <numFmt numFmtId="4" formatCode="#,##0.00"/>
    </dxf>
    <dxf>
      <numFmt numFmtId="0" formatCode="General"/>
    </dxf>
    <dxf>
      <numFmt numFmtId="19" formatCode="dd/mm/yyyy"/>
    </dxf>
    <dxf>
      <numFmt numFmtId="30" formatCode="@"/>
    </dxf>
    <dxf>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Catalogo" displayName="tblCatalogo" ref="A1:I107" headerRowCellStyle="Normal" dataCellStyle="Normal" totalsRowCellStyle="Normal">
  <autoFilter ref="A1:I107" xr:uid="{00000000-000C-0000-FFFF-FFFF00000000}"/>
  <tableColumns count="9">
    <tableColumn id="1" xr3:uid="{00000000-0010-0000-0000-000001000000}" name="SKU" dataCellStyle="Normal"/>
    <tableColumn id="2" xr3:uid="{00000000-0010-0000-0000-000002000000}" name="Descripción" dataCellStyle="Normal"/>
    <tableColumn id="8" xr3:uid="{9812E481-8413-4CC9-9462-8DAA05822A4E}" name="Proveedor" dataCellStyle="Normal"/>
    <tableColumn id="9" xr3:uid="{28F8971B-CE55-4F4D-85A7-A32BD43A1134}" name="Model" dataDxfId="5" dataCellStyle="Normal"/>
    <tableColumn id="3" xr3:uid="{00000000-0010-0000-0000-000003000000}" name="Origen" dataCellStyle="Normal"/>
    <tableColumn id="4" xr3:uid="{00000000-0010-0000-0000-000004000000}" name="Categoría" dataCellStyle="Normal"/>
    <tableColumn id="5" xr3:uid="{00000000-0010-0000-0000-000005000000}" name="Unidad" dataCellStyle="Normal"/>
    <tableColumn id="6" xr3:uid="{00000000-0010-0000-0000-000006000000}" name="Moneda_Base" dataCellStyle="Normal"/>
    <tableColumn id="7" xr3:uid="{00000000-0010-0000-0000-000007000000}" name="Activo (Sí/No)" dataCellStyle="Normal"/>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CostoBase" displayName="tblCostoBase" ref="A1:F200" headerRowCellStyle="Normal" dataCellStyle="Normal" totalsRowCellStyle="Normal">
  <autoFilter ref="A1:F200" xr:uid="{00000000-000C-0000-FFFF-FFFF01000000}"/>
  <tableColumns count="6">
    <tableColumn id="1" xr3:uid="{00000000-0010-0000-0100-000001000000}" name="SKU" dataDxfId="4" dataCellStyle="Normal"/>
    <tableColumn id="2" xr3:uid="{00000000-0010-0000-0100-000002000000}" name="Costo_Base" dataCellStyle="Normal"/>
    <tableColumn id="3" xr3:uid="{00000000-0010-0000-0100-000003000000}" name="Moneda" dataCellStyle="Normal"/>
    <tableColumn id="4" xr3:uid="{00000000-0010-0000-0100-000004000000}" name="Fecha_Actualización" dataDxfId="3" dataCellStyle="Normal">
      <calculatedColumnFormula>TODAY()</calculatedColumnFormula>
    </tableColumn>
    <tableColumn id="5" xr3:uid="{00000000-0010-0000-0100-000005000000}" name="Notas" dataCellStyle="Normal"/>
    <tableColumn id="6" xr3:uid="{612DF6C6-8069-425E-BB3F-F586753F9A06}" name="Proveedor" dataDxfId="2" dataCellStyle="Normal" totalsRowCellStyle="Normal"/>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ParamsImp" displayName="tblParamsImp" ref="A1:D20" headerRowCellStyle="Normal" dataCellStyle="Normal" totalsRowCellStyle="Normal">
  <autoFilter ref="A1:D20" xr:uid="{00000000-0009-0000-0100-000003000000}"/>
  <tableColumns count="4">
    <tableColumn id="1" xr3:uid="{00000000-0010-0000-0200-000001000000}" name="Concepto" dataCellStyle="Normal"/>
    <tableColumn id="2" xr3:uid="{00000000-0010-0000-0200-000002000000}" name="Tipo" dataCellStyle="Normal"/>
    <tableColumn id="3" xr3:uid="{00000000-0010-0000-0200-000003000000}" name="Valor" dataCellStyle="Normal"/>
    <tableColumn id="4" xr3:uid="{00000000-0010-0000-0200-000004000000}" name="Descripción" dataCellStyle="Normal"/>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TC" displayName="tblTC" ref="A1:D20" headerRowCellStyle="Normal" dataCellStyle="Normal" totalsRowCellStyle="Normal">
  <autoFilter ref="A1:D20" xr:uid="{00000000-0009-0000-0100-000004000000}"/>
  <tableColumns count="4">
    <tableColumn id="1" xr3:uid="{00000000-0010-0000-0300-000001000000}" name="Moneda" dataCellStyle="Normal"/>
    <tableColumn id="2" xr3:uid="{00000000-0010-0000-0300-000002000000}" name="TC_MXN" dataCellStyle="Normal"/>
    <tableColumn id="3" xr3:uid="{00000000-0010-0000-0300-000003000000}" name="Fuente/Notas" dataCellStyle="Normal"/>
    <tableColumn id="4" xr3:uid="{00000000-0010-0000-0300-000004000000}" name="Fecha" dataCellStyle="Normal"/>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Margenes" displayName="tblMargenes" ref="A1:C50" headerRowCellStyle="Normal" dataCellStyle="Normal" totalsRowCellStyle="Normal">
  <autoFilter ref="A1:C50" xr:uid="{00000000-0009-0000-0100-000005000000}"/>
  <tableColumns count="3">
    <tableColumn id="1" xr3:uid="{00000000-0010-0000-0400-000001000000}" name="Tipo_Cliente" dataCellStyle="Normal"/>
    <tableColumn id="2" xr3:uid="{00000000-0010-0000-0400-000002000000}" name="Margen_%" dataCellStyle="Normal"/>
    <tableColumn id="3" xr3:uid="{00000000-0010-0000-0400-000003000000}" name="Notas" dataCellStyle="Normal"/>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lPrecios" displayName="tblPrecios" ref="A1:J200">
  <autoFilter ref="A1:J200" xr:uid="{00000000-0009-0000-0100-000006000000}"/>
  <tableColumns count="10">
    <tableColumn id="1" xr3:uid="{00000000-0010-0000-0500-000001000000}" name="SKU"/>
    <tableColumn id="2" xr3:uid="{00000000-0010-0000-0500-000002000000}" name="Tipo_Cliente"/>
    <tableColumn id="3" xr3:uid="{00000000-0010-0000-0500-000003000000}" name="Moneda_Precio"/>
    <tableColumn id="4" xr3:uid="{00000000-0010-0000-0500-000004000000}" name="TC_MXN">
      <calculatedColumnFormula>_xlfn.XLOOKUP(tblPrecios[[#This Row],[Moneda_Precio]],TIPOS_CAMBIO!A:A,TIPOS_CAMBIO!B:B,"",0)</calculatedColumnFormula>
    </tableColumn>
    <tableColumn id="5" xr3:uid="{00000000-0010-0000-0500-000005000000}" name="Landed_Cost_MXN" dataDxfId="1">
      <calculatedColumnFormula>_xlfn.XLOOKUP(tblPrecios[[#This Row],[SKU]],LANDED_COST!A:A,LANDED_COST!L:L,"00.00",0)</calculatedColumnFormula>
    </tableColumn>
    <tableColumn id="6" xr3:uid="{00000000-0010-0000-0500-000006000000}" name="Margen_%" dataDxfId="0">
      <calculatedColumnFormula>_xlfn.XLOOKUP(tblPrecios[[#This Row],[Tipo_Cliente]],POLITICAS_MARGEN!A:A,POLITICAS_MARGEN!B:B,0,0)</calculatedColumnFormula>
    </tableColumn>
    <tableColumn id="7" xr3:uid="{00000000-0010-0000-0500-000007000000}" name="Precio_Venta_MXN"/>
    <tableColumn id="8" xr3:uid="{00000000-0010-0000-0500-000008000000}" name="Precio_Venta_Moneda"/>
    <tableColumn id="9" xr3:uid="{00000000-0010-0000-0500-000009000000}" name="Precio_Min_MXN"/>
    <tableColumn id="10" xr3:uid="{00000000-0010-0000-0500-00000A000000}" name="Nota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autoPageBreaks="0"/>
  </sheetPr>
  <dimension ref="A1:K80"/>
  <sheetViews>
    <sheetView tabSelected="1" zoomScaleNormal="100" workbookViewId="0">
      <pane ySplit="1" topLeftCell="A2" activePane="bottomLeft" state="frozen"/>
      <selection pane="bottomLeft" activeCell="A2" sqref="A2"/>
    </sheetView>
  </sheetViews>
  <sheetFormatPr baseColWidth="10" defaultColWidth="8.7265625" defaultRowHeight="14.5" x14ac:dyDescent="0.35"/>
  <cols>
    <col min="1" max="1" width="14" customWidth="1"/>
    <col min="2" max="4" width="18.453125" customWidth="1"/>
    <col min="5" max="7" width="14" customWidth="1"/>
    <col min="8" max="9" width="40" customWidth="1"/>
    <col min="11" max="11" width="40" customWidth="1"/>
    <col min="14" max="14" width="30" customWidth="1"/>
  </cols>
  <sheetData>
    <row r="1" spans="1:11" x14ac:dyDescent="0.35">
      <c r="A1" t="s">
        <v>0</v>
      </c>
      <c r="B1" t="s">
        <v>1</v>
      </c>
      <c r="C1" t="s">
        <v>2</v>
      </c>
      <c r="D1" t="s">
        <v>3</v>
      </c>
      <c r="E1" t="s">
        <v>4</v>
      </c>
      <c r="F1" t="s">
        <v>5</v>
      </c>
      <c r="G1" t="s">
        <v>6</v>
      </c>
      <c r="H1" t="s">
        <v>7</v>
      </c>
      <c r="I1" t="s">
        <v>8</v>
      </c>
      <c r="K1" t="s">
        <v>9</v>
      </c>
    </row>
    <row r="2" spans="1:11" x14ac:dyDescent="0.35">
      <c r="A2" t="s">
        <v>10</v>
      </c>
      <c r="B2" t="s">
        <v>11</v>
      </c>
      <c r="C2" t="s">
        <v>12</v>
      </c>
      <c r="D2" t="s">
        <v>13</v>
      </c>
      <c r="E2" t="s">
        <v>14</v>
      </c>
      <c r="F2" t="s">
        <v>15</v>
      </c>
      <c r="G2" t="s">
        <v>16</v>
      </c>
      <c r="H2" t="s">
        <v>17</v>
      </c>
      <c r="I2" t="s">
        <v>18</v>
      </c>
      <c r="K2" t="s">
        <v>19</v>
      </c>
    </row>
    <row r="3" spans="1:11" x14ac:dyDescent="0.35">
      <c r="A3" t="s">
        <v>20</v>
      </c>
      <c r="B3" t="s">
        <v>21</v>
      </c>
      <c r="C3" t="s">
        <v>12</v>
      </c>
      <c r="D3" t="s">
        <v>22</v>
      </c>
      <c r="E3" t="s">
        <v>14</v>
      </c>
      <c r="F3" t="s">
        <v>15</v>
      </c>
      <c r="G3" t="s">
        <v>16</v>
      </c>
      <c r="H3" t="s">
        <v>17</v>
      </c>
      <c r="I3" t="s">
        <v>18</v>
      </c>
    </row>
    <row r="4" spans="1:11" x14ac:dyDescent="0.35">
      <c r="A4" t="s">
        <v>23</v>
      </c>
      <c r="B4" t="s">
        <v>24</v>
      </c>
      <c r="C4" t="s">
        <v>12</v>
      </c>
      <c r="D4" t="s">
        <v>25</v>
      </c>
      <c r="E4" t="s">
        <v>14</v>
      </c>
      <c r="F4" t="s">
        <v>15</v>
      </c>
      <c r="G4" t="s">
        <v>16</v>
      </c>
      <c r="H4" t="s">
        <v>17</v>
      </c>
      <c r="I4" t="s">
        <v>18</v>
      </c>
    </row>
    <row r="5" spans="1:11" x14ac:dyDescent="0.35">
      <c r="A5" t="s">
        <v>26</v>
      </c>
      <c r="B5" t="s">
        <v>27</v>
      </c>
      <c r="C5" t="s">
        <v>12</v>
      </c>
      <c r="D5" t="s">
        <v>28</v>
      </c>
      <c r="E5" t="s">
        <v>14</v>
      </c>
      <c r="F5" t="s">
        <v>15</v>
      </c>
      <c r="G5" t="s">
        <v>16</v>
      </c>
      <c r="H5" t="s">
        <v>17</v>
      </c>
      <c r="I5" t="s">
        <v>18</v>
      </c>
    </row>
    <row r="6" spans="1:11" x14ac:dyDescent="0.35">
      <c r="A6" t="s">
        <v>29</v>
      </c>
      <c r="B6" t="s">
        <v>30</v>
      </c>
      <c r="C6" t="s">
        <v>12</v>
      </c>
      <c r="D6" t="s">
        <v>31</v>
      </c>
      <c r="E6" t="s">
        <v>14</v>
      </c>
      <c r="F6" t="s">
        <v>15</v>
      </c>
      <c r="G6" t="s">
        <v>16</v>
      </c>
      <c r="H6" t="s">
        <v>17</v>
      </c>
      <c r="I6" t="s">
        <v>18</v>
      </c>
    </row>
    <row r="7" spans="1:11" x14ac:dyDescent="0.35">
      <c r="A7" t="s">
        <v>32</v>
      </c>
      <c r="B7" t="s">
        <v>33</v>
      </c>
      <c r="C7" t="s">
        <v>12</v>
      </c>
      <c r="D7" t="s">
        <v>34</v>
      </c>
      <c r="E7" t="s">
        <v>14</v>
      </c>
      <c r="F7" t="s">
        <v>15</v>
      </c>
      <c r="G7" t="s">
        <v>16</v>
      </c>
      <c r="H7" t="s">
        <v>17</v>
      </c>
      <c r="I7" t="s">
        <v>18</v>
      </c>
    </row>
    <row r="8" spans="1:11" x14ac:dyDescent="0.35">
      <c r="A8" t="s">
        <v>35</v>
      </c>
      <c r="B8" t="s">
        <v>36</v>
      </c>
      <c r="C8" t="s">
        <v>12</v>
      </c>
      <c r="D8" t="s">
        <v>37</v>
      </c>
      <c r="E8" t="s">
        <v>14</v>
      </c>
      <c r="F8" t="s">
        <v>15</v>
      </c>
      <c r="G8" t="s">
        <v>16</v>
      </c>
      <c r="H8" t="s">
        <v>17</v>
      </c>
      <c r="I8" t="s">
        <v>18</v>
      </c>
    </row>
    <row r="9" spans="1:11" x14ac:dyDescent="0.35">
      <c r="A9" t="s">
        <v>38</v>
      </c>
      <c r="B9" t="s">
        <v>39</v>
      </c>
      <c r="C9" t="s">
        <v>12</v>
      </c>
      <c r="D9" t="s">
        <v>25</v>
      </c>
      <c r="E9" t="s">
        <v>14</v>
      </c>
      <c r="F9" t="s">
        <v>15</v>
      </c>
      <c r="G9" t="s">
        <v>16</v>
      </c>
      <c r="H9" t="s">
        <v>17</v>
      </c>
      <c r="I9" t="s">
        <v>18</v>
      </c>
    </row>
    <row r="10" spans="1:11" x14ac:dyDescent="0.35">
      <c r="A10" t="s">
        <v>40</v>
      </c>
      <c r="B10" t="s">
        <v>41</v>
      </c>
      <c r="C10" t="s">
        <v>12</v>
      </c>
      <c r="D10" t="s">
        <v>42</v>
      </c>
      <c r="E10" t="s">
        <v>14</v>
      </c>
      <c r="F10" t="s">
        <v>15</v>
      </c>
      <c r="G10" t="s">
        <v>16</v>
      </c>
      <c r="H10" t="s">
        <v>17</v>
      </c>
      <c r="I10" t="s">
        <v>18</v>
      </c>
    </row>
    <row r="11" spans="1:11" x14ac:dyDescent="0.35">
      <c r="A11" t="s">
        <v>43</v>
      </c>
      <c r="B11" t="s">
        <v>44</v>
      </c>
      <c r="C11" t="s">
        <v>12</v>
      </c>
      <c r="D11" t="s">
        <v>37</v>
      </c>
      <c r="E11" t="s">
        <v>14</v>
      </c>
      <c r="F11" t="s">
        <v>15</v>
      </c>
      <c r="G11" t="s">
        <v>16</v>
      </c>
      <c r="H11" t="s">
        <v>17</v>
      </c>
      <c r="I11" t="s">
        <v>18</v>
      </c>
    </row>
    <row r="12" spans="1:11" x14ac:dyDescent="0.35">
      <c r="A12" t="s">
        <v>45</v>
      </c>
      <c r="B12" t="s">
        <v>46</v>
      </c>
      <c r="C12" t="s">
        <v>12</v>
      </c>
      <c r="D12" t="s">
        <v>28</v>
      </c>
      <c r="E12" t="s">
        <v>14</v>
      </c>
      <c r="F12" t="s">
        <v>15</v>
      </c>
      <c r="G12" t="s">
        <v>16</v>
      </c>
      <c r="H12" t="s">
        <v>17</v>
      </c>
      <c r="I12" t="s">
        <v>18</v>
      </c>
    </row>
    <row r="13" spans="1:11" x14ac:dyDescent="0.35">
      <c r="A13" t="s">
        <v>47</v>
      </c>
      <c r="B13" t="s">
        <v>48</v>
      </c>
      <c r="C13" t="s">
        <v>12</v>
      </c>
      <c r="D13" t="s">
        <v>13</v>
      </c>
      <c r="E13" t="s">
        <v>14</v>
      </c>
      <c r="F13" t="s">
        <v>15</v>
      </c>
      <c r="G13" t="s">
        <v>16</v>
      </c>
      <c r="H13" t="s">
        <v>17</v>
      </c>
      <c r="I13" t="s">
        <v>18</v>
      </c>
    </row>
    <row r="14" spans="1:11" x14ac:dyDescent="0.35">
      <c r="A14" t="s">
        <v>49</v>
      </c>
      <c r="B14" t="s">
        <v>50</v>
      </c>
      <c r="C14" t="s">
        <v>12</v>
      </c>
      <c r="D14" t="s">
        <v>28</v>
      </c>
      <c r="E14" t="s">
        <v>14</v>
      </c>
      <c r="F14" t="s">
        <v>15</v>
      </c>
      <c r="G14" t="s">
        <v>16</v>
      </c>
      <c r="H14" t="s">
        <v>17</v>
      </c>
      <c r="I14" t="s">
        <v>18</v>
      </c>
    </row>
    <row r="15" spans="1:11" x14ac:dyDescent="0.35">
      <c r="A15" t="s">
        <v>51</v>
      </c>
      <c r="B15" t="s">
        <v>52</v>
      </c>
      <c r="C15" t="s">
        <v>12</v>
      </c>
      <c r="D15" t="s">
        <v>13</v>
      </c>
      <c r="E15" t="s">
        <v>14</v>
      </c>
      <c r="F15" t="s">
        <v>15</v>
      </c>
      <c r="G15" t="s">
        <v>16</v>
      </c>
      <c r="H15" t="s">
        <v>17</v>
      </c>
      <c r="I15" t="s">
        <v>18</v>
      </c>
    </row>
    <row r="16" spans="1:11" x14ac:dyDescent="0.35">
      <c r="A16" t="s">
        <v>53</v>
      </c>
      <c r="B16" t="s">
        <v>54</v>
      </c>
      <c r="C16" t="s">
        <v>12</v>
      </c>
      <c r="D16" t="s">
        <v>25</v>
      </c>
      <c r="E16" t="s">
        <v>14</v>
      </c>
      <c r="F16" t="s">
        <v>15</v>
      </c>
      <c r="G16" t="s">
        <v>16</v>
      </c>
      <c r="H16" t="s">
        <v>17</v>
      </c>
      <c r="I16" t="s">
        <v>18</v>
      </c>
    </row>
    <row r="17" spans="1:9" x14ac:dyDescent="0.35">
      <c r="A17" t="s">
        <v>55</v>
      </c>
      <c r="B17" t="s">
        <v>56</v>
      </c>
      <c r="C17" t="s">
        <v>12</v>
      </c>
      <c r="D17" t="s">
        <v>37</v>
      </c>
      <c r="E17" t="s">
        <v>14</v>
      </c>
      <c r="F17" t="s">
        <v>15</v>
      </c>
      <c r="G17" t="s">
        <v>16</v>
      </c>
      <c r="H17" t="s">
        <v>17</v>
      </c>
      <c r="I17" t="s">
        <v>18</v>
      </c>
    </row>
    <row r="18" spans="1:9" x14ac:dyDescent="0.35">
      <c r="A18" t="s">
        <v>57</v>
      </c>
      <c r="B18" t="s">
        <v>58</v>
      </c>
      <c r="C18" t="s">
        <v>12</v>
      </c>
      <c r="D18" t="s">
        <v>22</v>
      </c>
      <c r="E18" t="s">
        <v>14</v>
      </c>
      <c r="F18" t="s">
        <v>15</v>
      </c>
      <c r="G18" t="s">
        <v>16</v>
      </c>
      <c r="H18" t="s">
        <v>17</v>
      </c>
      <c r="I18" t="s">
        <v>18</v>
      </c>
    </row>
    <row r="19" spans="1:9" x14ac:dyDescent="0.35">
      <c r="A19" t="s">
        <v>59</v>
      </c>
      <c r="B19" t="s">
        <v>60</v>
      </c>
      <c r="C19" t="s">
        <v>12</v>
      </c>
      <c r="D19" t="s">
        <v>61</v>
      </c>
      <c r="E19" t="s">
        <v>14</v>
      </c>
      <c r="F19" t="s">
        <v>15</v>
      </c>
      <c r="G19" t="s">
        <v>16</v>
      </c>
      <c r="H19" t="s">
        <v>17</v>
      </c>
      <c r="I19" t="s">
        <v>18</v>
      </c>
    </row>
    <row r="20" spans="1:9" x14ac:dyDescent="0.35">
      <c r="A20" t="s">
        <v>62</v>
      </c>
      <c r="B20" t="s">
        <v>63</v>
      </c>
      <c r="C20" t="s">
        <v>12</v>
      </c>
      <c r="D20" t="s">
        <v>13</v>
      </c>
      <c r="E20" t="s">
        <v>14</v>
      </c>
      <c r="F20" t="s">
        <v>15</v>
      </c>
      <c r="G20" t="s">
        <v>16</v>
      </c>
      <c r="H20" t="s">
        <v>17</v>
      </c>
      <c r="I20" t="s">
        <v>18</v>
      </c>
    </row>
    <row r="21" spans="1:9" x14ac:dyDescent="0.35">
      <c r="A21" t="s">
        <v>64</v>
      </c>
      <c r="B21" t="s">
        <v>65</v>
      </c>
      <c r="C21" t="s">
        <v>12</v>
      </c>
      <c r="D21" t="s">
        <v>25</v>
      </c>
      <c r="E21" t="s">
        <v>14</v>
      </c>
      <c r="F21" t="s">
        <v>15</v>
      </c>
      <c r="G21" t="s">
        <v>16</v>
      </c>
      <c r="H21" t="s">
        <v>17</v>
      </c>
      <c r="I21" t="s">
        <v>18</v>
      </c>
    </row>
    <row r="22" spans="1:9" x14ac:dyDescent="0.35">
      <c r="A22" t="s">
        <v>66</v>
      </c>
      <c r="B22" t="s">
        <v>67</v>
      </c>
      <c r="C22" t="s">
        <v>12</v>
      </c>
      <c r="D22" t="s">
        <v>37</v>
      </c>
      <c r="E22" t="s">
        <v>14</v>
      </c>
      <c r="F22" t="s">
        <v>15</v>
      </c>
      <c r="G22" t="s">
        <v>16</v>
      </c>
      <c r="H22" t="s">
        <v>17</v>
      </c>
      <c r="I22" t="s">
        <v>18</v>
      </c>
    </row>
    <row r="23" spans="1:9" x14ac:dyDescent="0.35">
      <c r="A23" t="s">
        <v>68</v>
      </c>
      <c r="B23" t="s">
        <v>69</v>
      </c>
      <c r="C23" t="s">
        <v>12</v>
      </c>
      <c r="D23" t="s">
        <v>22</v>
      </c>
      <c r="E23" t="s">
        <v>14</v>
      </c>
      <c r="F23" t="s">
        <v>15</v>
      </c>
      <c r="G23" t="s">
        <v>16</v>
      </c>
      <c r="H23" t="s">
        <v>17</v>
      </c>
      <c r="I23" t="s">
        <v>18</v>
      </c>
    </row>
    <row r="24" spans="1:9" x14ac:dyDescent="0.35">
      <c r="A24" t="s">
        <v>70</v>
      </c>
      <c r="B24" t="s">
        <v>71</v>
      </c>
      <c r="C24" t="s">
        <v>12</v>
      </c>
      <c r="D24" t="s">
        <v>61</v>
      </c>
      <c r="E24" t="s">
        <v>14</v>
      </c>
      <c r="F24" t="s">
        <v>15</v>
      </c>
      <c r="G24" t="s">
        <v>16</v>
      </c>
      <c r="H24" t="s">
        <v>17</v>
      </c>
      <c r="I24" t="s">
        <v>18</v>
      </c>
    </row>
    <row r="25" spans="1:9" x14ac:dyDescent="0.35">
      <c r="A25" t="s">
        <v>72</v>
      </c>
      <c r="B25" t="s">
        <v>73</v>
      </c>
      <c r="C25" t="s">
        <v>12</v>
      </c>
      <c r="D25" t="s">
        <v>74</v>
      </c>
      <c r="E25" t="s">
        <v>14</v>
      </c>
      <c r="F25" t="s">
        <v>15</v>
      </c>
      <c r="G25" t="s">
        <v>16</v>
      </c>
      <c r="H25" t="s">
        <v>17</v>
      </c>
      <c r="I25" t="s">
        <v>18</v>
      </c>
    </row>
    <row r="26" spans="1:9" x14ac:dyDescent="0.35">
      <c r="A26" t="s">
        <v>75</v>
      </c>
      <c r="B26" t="s">
        <v>76</v>
      </c>
      <c r="C26" t="s">
        <v>12</v>
      </c>
      <c r="D26" t="s">
        <v>77</v>
      </c>
      <c r="E26" t="s">
        <v>14</v>
      </c>
      <c r="F26" t="s">
        <v>15</v>
      </c>
      <c r="G26" t="s">
        <v>16</v>
      </c>
      <c r="H26" t="s">
        <v>17</v>
      </c>
      <c r="I26" t="s">
        <v>18</v>
      </c>
    </row>
    <row r="27" spans="1:9" x14ac:dyDescent="0.35">
      <c r="A27" t="s">
        <v>78</v>
      </c>
      <c r="B27" t="s">
        <v>79</v>
      </c>
      <c r="C27" t="s">
        <v>12</v>
      </c>
      <c r="D27" t="s">
        <v>80</v>
      </c>
      <c r="E27" t="s">
        <v>14</v>
      </c>
      <c r="F27" t="s">
        <v>15</v>
      </c>
      <c r="G27" t="s">
        <v>16</v>
      </c>
      <c r="H27" t="s">
        <v>17</v>
      </c>
      <c r="I27" t="s">
        <v>18</v>
      </c>
    </row>
    <row r="28" spans="1:9" x14ac:dyDescent="0.35">
      <c r="A28" t="s">
        <v>81</v>
      </c>
      <c r="B28" t="s">
        <v>82</v>
      </c>
      <c r="C28" t="s">
        <v>12</v>
      </c>
      <c r="D28" t="s">
        <v>83</v>
      </c>
      <c r="E28" t="s">
        <v>14</v>
      </c>
      <c r="F28" t="s">
        <v>15</v>
      </c>
      <c r="G28" t="s">
        <v>16</v>
      </c>
      <c r="H28" t="s">
        <v>17</v>
      </c>
      <c r="I28" t="s">
        <v>18</v>
      </c>
    </row>
    <row r="29" spans="1:9" x14ac:dyDescent="0.35">
      <c r="A29" t="s">
        <v>84</v>
      </c>
      <c r="B29" t="s">
        <v>85</v>
      </c>
      <c r="C29" t="s">
        <v>12</v>
      </c>
      <c r="D29" t="s">
        <v>86</v>
      </c>
      <c r="E29" t="s">
        <v>14</v>
      </c>
      <c r="F29" t="s">
        <v>15</v>
      </c>
      <c r="G29" t="s">
        <v>16</v>
      </c>
      <c r="H29" t="s">
        <v>17</v>
      </c>
      <c r="I29" t="s">
        <v>18</v>
      </c>
    </row>
    <row r="30" spans="1:9" x14ac:dyDescent="0.35">
      <c r="A30" t="s">
        <v>87</v>
      </c>
      <c r="B30" t="s">
        <v>88</v>
      </c>
      <c r="C30" t="s">
        <v>12</v>
      </c>
      <c r="D30" t="s">
        <v>89</v>
      </c>
      <c r="E30" t="s">
        <v>14</v>
      </c>
      <c r="F30" t="s">
        <v>15</v>
      </c>
      <c r="G30" t="s">
        <v>16</v>
      </c>
      <c r="H30" t="s">
        <v>17</v>
      </c>
      <c r="I30" t="s">
        <v>18</v>
      </c>
    </row>
    <row r="31" spans="1:9" x14ac:dyDescent="0.35">
      <c r="A31" t="s">
        <v>90</v>
      </c>
      <c r="B31" t="s">
        <v>91</v>
      </c>
      <c r="C31" t="s">
        <v>12</v>
      </c>
      <c r="D31" t="s">
        <v>92</v>
      </c>
      <c r="E31" t="s">
        <v>14</v>
      </c>
      <c r="F31" t="s">
        <v>15</v>
      </c>
      <c r="G31" t="s">
        <v>16</v>
      </c>
      <c r="H31" t="s">
        <v>17</v>
      </c>
      <c r="I31" t="s">
        <v>18</v>
      </c>
    </row>
    <row r="32" spans="1:9" x14ac:dyDescent="0.35">
      <c r="A32" t="s">
        <v>93</v>
      </c>
      <c r="B32" t="s">
        <v>94</v>
      </c>
      <c r="C32" t="s">
        <v>12</v>
      </c>
      <c r="D32" t="s">
        <v>95</v>
      </c>
      <c r="E32" t="s">
        <v>14</v>
      </c>
      <c r="F32" t="s">
        <v>15</v>
      </c>
      <c r="G32" t="s">
        <v>16</v>
      </c>
      <c r="H32" t="s">
        <v>17</v>
      </c>
      <c r="I32" t="s">
        <v>18</v>
      </c>
    </row>
    <row r="33" spans="1:9" x14ac:dyDescent="0.35">
      <c r="A33" t="s">
        <v>96</v>
      </c>
      <c r="B33" t="s">
        <v>97</v>
      </c>
      <c r="C33" t="s">
        <v>12</v>
      </c>
      <c r="D33" t="s">
        <v>98</v>
      </c>
      <c r="E33" t="s">
        <v>14</v>
      </c>
      <c r="F33" t="s">
        <v>15</v>
      </c>
      <c r="G33" t="s">
        <v>16</v>
      </c>
      <c r="H33" t="s">
        <v>17</v>
      </c>
      <c r="I33" t="s">
        <v>18</v>
      </c>
    </row>
    <row r="34" spans="1:9" x14ac:dyDescent="0.35">
      <c r="A34" t="s">
        <v>99</v>
      </c>
      <c r="B34" t="s">
        <v>100</v>
      </c>
      <c r="C34" t="s">
        <v>12</v>
      </c>
      <c r="D34" t="s">
        <v>101</v>
      </c>
      <c r="E34" t="s">
        <v>14</v>
      </c>
      <c r="F34" t="s">
        <v>15</v>
      </c>
      <c r="G34" t="s">
        <v>16</v>
      </c>
      <c r="H34" t="s">
        <v>17</v>
      </c>
      <c r="I34" t="s">
        <v>18</v>
      </c>
    </row>
    <row r="35" spans="1:9" x14ac:dyDescent="0.35">
      <c r="A35" t="s">
        <v>102</v>
      </c>
      <c r="B35" t="s">
        <v>103</v>
      </c>
      <c r="C35" t="s">
        <v>12</v>
      </c>
      <c r="D35" t="s">
        <v>104</v>
      </c>
      <c r="E35" t="s">
        <v>14</v>
      </c>
      <c r="F35" t="s">
        <v>15</v>
      </c>
      <c r="G35" t="s">
        <v>16</v>
      </c>
      <c r="H35" t="s">
        <v>17</v>
      </c>
      <c r="I35" t="s">
        <v>18</v>
      </c>
    </row>
    <row r="36" spans="1:9" x14ac:dyDescent="0.35">
      <c r="A36" t="s">
        <v>105</v>
      </c>
      <c r="B36" t="s">
        <v>106</v>
      </c>
      <c r="C36" t="s">
        <v>12</v>
      </c>
      <c r="D36" t="s">
        <v>107</v>
      </c>
      <c r="E36" t="s">
        <v>14</v>
      </c>
      <c r="F36" t="s">
        <v>15</v>
      </c>
      <c r="G36" t="s">
        <v>16</v>
      </c>
      <c r="H36" t="s">
        <v>17</v>
      </c>
      <c r="I36" t="s">
        <v>18</v>
      </c>
    </row>
    <row r="37" spans="1:9" x14ac:dyDescent="0.35">
      <c r="A37" t="s">
        <v>108</v>
      </c>
      <c r="B37" t="s">
        <v>109</v>
      </c>
      <c r="C37" t="s">
        <v>12</v>
      </c>
      <c r="D37" t="s">
        <v>110</v>
      </c>
      <c r="E37" t="s">
        <v>14</v>
      </c>
      <c r="F37" t="s">
        <v>15</v>
      </c>
      <c r="G37" t="s">
        <v>16</v>
      </c>
      <c r="H37" t="s">
        <v>17</v>
      </c>
      <c r="I37" t="s">
        <v>18</v>
      </c>
    </row>
    <row r="38" spans="1:9" x14ac:dyDescent="0.35">
      <c r="A38" t="s">
        <v>111</v>
      </c>
      <c r="B38" s="4" t="s">
        <v>111</v>
      </c>
      <c r="C38" t="s">
        <v>12</v>
      </c>
      <c r="D38" t="s">
        <v>112</v>
      </c>
      <c r="E38" t="s">
        <v>14</v>
      </c>
      <c r="F38" t="s">
        <v>15</v>
      </c>
      <c r="G38" t="s">
        <v>16</v>
      </c>
      <c r="H38" t="s">
        <v>17</v>
      </c>
      <c r="I38" t="s">
        <v>18</v>
      </c>
    </row>
    <row r="39" spans="1:9" x14ac:dyDescent="0.35">
      <c r="A39" t="s">
        <v>113</v>
      </c>
      <c r="B39" s="4" t="s">
        <v>113</v>
      </c>
      <c r="C39" t="s">
        <v>12</v>
      </c>
      <c r="D39" t="s">
        <v>113</v>
      </c>
      <c r="E39" t="s">
        <v>14</v>
      </c>
      <c r="F39" t="s">
        <v>15</v>
      </c>
      <c r="G39" t="s">
        <v>16</v>
      </c>
      <c r="H39" t="s">
        <v>17</v>
      </c>
      <c r="I39" t="s">
        <v>18</v>
      </c>
    </row>
    <row r="40" spans="1:9" x14ac:dyDescent="0.35">
      <c r="A40" t="s">
        <v>114</v>
      </c>
      <c r="B40" s="4" t="s">
        <v>114</v>
      </c>
      <c r="C40" t="s">
        <v>12</v>
      </c>
      <c r="D40" t="s">
        <v>114</v>
      </c>
      <c r="E40" t="s">
        <v>14</v>
      </c>
      <c r="F40" t="s">
        <v>15</v>
      </c>
      <c r="G40" t="s">
        <v>16</v>
      </c>
      <c r="H40" t="s">
        <v>17</v>
      </c>
      <c r="I40" t="s">
        <v>18</v>
      </c>
    </row>
    <row r="41" spans="1:9" x14ac:dyDescent="0.35">
      <c r="A41" t="s">
        <v>115</v>
      </c>
      <c r="B41" s="4" t="s">
        <v>115</v>
      </c>
      <c r="C41" t="s">
        <v>12</v>
      </c>
      <c r="D41" t="s">
        <v>115</v>
      </c>
      <c r="E41" t="s">
        <v>14</v>
      </c>
      <c r="F41" t="s">
        <v>15</v>
      </c>
      <c r="G41" t="s">
        <v>16</v>
      </c>
      <c r="H41" t="s">
        <v>17</v>
      </c>
      <c r="I41" t="s">
        <v>18</v>
      </c>
    </row>
    <row r="42" spans="1:9" x14ac:dyDescent="0.35">
      <c r="A42" t="s">
        <v>116</v>
      </c>
      <c r="B42" s="4" t="s">
        <v>116</v>
      </c>
      <c r="C42" t="s">
        <v>12</v>
      </c>
      <c r="D42" t="s">
        <v>116</v>
      </c>
      <c r="E42" t="s">
        <v>14</v>
      </c>
      <c r="F42" t="s">
        <v>15</v>
      </c>
      <c r="G42" t="s">
        <v>16</v>
      </c>
      <c r="H42" t="s">
        <v>17</v>
      </c>
      <c r="I42" t="s">
        <v>18</v>
      </c>
    </row>
    <row r="43" spans="1:9" x14ac:dyDescent="0.35">
      <c r="A43" t="s">
        <v>117</v>
      </c>
      <c r="B43" t="s">
        <v>118</v>
      </c>
      <c r="C43" t="s">
        <v>119</v>
      </c>
      <c r="D43" t="s">
        <v>120</v>
      </c>
      <c r="E43" t="s">
        <v>14</v>
      </c>
      <c r="F43" t="s">
        <v>121</v>
      </c>
      <c r="H43" t="s">
        <v>17</v>
      </c>
      <c r="I43" t="s">
        <v>122</v>
      </c>
    </row>
    <row r="44" spans="1:9" x14ac:dyDescent="0.35">
      <c r="A44" t="s">
        <v>123</v>
      </c>
      <c r="E44" t="s">
        <v>14</v>
      </c>
      <c r="F44" t="s">
        <v>121</v>
      </c>
      <c r="G44" t="s">
        <v>16</v>
      </c>
      <c r="H44" t="s">
        <v>17</v>
      </c>
      <c r="I44" t="s">
        <v>122</v>
      </c>
    </row>
    <row r="45" spans="1:9" x14ac:dyDescent="0.35">
      <c r="A45" t="s">
        <v>124</v>
      </c>
      <c r="B45" t="s">
        <v>125</v>
      </c>
      <c r="C45" t="s">
        <v>119</v>
      </c>
      <c r="D45" s="4" t="s">
        <v>126</v>
      </c>
      <c r="E45" t="s">
        <v>14</v>
      </c>
      <c r="F45" t="s">
        <v>121</v>
      </c>
      <c r="G45" t="s">
        <v>16</v>
      </c>
      <c r="H45" t="s">
        <v>17</v>
      </c>
      <c r="I45" t="s">
        <v>122</v>
      </c>
    </row>
    <row r="46" spans="1:9" x14ac:dyDescent="0.35">
      <c r="A46" t="s">
        <v>127</v>
      </c>
      <c r="B46" t="s">
        <v>128</v>
      </c>
      <c r="D46" s="4" t="s">
        <v>129</v>
      </c>
      <c r="E46" t="s">
        <v>14</v>
      </c>
      <c r="F46" t="s">
        <v>121</v>
      </c>
      <c r="G46" t="s">
        <v>16</v>
      </c>
      <c r="H46" t="s">
        <v>17</v>
      </c>
      <c r="I46" t="s">
        <v>122</v>
      </c>
    </row>
    <row r="47" spans="1:9" x14ac:dyDescent="0.35">
      <c r="A47" t="s">
        <v>130</v>
      </c>
      <c r="B47" t="s">
        <v>128</v>
      </c>
      <c r="C47" t="s">
        <v>119</v>
      </c>
      <c r="D47" s="4" t="s">
        <v>131</v>
      </c>
      <c r="E47" t="s">
        <v>14</v>
      </c>
      <c r="F47" t="s">
        <v>121</v>
      </c>
      <c r="G47" t="s">
        <v>16</v>
      </c>
      <c r="H47" t="s">
        <v>17</v>
      </c>
      <c r="I47" t="s">
        <v>122</v>
      </c>
    </row>
    <row r="48" spans="1:9" x14ac:dyDescent="0.35">
      <c r="A48" t="s">
        <v>132</v>
      </c>
      <c r="B48" t="s">
        <v>133</v>
      </c>
      <c r="C48" t="s">
        <v>119</v>
      </c>
      <c r="E48" t="s">
        <v>14</v>
      </c>
      <c r="F48" t="s">
        <v>121</v>
      </c>
      <c r="G48" t="s">
        <v>16</v>
      </c>
      <c r="H48" t="s">
        <v>17</v>
      </c>
      <c r="I48" t="s">
        <v>122</v>
      </c>
    </row>
    <row r="49" spans="1:9" x14ac:dyDescent="0.35">
      <c r="A49" t="s">
        <v>134</v>
      </c>
      <c r="E49" t="s">
        <v>14</v>
      </c>
      <c r="F49" t="s">
        <v>121</v>
      </c>
      <c r="G49" t="s">
        <v>16</v>
      </c>
      <c r="H49" t="s">
        <v>17</v>
      </c>
      <c r="I49" t="s">
        <v>122</v>
      </c>
    </row>
    <row r="50" spans="1:9" x14ac:dyDescent="0.35">
      <c r="A50" t="s">
        <v>135</v>
      </c>
      <c r="B50" t="s">
        <v>136</v>
      </c>
      <c r="C50" t="s">
        <v>119</v>
      </c>
      <c r="D50" t="s">
        <v>137</v>
      </c>
      <c r="E50" t="s">
        <v>14</v>
      </c>
      <c r="F50" t="s">
        <v>121</v>
      </c>
      <c r="G50" t="s">
        <v>16</v>
      </c>
      <c r="H50" t="s">
        <v>17</v>
      </c>
      <c r="I50" t="s">
        <v>122</v>
      </c>
    </row>
    <row r="51" spans="1:9" x14ac:dyDescent="0.35">
      <c r="A51" t="s">
        <v>138</v>
      </c>
      <c r="B51" t="s">
        <v>139</v>
      </c>
      <c r="C51" t="s">
        <v>119</v>
      </c>
      <c r="D51" t="s">
        <v>140</v>
      </c>
      <c r="E51" t="s">
        <v>14</v>
      </c>
      <c r="F51" t="s">
        <v>121</v>
      </c>
      <c r="G51" t="s">
        <v>16</v>
      </c>
      <c r="H51" t="s">
        <v>17</v>
      </c>
      <c r="I51" t="s">
        <v>122</v>
      </c>
    </row>
    <row r="52" spans="1:9" x14ac:dyDescent="0.35">
      <c r="A52" t="s">
        <v>141</v>
      </c>
      <c r="B52" t="s">
        <v>142</v>
      </c>
      <c r="C52" t="s">
        <v>119</v>
      </c>
      <c r="D52" t="s">
        <v>143</v>
      </c>
      <c r="E52" t="s">
        <v>14</v>
      </c>
      <c r="F52" t="s">
        <v>121</v>
      </c>
      <c r="G52" t="s">
        <v>16</v>
      </c>
      <c r="H52" t="s">
        <v>17</v>
      </c>
      <c r="I52" t="s">
        <v>122</v>
      </c>
    </row>
    <row r="53" spans="1:9" x14ac:dyDescent="0.35">
      <c r="A53" t="s">
        <v>144</v>
      </c>
      <c r="B53" t="s">
        <v>145</v>
      </c>
      <c r="C53" t="s">
        <v>119</v>
      </c>
      <c r="D53" t="s">
        <v>146</v>
      </c>
      <c r="E53" t="s">
        <v>14</v>
      </c>
      <c r="F53" t="s">
        <v>121</v>
      </c>
      <c r="G53" t="s">
        <v>16</v>
      </c>
      <c r="H53" t="s">
        <v>17</v>
      </c>
      <c r="I53" t="s">
        <v>122</v>
      </c>
    </row>
    <row r="54" spans="1:9" x14ac:dyDescent="0.35">
      <c r="A54" t="s">
        <v>147</v>
      </c>
      <c r="B54" t="s">
        <v>148</v>
      </c>
      <c r="C54" t="s">
        <v>119</v>
      </c>
      <c r="D54" t="s">
        <v>149</v>
      </c>
      <c r="E54" t="s">
        <v>14</v>
      </c>
      <c r="F54" t="s">
        <v>121</v>
      </c>
      <c r="G54" t="s">
        <v>16</v>
      </c>
      <c r="H54" t="s">
        <v>17</v>
      </c>
      <c r="I54" t="s">
        <v>122</v>
      </c>
    </row>
    <row r="55" spans="1:9" x14ac:dyDescent="0.35">
      <c r="A55" t="s">
        <v>150</v>
      </c>
      <c r="B55" t="s">
        <v>151</v>
      </c>
      <c r="C55" t="s">
        <v>119</v>
      </c>
      <c r="D55" t="s">
        <v>152</v>
      </c>
      <c r="E55" t="s">
        <v>14</v>
      </c>
      <c r="F55" t="s">
        <v>121</v>
      </c>
      <c r="G55" t="s">
        <v>16</v>
      </c>
      <c r="H55" t="s">
        <v>17</v>
      </c>
      <c r="I55" t="s">
        <v>122</v>
      </c>
    </row>
    <row r="56" spans="1:9" x14ac:dyDescent="0.35">
      <c r="A56" t="s">
        <v>153</v>
      </c>
      <c r="B56" t="s">
        <v>154</v>
      </c>
      <c r="C56" t="s">
        <v>119</v>
      </c>
      <c r="D56" s="4" t="s">
        <v>155</v>
      </c>
      <c r="E56" t="s">
        <v>14</v>
      </c>
      <c r="F56" t="s">
        <v>121</v>
      </c>
      <c r="G56" t="s">
        <v>16</v>
      </c>
      <c r="H56" t="s">
        <v>17</v>
      </c>
      <c r="I56" t="s">
        <v>122</v>
      </c>
    </row>
    <row r="57" spans="1:9" x14ac:dyDescent="0.35">
      <c r="A57" t="s">
        <v>156</v>
      </c>
      <c r="B57" t="s">
        <v>157</v>
      </c>
      <c r="C57" t="s">
        <v>119</v>
      </c>
      <c r="D57" s="4" t="s">
        <v>158</v>
      </c>
      <c r="E57" t="s">
        <v>14</v>
      </c>
      <c r="F57" t="s">
        <v>121</v>
      </c>
      <c r="G57" t="s">
        <v>16</v>
      </c>
      <c r="H57" t="s">
        <v>17</v>
      </c>
      <c r="I57" t="s">
        <v>122</v>
      </c>
    </row>
    <row r="58" spans="1:9" x14ac:dyDescent="0.35">
      <c r="A58" t="s">
        <v>159</v>
      </c>
      <c r="B58" t="s">
        <v>160</v>
      </c>
      <c r="C58" t="s">
        <v>119</v>
      </c>
      <c r="D58" t="s">
        <v>161</v>
      </c>
      <c r="E58" t="s">
        <v>14</v>
      </c>
      <c r="F58" t="s">
        <v>121</v>
      </c>
      <c r="G58" t="s">
        <v>16</v>
      </c>
      <c r="H58" t="s">
        <v>17</v>
      </c>
      <c r="I58" t="s">
        <v>122</v>
      </c>
    </row>
    <row r="59" spans="1:9" x14ac:dyDescent="0.35">
      <c r="A59" t="s">
        <v>162</v>
      </c>
      <c r="B59" t="s">
        <v>163</v>
      </c>
      <c r="C59" t="s">
        <v>119</v>
      </c>
      <c r="D59" t="s">
        <v>164</v>
      </c>
      <c r="E59" t="s">
        <v>14</v>
      </c>
      <c r="F59" t="s">
        <v>121</v>
      </c>
      <c r="G59" t="s">
        <v>16</v>
      </c>
      <c r="H59" t="s">
        <v>17</v>
      </c>
      <c r="I59" t="s">
        <v>122</v>
      </c>
    </row>
    <row r="60" spans="1:9" x14ac:dyDescent="0.35">
      <c r="A60" t="s">
        <v>165</v>
      </c>
      <c r="B60" t="s">
        <v>166</v>
      </c>
      <c r="C60" t="s">
        <v>119</v>
      </c>
      <c r="D60" t="s">
        <v>167</v>
      </c>
      <c r="E60" t="s">
        <v>14</v>
      </c>
      <c r="F60" t="s">
        <v>121</v>
      </c>
      <c r="G60" t="s">
        <v>16</v>
      </c>
      <c r="H60" t="s">
        <v>17</v>
      </c>
      <c r="I60" t="s">
        <v>122</v>
      </c>
    </row>
    <row r="61" spans="1:9" x14ac:dyDescent="0.35">
      <c r="A61" t="s">
        <v>168</v>
      </c>
      <c r="B61" t="s">
        <v>169</v>
      </c>
      <c r="C61" t="s">
        <v>119</v>
      </c>
      <c r="D61" t="s">
        <v>170</v>
      </c>
      <c r="E61" t="s">
        <v>14</v>
      </c>
      <c r="F61" t="s">
        <v>121</v>
      </c>
      <c r="G61" t="s">
        <v>16</v>
      </c>
      <c r="H61" t="s">
        <v>17</v>
      </c>
      <c r="I61" t="s">
        <v>122</v>
      </c>
    </row>
    <row r="62" spans="1:9" x14ac:dyDescent="0.35">
      <c r="A62" t="s">
        <v>171</v>
      </c>
      <c r="B62" t="s">
        <v>172</v>
      </c>
      <c r="C62" t="s">
        <v>119</v>
      </c>
      <c r="D62" t="s">
        <v>173</v>
      </c>
      <c r="E62" t="s">
        <v>14</v>
      </c>
      <c r="F62" t="s">
        <v>121</v>
      </c>
      <c r="G62" t="s">
        <v>16</v>
      </c>
      <c r="H62" t="s">
        <v>17</v>
      </c>
      <c r="I62" t="s">
        <v>122</v>
      </c>
    </row>
    <row r="63" spans="1:9" x14ac:dyDescent="0.35">
      <c r="A63" t="s">
        <v>174</v>
      </c>
      <c r="B63" t="s">
        <v>175</v>
      </c>
      <c r="C63" t="s">
        <v>119</v>
      </c>
      <c r="D63" t="s">
        <v>176</v>
      </c>
      <c r="E63" t="s">
        <v>14</v>
      </c>
      <c r="F63" t="s">
        <v>121</v>
      </c>
      <c r="G63" t="s">
        <v>16</v>
      </c>
      <c r="H63" t="s">
        <v>17</v>
      </c>
      <c r="I63" t="s">
        <v>122</v>
      </c>
    </row>
    <row r="64" spans="1:9" x14ac:dyDescent="0.35">
      <c r="A64" t="s">
        <v>177</v>
      </c>
      <c r="B64" t="s">
        <v>178</v>
      </c>
      <c r="C64" t="s">
        <v>119</v>
      </c>
      <c r="D64" t="s">
        <v>179</v>
      </c>
      <c r="E64" t="s">
        <v>14</v>
      </c>
      <c r="F64" t="s">
        <v>121</v>
      </c>
      <c r="G64" t="s">
        <v>16</v>
      </c>
      <c r="H64" t="s">
        <v>17</v>
      </c>
      <c r="I64" t="s">
        <v>122</v>
      </c>
    </row>
    <row r="65" spans="1:9" x14ac:dyDescent="0.35">
      <c r="A65" t="s">
        <v>180</v>
      </c>
      <c r="B65" t="s">
        <v>181</v>
      </c>
      <c r="C65" t="s">
        <v>119</v>
      </c>
      <c r="E65" t="s">
        <v>14</v>
      </c>
      <c r="F65" t="s">
        <v>121</v>
      </c>
      <c r="G65" t="s">
        <v>16</v>
      </c>
      <c r="H65" t="s">
        <v>17</v>
      </c>
      <c r="I65" t="s">
        <v>122</v>
      </c>
    </row>
    <row r="66" spans="1:9" x14ac:dyDescent="0.35">
      <c r="A66" t="s">
        <v>182</v>
      </c>
      <c r="B66" t="s">
        <v>183</v>
      </c>
      <c r="C66" t="s">
        <v>119</v>
      </c>
      <c r="D66" t="s">
        <v>184</v>
      </c>
      <c r="E66" t="s">
        <v>14</v>
      </c>
      <c r="F66" t="s">
        <v>121</v>
      </c>
      <c r="G66" t="s">
        <v>16</v>
      </c>
      <c r="H66" t="s">
        <v>17</v>
      </c>
      <c r="I66" t="s">
        <v>122</v>
      </c>
    </row>
    <row r="67" spans="1:9" x14ac:dyDescent="0.35">
      <c r="A67" t="s">
        <v>185</v>
      </c>
      <c r="B67" t="s">
        <v>183</v>
      </c>
      <c r="C67" t="s">
        <v>119</v>
      </c>
      <c r="D67" t="s">
        <v>186</v>
      </c>
      <c r="E67" t="s">
        <v>14</v>
      </c>
      <c r="F67" t="s">
        <v>121</v>
      </c>
      <c r="G67" t="s">
        <v>16</v>
      </c>
      <c r="H67" t="s">
        <v>17</v>
      </c>
      <c r="I67" t="s">
        <v>122</v>
      </c>
    </row>
    <row r="68" spans="1:9" x14ac:dyDescent="0.35">
      <c r="A68" t="s">
        <v>187</v>
      </c>
      <c r="B68" t="s">
        <v>188</v>
      </c>
      <c r="C68" t="s">
        <v>119</v>
      </c>
      <c r="D68" t="s">
        <v>189</v>
      </c>
      <c r="E68" t="s">
        <v>14</v>
      </c>
      <c r="F68" t="s">
        <v>121</v>
      </c>
      <c r="G68" t="s">
        <v>16</v>
      </c>
      <c r="H68" t="s">
        <v>17</v>
      </c>
      <c r="I68" t="s">
        <v>122</v>
      </c>
    </row>
    <row r="69" spans="1:9" x14ac:dyDescent="0.35">
      <c r="A69" t="s">
        <v>190</v>
      </c>
      <c r="B69" t="s">
        <v>188</v>
      </c>
      <c r="C69" t="s">
        <v>119</v>
      </c>
      <c r="D69" t="s">
        <v>191</v>
      </c>
      <c r="E69" t="s">
        <v>14</v>
      </c>
      <c r="F69" t="s">
        <v>121</v>
      </c>
      <c r="G69" t="s">
        <v>16</v>
      </c>
      <c r="H69" t="s">
        <v>17</v>
      </c>
      <c r="I69" t="s">
        <v>122</v>
      </c>
    </row>
    <row r="70" spans="1:9" x14ac:dyDescent="0.35">
      <c r="A70" t="s">
        <v>192</v>
      </c>
      <c r="B70" t="s">
        <v>193</v>
      </c>
      <c r="C70" t="s">
        <v>119</v>
      </c>
      <c r="D70" t="s">
        <v>194</v>
      </c>
      <c r="E70" t="s">
        <v>14</v>
      </c>
      <c r="F70" t="s">
        <v>121</v>
      </c>
      <c r="G70" t="s">
        <v>16</v>
      </c>
      <c r="H70" t="s">
        <v>17</v>
      </c>
      <c r="I70" t="s">
        <v>122</v>
      </c>
    </row>
    <row r="71" spans="1:9" x14ac:dyDescent="0.35">
      <c r="A71" t="s">
        <v>195</v>
      </c>
      <c r="B71" t="s">
        <v>196</v>
      </c>
      <c r="C71" t="s">
        <v>119</v>
      </c>
      <c r="D71" s="4" t="s">
        <v>197</v>
      </c>
      <c r="E71" t="s">
        <v>14</v>
      </c>
      <c r="F71" t="s">
        <v>121</v>
      </c>
      <c r="G71" t="s">
        <v>16</v>
      </c>
      <c r="H71" t="s">
        <v>17</v>
      </c>
      <c r="I71" t="s">
        <v>122</v>
      </c>
    </row>
    <row r="72" spans="1:9" ht="16" x14ac:dyDescent="0.45">
      <c r="A72" t="s">
        <v>198</v>
      </c>
      <c r="B72" s="5" t="s">
        <v>199</v>
      </c>
      <c r="C72" t="s">
        <v>119</v>
      </c>
      <c r="D72" s="4" t="s">
        <v>200</v>
      </c>
      <c r="E72" t="s">
        <v>14</v>
      </c>
      <c r="F72" t="s">
        <v>121</v>
      </c>
      <c r="G72" t="s">
        <v>16</v>
      </c>
      <c r="H72" t="s">
        <v>17</v>
      </c>
      <c r="I72" t="s">
        <v>122</v>
      </c>
    </row>
    <row r="73" spans="1:9" x14ac:dyDescent="0.35">
      <c r="A73" t="s">
        <v>201</v>
      </c>
      <c r="B73" t="s">
        <v>202</v>
      </c>
      <c r="C73" t="s">
        <v>119</v>
      </c>
      <c r="D73" s="4" t="s">
        <v>203</v>
      </c>
      <c r="E73" t="s">
        <v>14</v>
      </c>
      <c r="F73" t="s">
        <v>121</v>
      </c>
      <c r="G73" t="s">
        <v>16</v>
      </c>
      <c r="H73" t="s">
        <v>17</v>
      </c>
      <c r="I73" t="s">
        <v>122</v>
      </c>
    </row>
    <row r="74" spans="1:9" x14ac:dyDescent="0.35">
      <c r="A74" t="s">
        <v>204</v>
      </c>
      <c r="B74" t="s">
        <v>205</v>
      </c>
      <c r="C74" t="s">
        <v>119</v>
      </c>
      <c r="D74" t="s">
        <v>206</v>
      </c>
      <c r="E74" t="s">
        <v>14</v>
      </c>
      <c r="F74" t="s">
        <v>121</v>
      </c>
      <c r="G74" t="s">
        <v>16</v>
      </c>
      <c r="H74" t="s">
        <v>17</v>
      </c>
      <c r="I74" t="s">
        <v>122</v>
      </c>
    </row>
    <row r="75" spans="1:9" x14ac:dyDescent="0.35">
      <c r="A75" t="s">
        <v>207</v>
      </c>
      <c r="B75" t="s">
        <v>208</v>
      </c>
      <c r="C75" t="s">
        <v>119</v>
      </c>
      <c r="D75" t="s">
        <v>209</v>
      </c>
      <c r="E75" t="s">
        <v>14</v>
      </c>
      <c r="F75" t="s">
        <v>121</v>
      </c>
      <c r="G75" t="s">
        <v>16</v>
      </c>
      <c r="H75" t="s">
        <v>17</v>
      </c>
      <c r="I75" t="s">
        <v>122</v>
      </c>
    </row>
    <row r="76" spans="1:9" x14ac:dyDescent="0.35">
      <c r="A76" t="s">
        <v>210</v>
      </c>
      <c r="B76" t="s">
        <v>211</v>
      </c>
      <c r="C76" t="s">
        <v>119</v>
      </c>
      <c r="E76" t="s">
        <v>14</v>
      </c>
      <c r="F76" t="s">
        <v>121</v>
      </c>
      <c r="G76" t="s">
        <v>16</v>
      </c>
      <c r="H76" t="s">
        <v>17</v>
      </c>
      <c r="I76" t="s">
        <v>122</v>
      </c>
    </row>
    <row r="77" spans="1:9" x14ac:dyDescent="0.35">
      <c r="A77" t="s">
        <v>212</v>
      </c>
      <c r="B77" t="s">
        <v>213</v>
      </c>
      <c r="C77" t="s">
        <v>119</v>
      </c>
      <c r="D77" s="4" t="s">
        <v>214</v>
      </c>
      <c r="E77" t="s">
        <v>14</v>
      </c>
      <c r="F77" t="s">
        <v>121</v>
      </c>
      <c r="G77" t="s">
        <v>16</v>
      </c>
      <c r="H77" t="s">
        <v>17</v>
      </c>
      <c r="I77" t="s">
        <v>122</v>
      </c>
    </row>
    <row r="78" spans="1:9" x14ac:dyDescent="0.35">
      <c r="A78" t="s">
        <v>215</v>
      </c>
      <c r="B78" t="s">
        <v>216</v>
      </c>
      <c r="C78" t="s">
        <v>217</v>
      </c>
      <c r="E78" t="s">
        <v>14</v>
      </c>
      <c r="F78" t="s">
        <v>121</v>
      </c>
      <c r="G78" t="s">
        <v>16</v>
      </c>
      <c r="H78" t="s">
        <v>17</v>
      </c>
      <c r="I78" t="s">
        <v>122</v>
      </c>
    </row>
    <row r="79" spans="1:9" x14ac:dyDescent="0.35">
      <c r="A79" t="s">
        <v>218</v>
      </c>
      <c r="B79" t="s">
        <v>219</v>
      </c>
      <c r="C79" t="s">
        <v>217</v>
      </c>
      <c r="E79" t="s">
        <v>14</v>
      </c>
      <c r="F79" t="s">
        <v>121</v>
      </c>
      <c r="G79" t="s">
        <v>16</v>
      </c>
      <c r="H79" t="s">
        <v>17</v>
      </c>
      <c r="I79" t="s">
        <v>122</v>
      </c>
    </row>
    <row r="80" spans="1:9" x14ac:dyDescent="0.35">
      <c r="A80" t="s">
        <v>220</v>
      </c>
      <c r="B80" t="s">
        <v>221</v>
      </c>
      <c r="C80" t="s">
        <v>217</v>
      </c>
      <c r="E80" t="s">
        <v>14</v>
      </c>
      <c r="F80" t="s">
        <v>121</v>
      </c>
      <c r="G80" t="s">
        <v>16</v>
      </c>
      <c r="H80" t="s">
        <v>17</v>
      </c>
      <c r="I80" t="s">
        <v>122</v>
      </c>
    </row>
  </sheetData>
  <dataValidations disablePrompts="1" count="3">
    <dataValidation type="list" sqref="E108:E2007" xr:uid="{00000000-0002-0000-0000-000000000000}">
      <formula1>"Importado,Nacional"</formula1>
    </dataValidation>
    <dataValidation type="list" sqref="E108:E2007 H108:H2007" xr:uid="{00000000-0002-0000-0000-000001000000}">
      <formula1>"MXN,USD,EUR,GBP"</formula1>
    </dataValidation>
    <dataValidation type="list" sqref="I108:I2007" xr:uid="{00000000-0002-0000-0000-000002000000}">
      <formula1>"Sí,No"</formula1>
    </dataValidation>
  </dataValidations>
  <pageMargins left="0.75" right="0.75" top="1" bottom="1" header="0.5" footer="0.5"/>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200"/>
  <sheetViews>
    <sheetView workbookViewId="0">
      <pane ySplit="1" topLeftCell="A2" activePane="bottomLeft" state="frozen"/>
      <selection pane="bottomLeft" activeCell="A2" sqref="A2"/>
    </sheetView>
  </sheetViews>
  <sheetFormatPr baseColWidth="10" defaultColWidth="8.7265625" defaultRowHeight="14.5" x14ac:dyDescent="0.35"/>
  <cols>
    <col min="1" max="1" width="14" customWidth="1"/>
    <col min="2" max="2" width="14" style="2" customWidth="1"/>
    <col min="3" max="3" width="14" customWidth="1"/>
    <col min="4" max="4" width="23" customWidth="1"/>
    <col min="5" max="5" width="14" customWidth="1"/>
    <col min="6" max="7" width="40" customWidth="1"/>
    <col min="11" max="11" width="30" customWidth="1"/>
  </cols>
  <sheetData>
    <row r="1" spans="1:7" x14ac:dyDescent="0.35">
      <c r="A1" t="s">
        <v>0</v>
      </c>
      <c r="B1" t="s">
        <v>222</v>
      </c>
      <c r="C1" t="s">
        <v>223</v>
      </c>
      <c r="D1" t="s">
        <v>224</v>
      </c>
      <c r="E1" t="s">
        <v>225</v>
      </c>
      <c r="F1" t="s">
        <v>2</v>
      </c>
      <c r="G1" t="s">
        <v>9</v>
      </c>
    </row>
    <row r="2" spans="1:7" x14ac:dyDescent="0.35">
      <c r="A2" s="4" t="s">
        <v>10</v>
      </c>
      <c r="B2"/>
      <c r="C2" t="s">
        <v>17</v>
      </c>
      <c r="D2" s="6"/>
      <c r="F2" t="s">
        <v>12</v>
      </c>
      <c r="G2" t="s">
        <v>226</v>
      </c>
    </row>
    <row r="3" spans="1:7" x14ac:dyDescent="0.35">
      <c r="A3" s="4" t="s">
        <v>20</v>
      </c>
      <c r="B3"/>
      <c r="C3" t="s">
        <v>17</v>
      </c>
      <c r="D3" s="6"/>
      <c r="F3" t="s">
        <v>12</v>
      </c>
    </row>
    <row r="4" spans="1:7" x14ac:dyDescent="0.35">
      <c r="A4" s="4" t="s">
        <v>23</v>
      </c>
      <c r="B4"/>
      <c r="C4" t="s">
        <v>17</v>
      </c>
      <c r="D4" s="6"/>
      <c r="F4" t="s">
        <v>12</v>
      </c>
    </row>
    <row r="5" spans="1:7" x14ac:dyDescent="0.35">
      <c r="A5" s="4" t="s">
        <v>26</v>
      </c>
      <c r="B5"/>
      <c r="C5" t="s">
        <v>17</v>
      </c>
      <c r="D5" s="6"/>
      <c r="F5" t="s">
        <v>12</v>
      </c>
    </row>
    <row r="6" spans="1:7" x14ac:dyDescent="0.35">
      <c r="A6" s="4" t="s">
        <v>29</v>
      </c>
      <c r="B6"/>
      <c r="C6" t="s">
        <v>17</v>
      </c>
      <c r="D6" s="6"/>
      <c r="F6" t="s">
        <v>12</v>
      </c>
    </row>
    <row r="7" spans="1:7" x14ac:dyDescent="0.35">
      <c r="A7" s="4" t="s">
        <v>32</v>
      </c>
      <c r="B7"/>
      <c r="C7" t="s">
        <v>17</v>
      </c>
      <c r="D7" s="6"/>
      <c r="F7" t="s">
        <v>12</v>
      </c>
    </row>
    <row r="8" spans="1:7" x14ac:dyDescent="0.35">
      <c r="A8" s="4" t="s">
        <v>35</v>
      </c>
      <c r="B8"/>
      <c r="C8" t="s">
        <v>17</v>
      </c>
      <c r="D8" s="6"/>
      <c r="F8" t="s">
        <v>12</v>
      </c>
    </row>
    <row r="9" spans="1:7" x14ac:dyDescent="0.35">
      <c r="A9" s="4" t="s">
        <v>38</v>
      </c>
      <c r="B9"/>
      <c r="C9" t="s">
        <v>17</v>
      </c>
      <c r="D9" s="6"/>
      <c r="F9" t="s">
        <v>12</v>
      </c>
    </row>
    <row r="10" spans="1:7" x14ac:dyDescent="0.35">
      <c r="A10" s="4" t="s">
        <v>40</v>
      </c>
      <c r="B10"/>
      <c r="C10" t="s">
        <v>17</v>
      </c>
      <c r="D10" s="6"/>
      <c r="F10" t="s">
        <v>12</v>
      </c>
    </row>
    <row r="11" spans="1:7" x14ac:dyDescent="0.35">
      <c r="A11" s="4" t="s">
        <v>43</v>
      </c>
      <c r="B11"/>
      <c r="C11" t="s">
        <v>17</v>
      </c>
      <c r="D11" s="6"/>
      <c r="F11" t="s">
        <v>12</v>
      </c>
    </row>
    <row r="12" spans="1:7" x14ac:dyDescent="0.35">
      <c r="A12" s="4" t="s">
        <v>45</v>
      </c>
      <c r="B12"/>
      <c r="C12" t="s">
        <v>17</v>
      </c>
      <c r="D12" s="6"/>
      <c r="F12" t="s">
        <v>12</v>
      </c>
    </row>
    <row r="13" spans="1:7" x14ac:dyDescent="0.35">
      <c r="A13" s="4" t="s">
        <v>47</v>
      </c>
      <c r="B13"/>
      <c r="C13" t="s">
        <v>17</v>
      </c>
      <c r="D13" s="6"/>
      <c r="F13" t="s">
        <v>12</v>
      </c>
    </row>
    <row r="14" spans="1:7" x14ac:dyDescent="0.35">
      <c r="A14" s="4" t="s">
        <v>49</v>
      </c>
      <c r="B14"/>
      <c r="C14" t="s">
        <v>17</v>
      </c>
      <c r="D14" s="6"/>
      <c r="F14" t="s">
        <v>12</v>
      </c>
    </row>
    <row r="15" spans="1:7" x14ac:dyDescent="0.35">
      <c r="A15" s="4" t="s">
        <v>51</v>
      </c>
      <c r="B15"/>
      <c r="C15" t="s">
        <v>17</v>
      </c>
      <c r="D15" s="6"/>
      <c r="F15" t="s">
        <v>12</v>
      </c>
    </row>
    <row r="16" spans="1:7" x14ac:dyDescent="0.35">
      <c r="A16" s="4" t="s">
        <v>53</v>
      </c>
      <c r="B16"/>
      <c r="C16" t="s">
        <v>17</v>
      </c>
      <c r="D16" s="6"/>
      <c r="F16" t="s">
        <v>12</v>
      </c>
    </row>
    <row r="17" spans="1:6" x14ac:dyDescent="0.35">
      <c r="A17" s="4" t="s">
        <v>55</v>
      </c>
      <c r="B17"/>
      <c r="C17" t="s">
        <v>17</v>
      </c>
      <c r="D17" s="6"/>
      <c r="F17" t="s">
        <v>12</v>
      </c>
    </row>
    <row r="18" spans="1:6" x14ac:dyDescent="0.35">
      <c r="A18" s="4" t="s">
        <v>57</v>
      </c>
      <c r="B18"/>
      <c r="C18" t="s">
        <v>17</v>
      </c>
      <c r="D18" s="6"/>
      <c r="F18" t="s">
        <v>12</v>
      </c>
    </row>
    <row r="19" spans="1:6" x14ac:dyDescent="0.35">
      <c r="A19" s="4" t="s">
        <v>59</v>
      </c>
      <c r="B19"/>
      <c r="C19" t="s">
        <v>17</v>
      </c>
      <c r="D19" s="6"/>
      <c r="F19" t="s">
        <v>12</v>
      </c>
    </row>
    <row r="20" spans="1:6" x14ac:dyDescent="0.35">
      <c r="A20" s="4" t="s">
        <v>62</v>
      </c>
      <c r="B20"/>
      <c r="C20" t="s">
        <v>17</v>
      </c>
      <c r="D20" s="6"/>
      <c r="F20" t="s">
        <v>12</v>
      </c>
    </row>
    <row r="21" spans="1:6" x14ac:dyDescent="0.35">
      <c r="A21" s="4" t="s">
        <v>64</v>
      </c>
      <c r="B21"/>
      <c r="C21" t="s">
        <v>17</v>
      </c>
      <c r="D21" s="6"/>
      <c r="F21" t="s">
        <v>12</v>
      </c>
    </row>
    <row r="22" spans="1:6" x14ac:dyDescent="0.35">
      <c r="A22" s="4" t="s">
        <v>66</v>
      </c>
      <c r="B22"/>
      <c r="C22" t="s">
        <v>17</v>
      </c>
      <c r="D22" s="6"/>
      <c r="F22" t="s">
        <v>12</v>
      </c>
    </row>
    <row r="23" spans="1:6" x14ac:dyDescent="0.35">
      <c r="A23" s="4" t="s">
        <v>68</v>
      </c>
      <c r="B23"/>
      <c r="C23" t="s">
        <v>17</v>
      </c>
      <c r="D23" s="6"/>
      <c r="F23" t="s">
        <v>12</v>
      </c>
    </row>
    <row r="24" spans="1:6" x14ac:dyDescent="0.35">
      <c r="A24" s="4" t="s">
        <v>70</v>
      </c>
      <c r="B24"/>
      <c r="C24" t="s">
        <v>17</v>
      </c>
      <c r="D24" s="6"/>
      <c r="F24" t="s">
        <v>12</v>
      </c>
    </row>
    <row r="25" spans="1:6" x14ac:dyDescent="0.35">
      <c r="A25" s="4" t="s">
        <v>72</v>
      </c>
      <c r="B25"/>
      <c r="C25" t="s">
        <v>17</v>
      </c>
      <c r="D25" s="6"/>
      <c r="F25" t="s">
        <v>12</v>
      </c>
    </row>
    <row r="26" spans="1:6" x14ac:dyDescent="0.35">
      <c r="A26" s="4" t="s">
        <v>75</v>
      </c>
      <c r="B26"/>
      <c r="C26" t="s">
        <v>17</v>
      </c>
      <c r="D26" s="6"/>
      <c r="F26" t="s">
        <v>12</v>
      </c>
    </row>
    <row r="27" spans="1:6" x14ac:dyDescent="0.35">
      <c r="A27" s="4" t="s">
        <v>78</v>
      </c>
      <c r="B27"/>
      <c r="C27" t="s">
        <v>17</v>
      </c>
      <c r="D27" s="6"/>
      <c r="F27" t="s">
        <v>12</v>
      </c>
    </row>
    <row r="28" spans="1:6" x14ac:dyDescent="0.35">
      <c r="A28" s="4" t="s">
        <v>81</v>
      </c>
      <c r="B28"/>
      <c r="C28" t="s">
        <v>17</v>
      </c>
      <c r="D28" s="6"/>
      <c r="F28" t="s">
        <v>12</v>
      </c>
    </row>
    <row r="29" spans="1:6" x14ac:dyDescent="0.35">
      <c r="A29" s="4" t="s">
        <v>84</v>
      </c>
      <c r="B29"/>
      <c r="C29" t="s">
        <v>17</v>
      </c>
      <c r="D29" s="6"/>
      <c r="F29" t="s">
        <v>12</v>
      </c>
    </row>
    <row r="30" spans="1:6" x14ac:dyDescent="0.35">
      <c r="A30" s="4" t="s">
        <v>87</v>
      </c>
      <c r="B30"/>
      <c r="C30" t="s">
        <v>17</v>
      </c>
      <c r="D30" s="6"/>
      <c r="F30" t="s">
        <v>12</v>
      </c>
    </row>
    <row r="31" spans="1:6" x14ac:dyDescent="0.35">
      <c r="A31" s="4" t="s">
        <v>90</v>
      </c>
      <c r="B31"/>
      <c r="C31" t="s">
        <v>17</v>
      </c>
      <c r="D31" s="6"/>
      <c r="F31" t="s">
        <v>12</v>
      </c>
    </row>
    <row r="32" spans="1:6" x14ac:dyDescent="0.35">
      <c r="A32" s="4" t="s">
        <v>93</v>
      </c>
      <c r="B32"/>
      <c r="C32" t="s">
        <v>17</v>
      </c>
      <c r="D32" s="6"/>
      <c r="F32" t="s">
        <v>12</v>
      </c>
    </row>
    <row r="33" spans="1:6" x14ac:dyDescent="0.35">
      <c r="A33" s="4" t="s">
        <v>96</v>
      </c>
      <c r="B33"/>
      <c r="C33" t="s">
        <v>17</v>
      </c>
      <c r="D33" s="6"/>
      <c r="F33" t="s">
        <v>12</v>
      </c>
    </row>
    <row r="34" spans="1:6" x14ac:dyDescent="0.35">
      <c r="A34" s="4" t="s">
        <v>99</v>
      </c>
      <c r="B34"/>
      <c r="C34" t="s">
        <v>17</v>
      </c>
      <c r="D34" s="6"/>
      <c r="F34" t="s">
        <v>12</v>
      </c>
    </row>
    <row r="35" spans="1:6" x14ac:dyDescent="0.35">
      <c r="A35" s="4" t="s">
        <v>102</v>
      </c>
      <c r="B35"/>
      <c r="C35" t="s">
        <v>17</v>
      </c>
      <c r="D35" s="6"/>
      <c r="F35" t="s">
        <v>12</v>
      </c>
    </row>
    <row r="36" spans="1:6" x14ac:dyDescent="0.35">
      <c r="A36" s="4" t="s">
        <v>105</v>
      </c>
      <c r="B36"/>
      <c r="C36" t="s">
        <v>17</v>
      </c>
      <c r="D36" s="6"/>
      <c r="F36" t="s">
        <v>12</v>
      </c>
    </row>
    <row r="37" spans="1:6" x14ac:dyDescent="0.35">
      <c r="A37" s="4" t="s">
        <v>108</v>
      </c>
      <c r="B37"/>
      <c r="C37" t="s">
        <v>17</v>
      </c>
      <c r="D37" s="6"/>
      <c r="F37" t="s">
        <v>12</v>
      </c>
    </row>
    <row r="38" spans="1:6" x14ac:dyDescent="0.35">
      <c r="A38" s="4" t="s">
        <v>111</v>
      </c>
      <c r="B38"/>
      <c r="C38" t="s">
        <v>17</v>
      </c>
      <c r="D38" s="6"/>
      <c r="F38" t="s">
        <v>12</v>
      </c>
    </row>
    <row r="39" spans="1:6" x14ac:dyDescent="0.35">
      <c r="A39" s="4" t="s">
        <v>113</v>
      </c>
      <c r="B39"/>
      <c r="C39" t="s">
        <v>17</v>
      </c>
      <c r="D39" s="6"/>
      <c r="F39" t="s">
        <v>12</v>
      </c>
    </row>
    <row r="40" spans="1:6" x14ac:dyDescent="0.35">
      <c r="A40" s="4" t="s">
        <v>114</v>
      </c>
      <c r="B40"/>
      <c r="C40" t="s">
        <v>17</v>
      </c>
      <c r="D40" s="6"/>
      <c r="F40" t="s">
        <v>12</v>
      </c>
    </row>
    <row r="41" spans="1:6" x14ac:dyDescent="0.35">
      <c r="A41" s="4" t="s">
        <v>115</v>
      </c>
      <c r="B41"/>
      <c r="C41" t="s">
        <v>17</v>
      </c>
      <c r="D41" s="6"/>
      <c r="F41" t="s">
        <v>12</v>
      </c>
    </row>
    <row r="42" spans="1:6" x14ac:dyDescent="0.35">
      <c r="A42" s="4" t="s">
        <v>116</v>
      </c>
      <c r="B42"/>
      <c r="C42" t="s">
        <v>17</v>
      </c>
      <c r="D42" s="6"/>
      <c r="F42" t="s">
        <v>12</v>
      </c>
    </row>
    <row r="43" spans="1:6" x14ac:dyDescent="0.35">
      <c r="A43" s="4" t="s">
        <v>117</v>
      </c>
      <c r="B43">
        <v>375</v>
      </c>
      <c r="C43" t="s">
        <v>17</v>
      </c>
      <c r="D43" s="6">
        <v>46021</v>
      </c>
      <c r="F43" t="s">
        <v>119</v>
      </c>
    </row>
    <row r="44" spans="1:6" x14ac:dyDescent="0.35">
      <c r="A44" s="4" t="s">
        <v>123</v>
      </c>
      <c r="B44"/>
      <c r="C44" t="s">
        <v>17</v>
      </c>
      <c r="D44" s="6"/>
      <c r="F44" t="s">
        <v>119</v>
      </c>
    </row>
    <row r="45" spans="1:6" x14ac:dyDescent="0.35">
      <c r="A45" s="4" t="s">
        <v>124</v>
      </c>
      <c r="B45">
        <v>415</v>
      </c>
      <c r="C45" t="s">
        <v>17</v>
      </c>
      <c r="D45" s="6">
        <v>46021</v>
      </c>
      <c r="F45" t="s">
        <v>119</v>
      </c>
    </row>
    <row r="46" spans="1:6" x14ac:dyDescent="0.35">
      <c r="A46" s="4" t="s">
        <v>127</v>
      </c>
      <c r="B46"/>
      <c r="C46" t="s">
        <v>17</v>
      </c>
      <c r="D46" s="6"/>
      <c r="F46" t="s">
        <v>119</v>
      </c>
    </row>
    <row r="47" spans="1:6" x14ac:dyDescent="0.35">
      <c r="A47" s="4" t="s">
        <v>130</v>
      </c>
      <c r="B47">
        <v>1000</v>
      </c>
      <c r="C47" t="s">
        <v>17</v>
      </c>
      <c r="D47" s="6">
        <v>46021</v>
      </c>
      <c r="F47" t="s">
        <v>119</v>
      </c>
    </row>
    <row r="48" spans="1:6" x14ac:dyDescent="0.35">
      <c r="A48" s="4" t="s">
        <v>132</v>
      </c>
      <c r="B48"/>
      <c r="C48" t="s">
        <v>17</v>
      </c>
      <c r="D48" s="6"/>
      <c r="F48" t="s">
        <v>119</v>
      </c>
    </row>
    <row r="49" spans="1:6" x14ac:dyDescent="0.35">
      <c r="A49" s="4" t="s">
        <v>134</v>
      </c>
      <c r="B49"/>
      <c r="C49" t="s">
        <v>17</v>
      </c>
      <c r="D49" s="6"/>
      <c r="F49" t="s">
        <v>119</v>
      </c>
    </row>
    <row r="50" spans="1:6" x14ac:dyDescent="0.35">
      <c r="A50" s="4" t="s">
        <v>135</v>
      </c>
      <c r="B50">
        <v>1000</v>
      </c>
      <c r="C50" t="s">
        <v>17</v>
      </c>
      <c r="D50" s="6">
        <v>46021</v>
      </c>
      <c r="F50" t="s">
        <v>119</v>
      </c>
    </row>
    <row r="51" spans="1:6" x14ac:dyDescent="0.35">
      <c r="A51" s="4" t="s">
        <v>135</v>
      </c>
      <c r="B51">
        <v>1000</v>
      </c>
      <c r="C51" t="s">
        <v>17</v>
      </c>
      <c r="D51" s="6">
        <v>46021</v>
      </c>
      <c r="F51" t="s">
        <v>119</v>
      </c>
    </row>
    <row r="52" spans="1:6" x14ac:dyDescent="0.35">
      <c r="A52" s="4" t="s">
        <v>135</v>
      </c>
      <c r="B52">
        <v>2000</v>
      </c>
      <c r="C52" t="s">
        <v>17</v>
      </c>
      <c r="D52" s="6">
        <v>46021</v>
      </c>
      <c r="F52" t="s">
        <v>119</v>
      </c>
    </row>
    <row r="53" spans="1:6" x14ac:dyDescent="0.35">
      <c r="A53" s="4" t="s">
        <v>135</v>
      </c>
      <c r="B53">
        <v>4000</v>
      </c>
      <c r="C53" t="s">
        <v>17</v>
      </c>
      <c r="D53" s="6">
        <v>46021</v>
      </c>
      <c r="F53" t="s">
        <v>119</v>
      </c>
    </row>
    <row r="54" spans="1:6" x14ac:dyDescent="0.35">
      <c r="A54" s="4" t="s">
        <v>135</v>
      </c>
      <c r="B54" t="s">
        <v>227</v>
      </c>
      <c r="C54" t="s">
        <v>17</v>
      </c>
      <c r="D54" s="6">
        <v>46021</v>
      </c>
      <c r="F54" t="s">
        <v>119</v>
      </c>
    </row>
    <row r="55" spans="1:6" x14ac:dyDescent="0.35">
      <c r="A55" s="4" t="s">
        <v>150</v>
      </c>
      <c r="B55">
        <v>5100</v>
      </c>
      <c r="C55" t="s">
        <v>17</v>
      </c>
      <c r="D55" s="6">
        <v>46021</v>
      </c>
      <c r="F55" t="s">
        <v>119</v>
      </c>
    </row>
    <row r="56" spans="1:6" x14ac:dyDescent="0.35">
      <c r="A56" s="4" t="s">
        <v>153</v>
      </c>
      <c r="B56">
        <v>128</v>
      </c>
      <c r="C56" t="s">
        <v>17</v>
      </c>
      <c r="D56" s="6">
        <v>46021</v>
      </c>
      <c r="F56" t="s">
        <v>119</v>
      </c>
    </row>
    <row r="57" spans="1:6" x14ac:dyDescent="0.35">
      <c r="A57" s="4" t="s">
        <v>156</v>
      </c>
      <c r="B57">
        <v>192</v>
      </c>
      <c r="C57" t="s">
        <v>17</v>
      </c>
      <c r="D57" s="6">
        <v>46021</v>
      </c>
      <c r="F57" t="s">
        <v>119</v>
      </c>
    </row>
    <row r="58" spans="1:6" x14ac:dyDescent="0.35">
      <c r="A58" s="4" t="s">
        <v>159</v>
      </c>
      <c r="B58">
        <v>13500</v>
      </c>
      <c r="C58" t="s">
        <v>17</v>
      </c>
      <c r="D58" s="6">
        <v>46021</v>
      </c>
      <c r="F58" t="s">
        <v>119</v>
      </c>
    </row>
    <row r="59" spans="1:6" x14ac:dyDescent="0.35">
      <c r="A59" s="4" t="s">
        <v>162</v>
      </c>
      <c r="B59">
        <v>1000</v>
      </c>
      <c r="C59" t="s">
        <v>17</v>
      </c>
      <c r="D59" s="6">
        <v>46021</v>
      </c>
      <c r="F59" t="s">
        <v>119</v>
      </c>
    </row>
    <row r="60" spans="1:6" x14ac:dyDescent="0.35">
      <c r="A60" s="4" t="s">
        <v>165</v>
      </c>
      <c r="B60">
        <v>300</v>
      </c>
      <c r="C60" t="s">
        <v>17</v>
      </c>
      <c r="D60" s="6">
        <v>46021</v>
      </c>
      <c r="F60" t="s">
        <v>119</v>
      </c>
    </row>
    <row r="61" spans="1:6" x14ac:dyDescent="0.35">
      <c r="A61" s="4" t="s">
        <v>168</v>
      </c>
      <c r="B61">
        <v>300</v>
      </c>
      <c r="C61" t="s">
        <v>17</v>
      </c>
      <c r="D61" s="6">
        <v>46021</v>
      </c>
      <c r="F61" t="s">
        <v>119</v>
      </c>
    </row>
    <row r="62" spans="1:6" x14ac:dyDescent="0.35">
      <c r="A62" s="4" t="s">
        <v>171</v>
      </c>
      <c r="B62">
        <v>50</v>
      </c>
      <c r="C62" t="s">
        <v>17</v>
      </c>
      <c r="D62" s="6">
        <v>46021</v>
      </c>
      <c r="F62" t="s">
        <v>119</v>
      </c>
    </row>
    <row r="63" spans="1:6" x14ac:dyDescent="0.35">
      <c r="A63" s="4" t="s">
        <v>174</v>
      </c>
      <c r="B63">
        <v>66</v>
      </c>
      <c r="C63" t="s">
        <v>17</v>
      </c>
      <c r="D63" s="6">
        <v>46021</v>
      </c>
      <c r="F63" t="s">
        <v>119</v>
      </c>
    </row>
    <row r="64" spans="1:6" x14ac:dyDescent="0.35">
      <c r="A64" s="4" t="s">
        <v>177</v>
      </c>
      <c r="B64">
        <v>100</v>
      </c>
      <c r="C64" t="s">
        <v>17</v>
      </c>
      <c r="D64" s="6">
        <v>46021</v>
      </c>
      <c r="F64" t="s">
        <v>119</v>
      </c>
    </row>
    <row r="65" spans="1:6" x14ac:dyDescent="0.35">
      <c r="A65" s="4" t="s">
        <v>180</v>
      </c>
      <c r="B65"/>
      <c r="C65" t="s">
        <v>17</v>
      </c>
      <c r="D65" s="6"/>
      <c r="F65" t="s">
        <v>119</v>
      </c>
    </row>
    <row r="66" spans="1:6" x14ac:dyDescent="0.35">
      <c r="A66" s="4" t="s">
        <v>182</v>
      </c>
      <c r="B66">
        <v>800</v>
      </c>
      <c r="C66" t="s">
        <v>17</v>
      </c>
      <c r="D66" s="6">
        <v>46021</v>
      </c>
      <c r="F66" t="s">
        <v>119</v>
      </c>
    </row>
    <row r="67" spans="1:6" x14ac:dyDescent="0.35">
      <c r="A67" s="4" t="s">
        <v>185</v>
      </c>
      <c r="B67">
        <v>800</v>
      </c>
      <c r="C67" t="s">
        <v>17</v>
      </c>
      <c r="D67" s="6">
        <v>46021</v>
      </c>
      <c r="F67" t="s">
        <v>119</v>
      </c>
    </row>
    <row r="68" spans="1:6" x14ac:dyDescent="0.35">
      <c r="A68" s="4" t="s">
        <v>187</v>
      </c>
      <c r="B68">
        <v>800</v>
      </c>
      <c r="C68" t="s">
        <v>17</v>
      </c>
      <c r="D68" s="6">
        <v>46021</v>
      </c>
      <c r="F68" t="s">
        <v>119</v>
      </c>
    </row>
    <row r="69" spans="1:6" x14ac:dyDescent="0.35">
      <c r="A69" s="4" t="s">
        <v>190</v>
      </c>
      <c r="B69">
        <v>800</v>
      </c>
      <c r="C69" t="s">
        <v>17</v>
      </c>
      <c r="D69" s="6">
        <v>46021</v>
      </c>
      <c r="F69" t="s">
        <v>119</v>
      </c>
    </row>
    <row r="70" spans="1:6" x14ac:dyDescent="0.35">
      <c r="A70" s="4" t="s">
        <v>192</v>
      </c>
      <c r="B70">
        <v>1400</v>
      </c>
      <c r="C70" t="s">
        <v>17</v>
      </c>
      <c r="D70" s="6">
        <v>46021</v>
      </c>
      <c r="F70" t="s">
        <v>119</v>
      </c>
    </row>
    <row r="71" spans="1:6" x14ac:dyDescent="0.35">
      <c r="A71" s="4" t="s">
        <v>195</v>
      </c>
      <c r="B71">
        <v>1200</v>
      </c>
      <c r="C71" t="s">
        <v>17</v>
      </c>
      <c r="D71" s="6">
        <v>46021</v>
      </c>
      <c r="F71" t="s">
        <v>119</v>
      </c>
    </row>
    <row r="72" spans="1:6" x14ac:dyDescent="0.35">
      <c r="A72" s="4" t="s">
        <v>198</v>
      </c>
      <c r="B72">
        <v>200</v>
      </c>
      <c r="C72" t="s">
        <v>17</v>
      </c>
      <c r="D72" s="6">
        <v>46021</v>
      </c>
      <c r="F72" t="s">
        <v>119</v>
      </c>
    </row>
    <row r="73" spans="1:6" x14ac:dyDescent="0.35">
      <c r="A73" s="4" t="s">
        <v>201</v>
      </c>
      <c r="B73">
        <v>120</v>
      </c>
      <c r="C73" t="s">
        <v>17</v>
      </c>
      <c r="D73" s="6">
        <v>46021</v>
      </c>
      <c r="F73" t="s">
        <v>119</v>
      </c>
    </row>
    <row r="74" spans="1:6" x14ac:dyDescent="0.35">
      <c r="A74" s="4" t="s">
        <v>204</v>
      </c>
      <c r="B74">
        <v>3.84</v>
      </c>
      <c r="C74" t="s">
        <v>17</v>
      </c>
      <c r="D74" s="6">
        <v>46021</v>
      </c>
      <c r="F74" t="s">
        <v>119</v>
      </c>
    </row>
    <row r="75" spans="1:6" x14ac:dyDescent="0.35">
      <c r="A75" s="4" t="s">
        <v>207</v>
      </c>
      <c r="B75">
        <v>3.96</v>
      </c>
      <c r="C75" t="s">
        <v>17</v>
      </c>
      <c r="D75" s="6">
        <v>46021</v>
      </c>
      <c r="F75" t="s">
        <v>119</v>
      </c>
    </row>
    <row r="76" spans="1:6" x14ac:dyDescent="0.35">
      <c r="A76" s="4" t="s">
        <v>210</v>
      </c>
      <c r="B76"/>
      <c r="C76" t="s">
        <v>17</v>
      </c>
      <c r="D76" s="6"/>
      <c r="F76" t="s">
        <v>119</v>
      </c>
    </row>
    <row r="77" spans="1:6" x14ac:dyDescent="0.35">
      <c r="A77" s="4" t="s">
        <v>212</v>
      </c>
      <c r="B77"/>
      <c r="C77" t="s">
        <v>17</v>
      </c>
      <c r="D77" s="6"/>
      <c r="F77" t="s">
        <v>119</v>
      </c>
    </row>
    <row r="78" spans="1:6" x14ac:dyDescent="0.35">
      <c r="A78" s="4" t="s">
        <v>215</v>
      </c>
      <c r="B78"/>
      <c r="C78" t="s">
        <v>17</v>
      </c>
      <c r="D78" s="6"/>
      <c r="F78" t="s">
        <v>217</v>
      </c>
    </row>
    <row r="79" spans="1:6" x14ac:dyDescent="0.35">
      <c r="A79" s="4" t="s">
        <v>218</v>
      </c>
      <c r="B79"/>
      <c r="C79" t="s">
        <v>17</v>
      </c>
      <c r="D79" s="6"/>
      <c r="F79" t="s">
        <v>217</v>
      </c>
    </row>
    <row r="80" spans="1:6" x14ac:dyDescent="0.35">
      <c r="A80" s="4" t="s">
        <v>220</v>
      </c>
      <c r="B80"/>
      <c r="C80" t="s">
        <v>17</v>
      </c>
      <c r="D80" s="6"/>
      <c r="F80" t="s">
        <v>217</v>
      </c>
    </row>
    <row r="81" spans="1:4" x14ac:dyDescent="0.35">
      <c r="A81" s="4"/>
      <c r="B81"/>
      <c r="D81" s="6"/>
    </row>
    <row r="82" spans="1:4" x14ac:dyDescent="0.35">
      <c r="A82" s="4"/>
      <c r="B82"/>
      <c r="D82" s="6"/>
    </row>
    <row r="83" spans="1:4" x14ac:dyDescent="0.35">
      <c r="A83" s="4"/>
      <c r="B83"/>
      <c r="D83" s="6"/>
    </row>
    <row r="84" spans="1:4" x14ac:dyDescent="0.35">
      <c r="A84" s="4"/>
      <c r="B84"/>
      <c r="D84" s="6"/>
    </row>
    <row r="85" spans="1:4" x14ac:dyDescent="0.35">
      <c r="A85" s="4"/>
      <c r="B85"/>
      <c r="D85" s="6"/>
    </row>
    <row r="86" spans="1:4" x14ac:dyDescent="0.35">
      <c r="A86" s="4"/>
      <c r="B86"/>
      <c r="D86" s="6"/>
    </row>
    <row r="87" spans="1:4" x14ac:dyDescent="0.35">
      <c r="A87" s="4"/>
      <c r="B87"/>
      <c r="D87" s="6"/>
    </row>
    <row r="88" spans="1:4" x14ac:dyDescent="0.35">
      <c r="A88" s="4"/>
      <c r="B88"/>
      <c r="D88" s="6"/>
    </row>
    <row r="89" spans="1:4" x14ac:dyDescent="0.35">
      <c r="A89" s="4"/>
      <c r="B89"/>
      <c r="D89" s="6"/>
    </row>
    <row r="90" spans="1:4" x14ac:dyDescent="0.35">
      <c r="A90" s="4"/>
      <c r="B90"/>
      <c r="D90" s="6"/>
    </row>
    <row r="91" spans="1:4" x14ac:dyDescent="0.35">
      <c r="A91" s="4"/>
      <c r="B91"/>
      <c r="D91" s="6"/>
    </row>
    <row r="92" spans="1:4" x14ac:dyDescent="0.35">
      <c r="A92" s="4"/>
      <c r="B92"/>
      <c r="D92" s="6"/>
    </row>
    <row r="93" spans="1:4" x14ac:dyDescent="0.35">
      <c r="A93" s="4"/>
      <c r="B93"/>
      <c r="D93" s="6"/>
    </row>
    <row r="94" spans="1:4" x14ac:dyDescent="0.35">
      <c r="A94" s="4"/>
      <c r="B94"/>
      <c r="D94" s="6"/>
    </row>
    <row r="95" spans="1:4" x14ac:dyDescent="0.35">
      <c r="A95" s="4"/>
      <c r="B95"/>
      <c r="D95" s="6"/>
    </row>
    <row r="96" spans="1:4" x14ac:dyDescent="0.35">
      <c r="A96" s="4"/>
      <c r="B96"/>
      <c r="D96" s="6"/>
    </row>
    <row r="97" spans="1:4" x14ac:dyDescent="0.35">
      <c r="A97" s="4"/>
      <c r="B97"/>
      <c r="D97" s="6"/>
    </row>
    <row r="98" spans="1:4" x14ac:dyDescent="0.35">
      <c r="A98" s="4"/>
      <c r="B98"/>
      <c r="D98" s="6"/>
    </row>
    <row r="99" spans="1:4" x14ac:dyDescent="0.35">
      <c r="A99" s="4"/>
      <c r="B99"/>
      <c r="D99" s="6"/>
    </row>
    <row r="100" spans="1:4" x14ac:dyDescent="0.35">
      <c r="A100" s="4"/>
      <c r="B100"/>
      <c r="D100" s="6"/>
    </row>
    <row r="101" spans="1:4" x14ac:dyDescent="0.35">
      <c r="A101" s="4"/>
      <c r="B101"/>
      <c r="D101" s="6"/>
    </row>
    <row r="102" spans="1:4" x14ac:dyDescent="0.35">
      <c r="A102" s="4"/>
      <c r="B102"/>
      <c r="D102" s="6"/>
    </row>
    <row r="103" spans="1:4" x14ac:dyDescent="0.35">
      <c r="A103" s="4"/>
      <c r="B103"/>
      <c r="D103" s="6"/>
    </row>
    <row r="104" spans="1:4" x14ac:dyDescent="0.35">
      <c r="A104" s="4"/>
      <c r="B104"/>
      <c r="D104" s="6"/>
    </row>
    <row r="105" spans="1:4" x14ac:dyDescent="0.35">
      <c r="A105" s="4"/>
      <c r="B105"/>
      <c r="D105" s="6"/>
    </row>
    <row r="106" spans="1:4" x14ac:dyDescent="0.35">
      <c r="A106" s="4"/>
      <c r="B106"/>
      <c r="D106" s="6"/>
    </row>
    <row r="107" spans="1:4" x14ac:dyDescent="0.35">
      <c r="A107" s="4"/>
      <c r="B107"/>
      <c r="D107" s="6"/>
    </row>
    <row r="108" spans="1:4" x14ac:dyDescent="0.35">
      <c r="A108" s="4"/>
      <c r="B108"/>
      <c r="D108" s="6"/>
    </row>
    <row r="109" spans="1:4" x14ac:dyDescent="0.35">
      <c r="A109" s="4"/>
      <c r="B109"/>
      <c r="D109" s="6"/>
    </row>
    <row r="110" spans="1:4" x14ac:dyDescent="0.35">
      <c r="A110" s="4"/>
      <c r="B110"/>
      <c r="D110" s="6"/>
    </row>
    <row r="111" spans="1:4" x14ac:dyDescent="0.35">
      <c r="A111" s="4"/>
      <c r="B111"/>
      <c r="D111" s="6"/>
    </row>
    <row r="112" spans="1:4" x14ac:dyDescent="0.35">
      <c r="A112" s="4"/>
      <c r="B112"/>
      <c r="D112" s="6"/>
    </row>
    <row r="113" spans="1:4" x14ac:dyDescent="0.35">
      <c r="A113" s="4"/>
      <c r="B113"/>
      <c r="D113" s="6"/>
    </row>
    <row r="114" spans="1:4" x14ac:dyDescent="0.35">
      <c r="A114" s="4"/>
      <c r="B114"/>
      <c r="D114" s="6"/>
    </row>
    <row r="115" spans="1:4" x14ac:dyDescent="0.35">
      <c r="A115" s="4"/>
      <c r="B115"/>
      <c r="D115" s="6"/>
    </row>
    <row r="116" spans="1:4" x14ac:dyDescent="0.35">
      <c r="A116" s="4"/>
      <c r="B116"/>
      <c r="D116" s="6"/>
    </row>
    <row r="117" spans="1:4" x14ac:dyDescent="0.35">
      <c r="A117" s="4"/>
      <c r="B117"/>
      <c r="D117" s="6"/>
    </row>
    <row r="118" spans="1:4" x14ac:dyDescent="0.35">
      <c r="A118" s="4"/>
      <c r="B118"/>
      <c r="D118" s="6"/>
    </row>
    <row r="119" spans="1:4" x14ac:dyDescent="0.35">
      <c r="A119" s="4"/>
      <c r="B119"/>
      <c r="D119" s="6"/>
    </row>
    <row r="120" spans="1:4" x14ac:dyDescent="0.35">
      <c r="A120" s="4"/>
      <c r="B120"/>
      <c r="D120" s="6"/>
    </row>
    <row r="121" spans="1:4" x14ac:dyDescent="0.35">
      <c r="A121" s="4"/>
      <c r="B121"/>
      <c r="D121" s="6"/>
    </row>
    <row r="122" spans="1:4" x14ac:dyDescent="0.35">
      <c r="A122" s="4"/>
      <c r="B122"/>
      <c r="D122" s="6"/>
    </row>
    <row r="123" spans="1:4" x14ac:dyDescent="0.35">
      <c r="A123" s="4"/>
      <c r="B123"/>
      <c r="D123" s="6"/>
    </row>
    <row r="124" spans="1:4" x14ac:dyDescent="0.35">
      <c r="A124" s="4"/>
      <c r="B124"/>
      <c r="D124" s="6"/>
    </row>
    <row r="125" spans="1:4" x14ac:dyDescent="0.35">
      <c r="A125" s="4"/>
      <c r="B125"/>
      <c r="D125" s="6"/>
    </row>
    <row r="126" spans="1:4" x14ac:dyDescent="0.35">
      <c r="A126" s="4"/>
      <c r="B126"/>
      <c r="D126" s="6"/>
    </row>
    <row r="127" spans="1:4" x14ac:dyDescent="0.35">
      <c r="A127" s="4"/>
      <c r="B127"/>
      <c r="D127" s="6"/>
    </row>
    <row r="128" spans="1:4" x14ac:dyDescent="0.35">
      <c r="A128" s="4"/>
      <c r="B128"/>
      <c r="D128" s="6"/>
    </row>
    <row r="129" spans="1:4" x14ac:dyDescent="0.35">
      <c r="A129" s="4"/>
      <c r="B129"/>
      <c r="D129" s="6"/>
    </row>
    <row r="130" spans="1:4" x14ac:dyDescent="0.35">
      <c r="A130" s="4"/>
      <c r="B130"/>
      <c r="D130" s="6"/>
    </row>
    <row r="131" spans="1:4" x14ac:dyDescent="0.35">
      <c r="A131" s="4"/>
      <c r="B131"/>
      <c r="D131" s="6"/>
    </row>
    <row r="132" spans="1:4" x14ac:dyDescent="0.35">
      <c r="A132" s="4"/>
      <c r="B132"/>
      <c r="D132" s="6"/>
    </row>
    <row r="133" spans="1:4" x14ac:dyDescent="0.35">
      <c r="A133" s="4"/>
      <c r="B133"/>
      <c r="D133" s="6"/>
    </row>
    <row r="134" spans="1:4" x14ac:dyDescent="0.35">
      <c r="A134" s="4"/>
      <c r="B134"/>
      <c r="D134" s="6"/>
    </row>
    <row r="135" spans="1:4" x14ac:dyDescent="0.35">
      <c r="A135" s="4"/>
      <c r="B135"/>
      <c r="D135" s="6"/>
    </row>
    <row r="136" spans="1:4" x14ac:dyDescent="0.35">
      <c r="A136" s="4"/>
      <c r="B136"/>
      <c r="D136" s="6"/>
    </row>
    <row r="137" spans="1:4" x14ac:dyDescent="0.35">
      <c r="A137" s="4"/>
      <c r="B137"/>
      <c r="D137" s="6"/>
    </row>
    <row r="138" spans="1:4" x14ac:dyDescent="0.35">
      <c r="A138" s="4"/>
      <c r="B138"/>
      <c r="D138" s="6"/>
    </row>
    <row r="139" spans="1:4" x14ac:dyDescent="0.35">
      <c r="A139" s="4"/>
      <c r="B139"/>
      <c r="D139" s="6"/>
    </row>
    <row r="140" spans="1:4" x14ac:dyDescent="0.35">
      <c r="A140" s="4"/>
      <c r="B140"/>
      <c r="D140" s="6"/>
    </row>
    <row r="141" spans="1:4" x14ac:dyDescent="0.35">
      <c r="A141" s="4"/>
      <c r="B141"/>
      <c r="D141" s="6"/>
    </row>
    <row r="142" spans="1:4" x14ac:dyDescent="0.35">
      <c r="A142" s="4"/>
      <c r="B142"/>
      <c r="D142" s="6"/>
    </row>
    <row r="143" spans="1:4" x14ac:dyDescent="0.35">
      <c r="A143" s="4"/>
      <c r="B143"/>
      <c r="D143" s="6"/>
    </row>
    <row r="144" spans="1:4" x14ac:dyDescent="0.35">
      <c r="A144" s="4"/>
      <c r="B144"/>
      <c r="D144" s="6"/>
    </row>
    <row r="145" spans="1:4" x14ac:dyDescent="0.35">
      <c r="A145" s="4"/>
      <c r="B145"/>
      <c r="D145" s="6"/>
    </row>
    <row r="146" spans="1:4" x14ac:dyDescent="0.35">
      <c r="A146" s="4"/>
      <c r="B146"/>
      <c r="D146" s="6"/>
    </row>
    <row r="147" spans="1:4" x14ac:dyDescent="0.35">
      <c r="A147" s="4"/>
      <c r="B147"/>
      <c r="D147" s="6"/>
    </row>
    <row r="148" spans="1:4" x14ac:dyDescent="0.35">
      <c r="A148" s="4"/>
      <c r="B148"/>
      <c r="D148" s="6"/>
    </row>
    <row r="149" spans="1:4" x14ac:dyDescent="0.35">
      <c r="A149" s="4"/>
      <c r="B149"/>
      <c r="D149" s="6"/>
    </row>
    <row r="150" spans="1:4" x14ac:dyDescent="0.35">
      <c r="A150" s="4"/>
      <c r="B150"/>
      <c r="D150" s="6"/>
    </row>
    <row r="151" spans="1:4" x14ac:dyDescent="0.35">
      <c r="A151" s="4"/>
      <c r="B151"/>
      <c r="D151" s="6"/>
    </row>
    <row r="152" spans="1:4" x14ac:dyDescent="0.35">
      <c r="A152" s="4"/>
      <c r="B152"/>
      <c r="D152" s="6"/>
    </row>
    <row r="153" spans="1:4" x14ac:dyDescent="0.35">
      <c r="A153" s="4"/>
      <c r="B153"/>
      <c r="D153" s="6"/>
    </row>
    <row r="154" spans="1:4" x14ac:dyDescent="0.35">
      <c r="A154" s="4"/>
      <c r="B154"/>
      <c r="D154" s="6"/>
    </row>
    <row r="155" spans="1:4" x14ac:dyDescent="0.35">
      <c r="A155" s="4"/>
      <c r="B155"/>
      <c r="D155" s="6"/>
    </row>
    <row r="156" spans="1:4" x14ac:dyDescent="0.35">
      <c r="A156" s="4"/>
      <c r="B156"/>
      <c r="D156" s="6"/>
    </row>
    <row r="157" spans="1:4" x14ac:dyDescent="0.35">
      <c r="A157" s="4"/>
      <c r="B157"/>
      <c r="D157" s="6"/>
    </row>
    <row r="158" spans="1:4" x14ac:dyDescent="0.35">
      <c r="A158" s="4"/>
      <c r="B158"/>
      <c r="D158" s="6"/>
    </row>
    <row r="159" spans="1:4" x14ac:dyDescent="0.35">
      <c r="A159" s="4"/>
      <c r="B159"/>
      <c r="D159" s="6"/>
    </row>
    <row r="160" spans="1:4" x14ac:dyDescent="0.35">
      <c r="A160" s="4"/>
      <c r="B160"/>
      <c r="D160" s="6"/>
    </row>
    <row r="161" spans="1:4" x14ac:dyDescent="0.35">
      <c r="A161" s="4"/>
      <c r="B161"/>
      <c r="D161" s="6"/>
    </row>
    <row r="162" spans="1:4" x14ac:dyDescent="0.35">
      <c r="A162" s="4"/>
      <c r="B162"/>
      <c r="D162" s="6"/>
    </row>
    <row r="163" spans="1:4" x14ac:dyDescent="0.35">
      <c r="A163" s="4"/>
      <c r="B163"/>
      <c r="D163" s="6"/>
    </row>
    <row r="164" spans="1:4" x14ac:dyDescent="0.35">
      <c r="A164" s="4"/>
      <c r="B164"/>
      <c r="D164" s="6"/>
    </row>
    <row r="165" spans="1:4" x14ac:dyDescent="0.35">
      <c r="A165" s="4"/>
      <c r="B165"/>
      <c r="D165" s="6"/>
    </row>
    <row r="166" spans="1:4" x14ac:dyDescent="0.35">
      <c r="A166" s="4"/>
      <c r="B166"/>
      <c r="D166" s="6"/>
    </row>
    <row r="167" spans="1:4" x14ac:dyDescent="0.35">
      <c r="A167" s="4"/>
      <c r="B167"/>
      <c r="D167" s="6"/>
    </row>
    <row r="168" spans="1:4" x14ac:dyDescent="0.35">
      <c r="A168" s="4"/>
      <c r="B168"/>
      <c r="D168" s="6"/>
    </row>
    <row r="169" spans="1:4" x14ac:dyDescent="0.35">
      <c r="A169" s="4"/>
      <c r="B169"/>
      <c r="D169" s="6"/>
    </row>
    <row r="170" spans="1:4" x14ac:dyDescent="0.35">
      <c r="A170" s="4"/>
      <c r="B170"/>
      <c r="D170" s="6"/>
    </row>
    <row r="171" spans="1:4" x14ac:dyDescent="0.35">
      <c r="A171" s="4"/>
      <c r="B171"/>
      <c r="D171" s="6"/>
    </row>
    <row r="172" spans="1:4" x14ac:dyDescent="0.35">
      <c r="A172" s="4"/>
      <c r="B172"/>
      <c r="D172" s="6"/>
    </row>
    <row r="173" spans="1:4" x14ac:dyDescent="0.35">
      <c r="A173" s="4"/>
      <c r="B173"/>
      <c r="D173" s="6"/>
    </row>
    <row r="174" spans="1:4" x14ac:dyDescent="0.35">
      <c r="A174" s="4"/>
      <c r="B174"/>
      <c r="D174" s="6"/>
    </row>
    <row r="175" spans="1:4" x14ac:dyDescent="0.35">
      <c r="A175" s="4"/>
      <c r="B175"/>
      <c r="D175" s="6"/>
    </row>
    <row r="176" spans="1:4" x14ac:dyDescent="0.35">
      <c r="A176" s="4"/>
      <c r="B176"/>
      <c r="D176" s="6"/>
    </row>
    <row r="177" spans="1:4" x14ac:dyDescent="0.35">
      <c r="A177" s="4"/>
      <c r="B177"/>
      <c r="D177" s="6"/>
    </row>
    <row r="178" spans="1:4" x14ac:dyDescent="0.35">
      <c r="A178" s="4"/>
      <c r="B178"/>
      <c r="D178" s="6"/>
    </row>
    <row r="179" spans="1:4" x14ac:dyDescent="0.35">
      <c r="A179" s="4"/>
      <c r="B179"/>
      <c r="D179" s="6"/>
    </row>
    <row r="180" spans="1:4" x14ac:dyDescent="0.35">
      <c r="A180" s="4"/>
      <c r="B180"/>
      <c r="D180" s="6"/>
    </row>
    <row r="181" spans="1:4" x14ac:dyDescent="0.35">
      <c r="A181" s="4"/>
      <c r="B181"/>
      <c r="D181" s="6"/>
    </row>
    <row r="182" spans="1:4" x14ac:dyDescent="0.35">
      <c r="A182" s="4"/>
      <c r="B182"/>
      <c r="D182" s="6"/>
    </row>
    <row r="183" spans="1:4" x14ac:dyDescent="0.35">
      <c r="A183" s="4"/>
      <c r="B183"/>
      <c r="D183" s="6"/>
    </row>
    <row r="184" spans="1:4" x14ac:dyDescent="0.35">
      <c r="A184" s="4"/>
      <c r="B184"/>
      <c r="D184" s="6"/>
    </row>
    <row r="185" spans="1:4" x14ac:dyDescent="0.35">
      <c r="A185" s="4"/>
      <c r="B185"/>
      <c r="D185" s="6"/>
    </row>
    <row r="186" spans="1:4" x14ac:dyDescent="0.35">
      <c r="A186" s="4"/>
      <c r="B186"/>
      <c r="D186" s="6"/>
    </row>
    <row r="187" spans="1:4" x14ac:dyDescent="0.35">
      <c r="A187" s="4"/>
      <c r="B187"/>
      <c r="D187" s="6"/>
    </row>
    <row r="188" spans="1:4" x14ac:dyDescent="0.35">
      <c r="A188" s="4"/>
      <c r="B188"/>
      <c r="D188" s="6"/>
    </row>
    <row r="189" spans="1:4" x14ac:dyDescent="0.35">
      <c r="A189" s="4"/>
      <c r="B189"/>
      <c r="D189" s="6"/>
    </row>
    <row r="190" spans="1:4" x14ac:dyDescent="0.35">
      <c r="A190" s="4"/>
      <c r="B190"/>
      <c r="D190" s="6"/>
    </row>
    <row r="191" spans="1:4" x14ac:dyDescent="0.35">
      <c r="A191" s="4"/>
      <c r="B191"/>
      <c r="D191" s="6"/>
    </row>
    <row r="192" spans="1:4" x14ac:dyDescent="0.35">
      <c r="A192" s="4"/>
      <c r="B192"/>
      <c r="D192" s="6"/>
    </row>
    <row r="193" spans="1:4" x14ac:dyDescent="0.35">
      <c r="A193" s="4"/>
      <c r="B193"/>
      <c r="D193" s="6"/>
    </row>
    <row r="194" spans="1:4" x14ac:dyDescent="0.35">
      <c r="A194" s="4"/>
      <c r="B194"/>
      <c r="D194" s="6"/>
    </row>
    <row r="195" spans="1:4" x14ac:dyDescent="0.35">
      <c r="A195" s="4"/>
      <c r="B195"/>
      <c r="D195" s="6"/>
    </row>
    <row r="196" spans="1:4" x14ac:dyDescent="0.35">
      <c r="A196" s="4"/>
      <c r="B196"/>
      <c r="D196" s="6"/>
    </row>
    <row r="197" spans="1:4" x14ac:dyDescent="0.35">
      <c r="A197" s="4"/>
      <c r="B197"/>
      <c r="D197" s="6"/>
    </row>
    <row r="198" spans="1:4" x14ac:dyDescent="0.35">
      <c r="A198" s="4"/>
      <c r="B198"/>
      <c r="D198" s="6"/>
    </row>
    <row r="199" spans="1:4" x14ac:dyDescent="0.35">
      <c r="A199" s="4"/>
      <c r="B199"/>
      <c r="D199" s="6"/>
    </row>
    <row r="200" spans="1:4" x14ac:dyDescent="0.35">
      <c r="A200" s="4"/>
      <c r="B200"/>
      <c r="D200" s="6"/>
    </row>
  </sheetData>
  <dataValidations count="1">
    <dataValidation type="list" sqref="C2:C2000 A2:A50" xr:uid="{00000000-0002-0000-0100-000000000000}">
      <formula1>"MXN,USD,EUR,GBP"</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4"/>
  <sheetViews>
    <sheetView workbookViewId="0">
      <pane ySplit="1" topLeftCell="A2" activePane="bottomLeft" state="frozen"/>
      <selection pane="bottomLeft" activeCell="A5" sqref="A5"/>
    </sheetView>
  </sheetViews>
  <sheetFormatPr baseColWidth="10" defaultColWidth="8.7265625" defaultRowHeight="14.5" x14ac:dyDescent="0.35"/>
  <cols>
    <col min="1" max="3" width="14" customWidth="1"/>
    <col min="4" max="4" width="15" customWidth="1"/>
    <col min="6" max="7" width="40" customWidth="1"/>
    <col min="9" max="9" width="40" customWidth="1"/>
    <col min="12" max="12" width="30" customWidth="1"/>
  </cols>
  <sheetData>
    <row r="1" spans="1:7" x14ac:dyDescent="0.35">
      <c r="A1" t="s">
        <v>228</v>
      </c>
      <c r="B1" t="s">
        <v>229</v>
      </c>
      <c r="C1" t="s">
        <v>230</v>
      </c>
      <c r="D1" t="s">
        <v>1</v>
      </c>
      <c r="F1" t="s">
        <v>231</v>
      </c>
    </row>
    <row r="2" spans="1:7" x14ac:dyDescent="0.35">
      <c r="A2" t="s">
        <v>232</v>
      </c>
      <c r="B2" t="s">
        <v>233</v>
      </c>
      <c r="C2">
        <v>0.3</v>
      </c>
      <c r="D2" t="s">
        <v>234</v>
      </c>
      <c r="F2" t="s">
        <v>235</v>
      </c>
    </row>
    <row r="3" spans="1:7" x14ac:dyDescent="0.35">
      <c r="A3" t="s">
        <v>236</v>
      </c>
      <c r="B3" t="s">
        <v>233</v>
      </c>
      <c r="C3">
        <v>1.2</v>
      </c>
      <c r="D3" t="s">
        <v>237</v>
      </c>
    </row>
    <row r="4" spans="1:7" x14ac:dyDescent="0.35">
      <c r="A4" t="s">
        <v>238</v>
      </c>
      <c r="B4" t="s">
        <v>233</v>
      </c>
      <c r="C4">
        <v>0.05</v>
      </c>
      <c r="D4" t="s">
        <v>237</v>
      </c>
    </row>
    <row r="5" spans="1:7" x14ac:dyDescent="0.35">
      <c r="A5" t="s">
        <v>239</v>
      </c>
      <c r="B5" t="s">
        <v>240</v>
      </c>
      <c r="C5">
        <v>120</v>
      </c>
      <c r="D5" t="s">
        <v>241</v>
      </c>
    </row>
    <row r="13" spans="1:7" x14ac:dyDescent="0.35">
      <c r="G13" t="s">
        <v>242</v>
      </c>
    </row>
    <row r="14" spans="1:7" x14ac:dyDescent="0.35">
      <c r="G14" t="s">
        <v>243</v>
      </c>
    </row>
  </sheetData>
  <dataValidations count="1">
    <dataValidation type="list" sqref="B2:B50" xr:uid="{00000000-0002-0000-0200-000000000000}">
      <formula1>"%,Fijo_MXN"</formula1>
    </dataValidation>
  </dataValidation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activeCell="B2" sqref="B2"/>
    </sheetView>
  </sheetViews>
  <sheetFormatPr baseColWidth="10" defaultColWidth="8.7265625" defaultRowHeight="14.5" x14ac:dyDescent="0.35"/>
  <cols>
    <col min="1" max="1" width="14" customWidth="1"/>
    <col min="2" max="2" width="14" style="2" customWidth="1"/>
    <col min="3" max="3" width="16" customWidth="1"/>
    <col min="4" max="4" width="14" customWidth="1"/>
  </cols>
  <sheetData>
    <row r="1" spans="1:4" x14ac:dyDescent="0.35">
      <c r="A1" t="s">
        <v>223</v>
      </c>
      <c r="B1" t="s">
        <v>244</v>
      </c>
      <c r="C1" t="s">
        <v>245</v>
      </c>
      <c r="D1" t="s">
        <v>246</v>
      </c>
    </row>
    <row r="2" spans="1:4" x14ac:dyDescent="0.35">
      <c r="A2" t="s">
        <v>247</v>
      </c>
      <c r="B2">
        <v>1</v>
      </c>
      <c r="C2" t="s">
        <v>248</v>
      </c>
      <c r="D2" s="6">
        <v>46021</v>
      </c>
    </row>
    <row r="3" spans="1:4" x14ac:dyDescent="0.35">
      <c r="A3" t="s">
        <v>17</v>
      </c>
      <c r="B3">
        <v>21</v>
      </c>
      <c r="C3" t="s">
        <v>249</v>
      </c>
      <c r="D3" s="6">
        <v>46021</v>
      </c>
    </row>
    <row r="4" spans="1:4" x14ac:dyDescent="0.35">
      <c r="A4" t="s">
        <v>250</v>
      </c>
      <c r="B4">
        <v>22</v>
      </c>
      <c r="C4" t="s">
        <v>251</v>
      </c>
      <c r="D4" s="6">
        <v>46021</v>
      </c>
    </row>
    <row r="5" spans="1:4" x14ac:dyDescent="0.35">
      <c r="A5" t="s">
        <v>252</v>
      </c>
      <c r="B5">
        <v>25.5</v>
      </c>
      <c r="C5" t="s">
        <v>251</v>
      </c>
      <c r="D5" s="6">
        <v>46021</v>
      </c>
    </row>
    <row r="6" spans="1:4" x14ac:dyDescent="0.35">
      <c r="B6"/>
    </row>
    <row r="7" spans="1:4" x14ac:dyDescent="0.35">
      <c r="B7"/>
    </row>
    <row r="8" spans="1:4" x14ac:dyDescent="0.35">
      <c r="B8"/>
    </row>
    <row r="9" spans="1:4" x14ac:dyDescent="0.35">
      <c r="B9"/>
    </row>
    <row r="10" spans="1:4" x14ac:dyDescent="0.35">
      <c r="B10"/>
    </row>
    <row r="11" spans="1:4" x14ac:dyDescent="0.35">
      <c r="B11"/>
    </row>
    <row r="12" spans="1:4" x14ac:dyDescent="0.35">
      <c r="B12"/>
    </row>
    <row r="13" spans="1:4" x14ac:dyDescent="0.35">
      <c r="B13"/>
    </row>
    <row r="14" spans="1:4" x14ac:dyDescent="0.35">
      <c r="B14"/>
    </row>
    <row r="15" spans="1:4" x14ac:dyDescent="0.35">
      <c r="B15"/>
    </row>
    <row r="16" spans="1:4" x14ac:dyDescent="0.35">
      <c r="B16"/>
    </row>
    <row r="17" spans="2:2" x14ac:dyDescent="0.35">
      <c r="B17"/>
    </row>
    <row r="18" spans="2:2" x14ac:dyDescent="0.35">
      <c r="B18"/>
    </row>
    <row r="19" spans="2:2" x14ac:dyDescent="0.35">
      <c r="B19"/>
    </row>
    <row r="20" spans="2:2" x14ac:dyDescent="0.35">
      <c r="B20"/>
    </row>
  </sheetData>
  <dataValidations count="1">
    <dataValidation type="list" sqref="A2:A50 F2:F2000 C2:C2000" xr:uid="{00000000-0002-0000-0300-000000000000}">
      <formula1>"MXN,USD,EUR,GBP"</formula1>
    </dataValidation>
  </dataValidations>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2001"/>
  <sheetViews>
    <sheetView workbookViewId="0">
      <pane ySplit="1" topLeftCell="A2" activePane="bottomLeft" state="frozen"/>
      <selection pane="bottomLeft"/>
    </sheetView>
  </sheetViews>
  <sheetFormatPr baseColWidth="10" defaultColWidth="8.7265625" defaultRowHeight="14.5" x14ac:dyDescent="0.35"/>
  <cols>
    <col min="1" max="6" width="14" customWidth="1"/>
    <col min="7" max="7" width="18" customWidth="1"/>
    <col min="8" max="10" width="14" customWidth="1"/>
    <col min="11" max="11" width="21" customWidth="1"/>
    <col min="12" max="12" width="19" customWidth="1"/>
  </cols>
  <sheetData>
    <row r="1" spans="1:12" x14ac:dyDescent="0.35">
      <c r="A1" s="1" t="s">
        <v>0</v>
      </c>
      <c r="B1" s="1" t="s">
        <v>253</v>
      </c>
      <c r="C1" s="1" t="s">
        <v>4</v>
      </c>
      <c r="D1" s="1" t="s">
        <v>223</v>
      </c>
      <c r="E1" s="1" t="s">
        <v>222</v>
      </c>
      <c r="F1" s="1" t="s">
        <v>244</v>
      </c>
      <c r="G1" s="1" t="s">
        <v>254</v>
      </c>
      <c r="H1" s="1" t="s">
        <v>255</v>
      </c>
      <c r="I1" s="1" t="s">
        <v>256</v>
      </c>
      <c r="J1" s="1" t="s">
        <v>257</v>
      </c>
      <c r="K1" s="1" t="s">
        <v>258</v>
      </c>
      <c r="L1" s="1" t="s">
        <v>259</v>
      </c>
    </row>
    <row r="2" spans="1:12" x14ac:dyDescent="0.35">
      <c r="A2" s="4" t="s">
        <v>159</v>
      </c>
      <c r="B2" s="4" t="s">
        <v>232</v>
      </c>
      <c r="C2" t="str">
        <f>_xlfn.XLOOKUP(A2,CATALOGO_PRODUCTOS!A:A,CATALOGO_PRODUCTOS!E:E,"",0)</f>
        <v>Importado</v>
      </c>
      <c r="D2" t="str">
        <f>_xlfn.XLOOKUP(A2,CATALOGO_PRODUCTOS!A:A,CATALOGO_PRODUCTOS!H:H,"",0)</f>
        <v>USD</v>
      </c>
      <c r="E2" s="2">
        <f>_xlfn.XLOOKUP(A2,COSTO_BASE!A:A,COSTO_BASE!B:B,"",0)</f>
        <v>13500</v>
      </c>
      <c r="F2" s="2">
        <f>_xlfn.XLOOKUP(D2,TIPOS_CAMBIO!A:A,TIPOS_CAMBIO!B:B,"",0)</f>
        <v>21</v>
      </c>
      <c r="G2" s="3">
        <f t="shared" ref="G2:G65" si="0">$E2*$F2</f>
        <v>283500</v>
      </c>
      <c r="H2" s="8">
        <f>_xlfn.XLOOKUP($B$2,PARAMETROS_IMPORTACION!A:A,PARAMETROS_IMPORTACION!C:C,0,0)</f>
        <v>0.3</v>
      </c>
      <c r="I2" s="8">
        <f>_xlfn.XLOOKUP("Seguro",PARAMETROS_IMPORTACION!A:A,PARAMETROS_IMPORTACION!C:C,0,0)</f>
        <v>0</v>
      </c>
      <c r="J2" s="8">
        <f>_xlfn.XLOOKUP("Arancel",PARAMETROS_IMPORTACION!A:A,PARAMETROS_IMPORTACION!C:C,0,0)</f>
        <v>0.05</v>
      </c>
      <c r="K2" s="9">
        <f>_xlfn.XLOOKUP("Gastos_Aduana",PARAMETROS_IMPORTACION!A:A,PARAMETROS_IMPORTACION!C:C,0,0)</f>
        <v>120</v>
      </c>
      <c r="L2" s="2">
        <f>IF($C2="Importado",$G2*(1+$H2+$J2)+$K2,$G2)</f>
        <v>382845</v>
      </c>
    </row>
    <row r="3" spans="1:12" x14ac:dyDescent="0.35">
      <c r="E3" s="2"/>
      <c r="F3" s="2">
        <f>_xlfn.XLOOKUP(D3,TIPOS_CAMBIO!A:A,TIPOS_CAMBIO!B:B,"",0)</f>
        <v>0</v>
      </c>
      <c r="G3" s="3">
        <f t="shared" si="0"/>
        <v>0</v>
      </c>
      <c r="H3" s="3"/>
      <c r="I3" s="3">
        <f ca="1">IFERROR(_xludf.XLOOKUP("Seguro",PARAMETROS_IMPORTACION!$A:$A,PARAMETROS_IMPORTACION!$C:$C,0),0)</f>
        <v>0</v>
      </c>
      <c r="J3" s="3">
        <f ca="1">IFERROR(_xludf.XLOOKUP("Arancel",PARAMETROS_IMPORTACION!$A:$A,PARAMETROS_IMPORTACION!$C:$C,0),0)</f>
        <v>0</v>
      </c>
      <c r="K3" s="2">
        <f ca="1">IFERROR(_xludf.XLOOKUP("Gastos_Aduana",PARAMETROS_IMPORTACION!$A:$A,PARAMETROS_IMPORTACION!$C:$C,0),0)</f>
        <v>0</v>
      </c>
      <c r="L3" s="2">
        <f t="shared" ref="L3:L66" si="1">IF($C3="Importado",$G3*(1+$H3+$I3+$J3)+$K3,$G3)</f>
        <v>0</v>
      </c>
    </row>
    <row r="4" spans="1:12" x14ac:dyDescent="0.35">
      <c r="E4" s="2"/>
      <c r="F4" s="2">
        <f>_xlfn.XLOOKUP(D4,TIPOS_CAMBIO!A:A,TIPOS_CAMBIO!B:B,"",0)</f>
        <v>0</v>
      </c>
      <c r="G4" s="3">
        <f t="shared" si="0"/>
        <v>0</v>
      </c>
      <c r="H4" s="3"/>
      <c r="I4" s="3">
        <f ca="1">IFERROR(_xludf.XLOOKUP("Seguro",PARAMETROS_IMPORTACION!$A:$A,PARAMETROS_IMPORTACION!$C:$C,0),0)</f>
        <v>0</v>
      </c>
      <c r="J4" s="3">
        <f ca="1">IFERROR(_xludf.XLOOKUP("Arancel",PARAMETROS_IMPORTACION!$A:$A,PARAMETROS_IMPORTACION!$C:$C,0),0)</f>
        <v>0</v>
      </c>
      <c r="K4" s="2">
        <f ca="1">IFERROR(_xludf.XLOOKUP("Gastos_Aduana",PARAMETROS_IMPORTACION!$A:$A,PARAMETROS_IMPORTACION!$C:$C,0),0)</f>
        <v>0</v>
      </c>
      <c r="L4" s="2">
        <f t="shared" si="1"/>
        <v>0</v>
      </c>
    </row>
    <row r="5" spans="1:12" x14ac:dyDescent="0.35">
      <c r="E5" s="2"/>
      <c r="F5" s="2">
        <f>_xlfn.XLOOKUP(D5,TIPOS_CAMBIO!A:A,TIPOS_CAMBIO!B:B,"",0)</f>
        <v>0</v>
      </c>
      <c r="G5" s="3">
        <f t="shared" si="0"/>
        <v>0</v>
      </c>
      <c r="H5" s="3"/>
      <c r="I5" s="3">
        <f ca="1">IFERROR(_xludf.XLOOKUP("Seguro",PARAMETROS_IMPORTACION!$A:$A,PARAMETROS_IMPORTACION!$C:$C,0),0)</f>
        <v>0</v>
      </c>
      <c r="J5" s="3">
        <f ca="1">IFERROR(_xludf.XLOOKUP("Arancel",PARAMETROS_IMPORTACION!$A:$A,PARAMETROS_IMPORTACION!$C:$C,0),0)</f>
        <v>0</v>
      </c>
      <c r="K5" s="2">
        <f ca="1">IFERROR(_xludf.XLOOKUP("Gastos_Aduana",PARAMETROS_IMPORTACION!$A:$A,PARAMETROS_IMPORTACION!$C:$C,0),0)</f>
        <v>0</v>
      </c>
      <c r="L5" s="2">
        <f t="shared" si="1"/>
        <v>0</v>
      </c>
    </row>
    <row r="6" spans="1:12" x14ac:dyDescent="0.35">
      <c r="E6" s="2"/>
      <c r="F6" s="2">
        <f>_xlfn.XLOOKUP(D6,TIPOS_CAMBIO!A:A,TIPOS_CAMBIO!B:B,"",0)</f>
        <v>0</v>
      </c>
      <c r="G6" s="3">
        <f t="shared" si="0"/>
        <v>0</v>
      </c>
      <c r="H6" s="3"/>
      <c r="I6" s="3">
        <f ca="1">IFERROR(_xludf.XLOOKUP("Seguro",PARAMETROS_IMPORTACION!$A:$A,PARAMETROS_IMPORTACION!$C:$C,0),0)</f>
        <v>0</v>
      </c>
      <c r="J6" s="3">
        <f ca="1">IFERROR(_xludf.XLOOKUP("Arancel",PARAMETROS_IMPORTACION!$A:$A,PARAMETROS_IMPORTACION!$C:$C,0),0)</f>
        <v>0</v>
      </c>
      <c r="K6" s="2">
        <f ca="1">IFERROR(_xludf.XLOOKUP("Gastos_Aduana",PARAMETROS_IMPORTACION!$A:$A,PARAMETROS_IMPORTACION!$C:$C,0),0)</f>
        <v>0</v>
      </c>
      <c r="L6" s="2">
        <f t="shared" si="1"/>
        <v>0</v>
      </c>
    </row>
    <row r="7" spans="1:12" x14ac:dyDescent="0.35">
      <c r="E7" s="2"/>
      <c r="F7" s="2">
        <f>_xlfn.XLOOKUP(D7,TIPOS_CAMBIO!A:A,TIPOS_CAMBIO!B:B,"",0)</f>
        <v>0</v>
      </c>
      <c r="G7" s="3">
        <f t="shared" si="0"/>
        <v>0</v>
      </c>
      <c r="H7" s="3"/>
      <c r="I7" s="3">
        <f ca="1">IFERROR(_xludf.XLOOKUP("Seguro",PARAMETROS_IMPORTACION!$A:$A,PARAMETROS_IMPORTACION!$C:$C,0),0)</f>
        <v>0</v>
      </c>
      <c r="J7" s="3">
        <f ca="1">IFERROR(_xludf.XLOOKUP("Arancel",PARAMETROS_IMPORTACION!$A:$A,PARAMETROS_IMPORTACION!$C:$C,0),0)</f>
        <v>0</v>
      </c>
      <c r="K7" s="2">
        <f ca="1">IFERROR(_xludf.XLOOKUP("Gastos_Aduana",PARAMETROS_IMPORTACION!$A:$A,PARAMETROS_IMPORTACION!$C:$C,0),0)</f>
        <v>0</v>
      </c>
      <c r="L7" s="2">
        <f t="shared" si="1"/>
        <v>0</v>
      </c>
    </row>
    <row r="8" spans="1:12" x14ac:dyDescent="0.35">
      <c r="E8" s="2"/>
      <c r="F8" s="2">
        <f>_xlfn.XLOOKUP(D8,TIPOS_CAMBIO!A:A,TIPOS_CAMBIO!B:B,"",0)</f>
        <v>0</v>
      </c>
      <c r="G8" s="3">
        <f t="shared" si="0"/>
        <v>0</v>
      </c>
      <c r="H8" s="3"/>
      <c r="I8" s="3">
        <f ca="1">IFERROR(_xludf.XLOOKUP("Seguro",PARAMETROS_IMPORTACION!$A:$A,PARAMETROS_IMPORTACION!$C:$C,0),0)</f>
        <v>0</v>
      </c>
      <c r="J8" s="3">
        <f ca="1">IFERROR(_xludf.XLOOKUP("Arancel",PARAMETROS_IMPORTACION!$A:$A,PARAMETROS_IMPORTACION!$C:$C,0),0)</f>
        <v>0</v>
      </c>
      <c r="K8" s="2">
        <f ca="1">IFERROR(_xludf.XLOOKUP("Gastos_Aduana",PARAMETROS_IMPORTACION!$A:$A,PARAMETROS_IMPORTACION!$C:$C,0),0)</f>
        <v>0</v>
      </c>
      <c r="L8" s="2">
        <f t="shared" si="1"/>
        <v>0</v>
      </c>
    </row>
    <row r="9" spans="1:12" x14ac:dyDescent="0.35">
      <c r="E9" s="2"/>
      <c r="F9" s="2">
        <f>_xlfn.XLOOKUP(D9,TIPOS_CAMBIO!A:A,TIPOS_CAMBIO!B:B,"",0)</f>
        <v>0</v>
      </c>
      <c r="G9" s="3">
        <f t="shared" si="0"/>
        <v>0</v>
      </c>
      <c r="H9" s="3"/>
      <c r="I9" s="3">
        <f ca="1">IFERROR(_xludf.XLOOKUP("Seguro",PARAMETROS_IMPORTACION!$A:$A,PARAMETROS_IMPORTACION!$C:$C,0),0)</f>
        <v>0</v>
      </c>
      <c r="J9" s="3">
        <f ca="1">IFERROR(_xludf.XLOOKUP("Arancel",PARAMETROS_IMPORTACION!$A:$A,PARAMETROS_IMPORTACION!$C:$C,0),0)</f>
        <v>0</v>
      </c>
      <c r="K9" s="2">
        <f ca="1">IFERROR(_xludf.XLOOKUP("Gastos_Aduana",PARAMETROS_IMPORTACION!$A:$A,PARAMETROS_IMPORTACION!$C:$C,0),0)</f>
        <v>0</v>
      </c>
      <c r="L9" s="2">
        <f t="shared" si="1"/>
        <v>0</v>
      </c>
    </row>
    <row r="10" spans="1:12" x14ac:dyDescent="0.35">
      <c r="E10" s="2"/>
      <c r="F10" s="2">
        <f>_xlfn.XLOOKUP(D10,TIPOS_CAMBIO!A:A,TIPOS_CAMBIO!B:B,"",0)</f>
        <v>0</v>
      </c>
      <c r="G10" s="3">
        <f t="shared" si="0"/>
        <v>0</v>
      </c>
      <c r="H10" s="3"/>
      <c r="I10" s="3">
        <f ca="1">IFERROR(_xludf.XLOOKUP("Seguro",PARAMETROS_IMPORTACION!$A:$A,PARAMETROS_IMPORTACION!$C:$C,0),0)</f>
        <v>0</v>
      </c>
      <c r="J10" s="3">
        <f ca="1">IFERROR(_xludf.XLOOKUP("Arancel",PARAMETROS_IMPORTACION!$A:$A,PARAMETROS_IMPORTACION!$C:$C,0),0)</f>
        <v>0</v>
      </c>
      <c r="K10" s="2">
        <f ca="1">IFERROR(_xludf.XLOOKUP("Gastos_Aduana",PARAMETROS_IMPORTACION!$A:$A,PARAMETROS_IMPORTACION!$C:$C,0),0)</f>
        <v>0</v>
      </c>
      <c r="L10" s="2">
        <f t="shared" si="1"/>
        <v>0</v>
      </c>
    </row>
    <row r="11" spans="1:12" x14ac:dyDescent="0.35">
      <c r="E11" s="2"/>
      <c r="F11" s="2">
        <f>_xlfn.XLOOKUP(D11,TIPOS_CAMBIO!A:A,TIPOS_CAMBIO!B:B,"",0)</f>
        <v>0</v>
      </c>
      <c r="G11" s="3">
        <f t="shared" si="0"/>
        <v>0</v>
      </c>
      <c r="H11" s="3"/>
      <c r="I11" s="3">
        <f ca="1">IFERROR(_xludf.XLOOKUP("Seguro",PARAMETROS_IMPORTACION!$A:$A,PARAMETROS_IMPORTACION!$C:$C,0),0)</f>
        <v>0</v>
      </c>
      <c r="J11" s="3">
        <f ca="1">IFERROR(_xludf.XLOOKUP("Arancel",PARAMETROS_IMPORTACION!$A:$A,PARAMETROS_IMPORTACION!$C:$C,0),0)</f>
        <v>0</v>
      </c>
      <c r="K11" s="2">
        <f ca="1">IFERROR(_xludf.XLOOKUP("Gastos_Aduana",PARAMETROS_IMPORTACION!$A:$A,PARAMETROS_IMPORTACION!$C:$C,0),0)</f>
        <v>0</v>
      </c>
      <c r="L11" s="2">
        <f t="shared" si="1"/>
        <v>0</v>
      </c>
    </row>
    <row r="12" spans="1:12" x14ac:dyDescent="0.35">
      <c r="E12" s="2"/>
      <c r="F12" s="2">
        <f>_xlfn.XLOOKUP(D12,TIPOS_CAMBIO!A:A,TIPOS_CAMBIO!B:B,"",0)</f>
        <v>0</v>
      </c>
      <c r="G12" s="3">
        <f t="shared" si="0"/>
        <v>0</v>
      </c>
      <c r="H12" s="3"/>
      <c r="I12" s="3">
        <f ca="1">IFERROR(_xludf.XLOOKUP("Seguro",PARAMETROS_IMPORTACION!$A:$A,PARAMETROS_IMPORTACION!$C:$C,0),0)</f>
        <v>0</v>
      </c>
      <c r="J12" s="3">
        <f ca="1">IFERROR(_xludf.XLOOKUP("Arancel",PARAMETROS_IMPORTACION!$A:$A,PARAMETROS_IMPORTACION!$C:$C,0),0)</f>
        <v>0</v>
      </c>
      <c r="K12" s="2">
        <f ca="1">IFERROR(_xludf.XLOOKUP("Gastos_Aduana",PARAMETROS_IMPORTACION!$A:$A,PARAMETROS_IMPORTACION!$C:$C,0),0)</f>
        <v>0</v>
      </c>
      <c r="L12" s="2">
        <f t="shared" si="1"/>
        <v>0</v>
      </c>
    </row>
    <row r="13" spans="1:12" x14ac:dyDescent="0.35">
      <c r="E13" s="2"/>
      <c r="F13" s="2">
        <f>_xlfn.XLOOKUP(D13,TIPOS_CAMBIO!A:A,TIPOS_CAMBIO!B:B,"",0)</f>
        <v>0</v>
      </c>
      <c r="G13" s="3">
        <f t="shared" si="0"/>
        <v>0</v>
      </c>
      <c r="H13" s="3"/>
      <c r="I13" s="3">
        <f ca="1">IFERROR(_xludf.XLOOKUP("Seguro",PARAMETROS_IMPORTACION!$A:$A,PARAMETROS_IMPORTACION!$C:$C,0),0)</f>
        <v>0</v>
      </c>
      <c r="J13" s="3">
        <f ca="1">IFERROR(_xludf.XLOOKUP("Arancel",PARAMETROS_IMPORTACION!$A:$A,PARAMETROS_IMPORTACION!$C:$C,0),0)</f>
        <v>0</v>
      </c>
      <c r="K13" s="2">
        <f ca="1">IFERROR(_xludf.XLOOKUP("Gastos_Aduana",PARAMETROS_IMPORTACION!$A:$A,PARAMETROS_IMPORTACION!$C:$C,0),0)</f>
        <v>0</v>
      </c>
      <c r="L13" s="2">
        <f t="shared" si="1"/>
        <v>0</v>
      </c>
    </row>
    <row r="14" spans="1:12" x14ac:dyDescent="0.35">
      <c r="E14" s="2"/>
      <c r="F14" s="2">
        <f>_xlfn.XLOOKUP(D14,TIPOS_CAMBIO!A:A,TIPOS_CAMBIO!B:B,"",0)</f>
        <v>0</v>
      </c>
      <c r="G14" s="3">
        <f t="shared" si="0"/>
        <v>0</v>
      </c>
      <c r="H14" s="3"/>
      <c r="I14" s="3">
        <f ca="1">IFERROR(_xludf.XLOOKUP("Seguro",PARAMETROS_IMPORTACION!$A:$A,PARAMETROS_IMPORTACION!$C:$C,0),0)</f>
        <v>0</v>
      </c>
      <c r="J14" s="3">
        <f ca="1">IFERROR(_xludf.XLOOKUP("Arancel",PARAMETROS_IMPORTACION!$A:$A,PARAMETROS_IMPORTACION!$C:$C,0),0)</f>
        <v>0</v>
      </c>
      <c r="K14" s="2">
        <f ca="1">IFERROR(_xludf.XLOOKUP("Gastos_Aduana",PARAMETROS_IMPORTACION!$A:$A,PARAMETROS_IMPORTACION!$C:$C,0),0)</f>
        <v>0</v>
      </c>
      <c r="L14" s="2">
        <f t="shared" si="1"/>
        <v>0</v>
      </c>
    </row>
    <row r="15" spans="1:12" x14ac:dyDescent="0.35">
      <c r="E15" s="2"/>
      <c r="F15" s="2">
        <f>_xlfn.XLOOKUP(D15,TIPOS_CAMBIO!A:A,TIPOS_CAMBIO!B:B,"",0)</f>
        <v>0</v>
      </c>
      <c r="G15" s="3">
        <f t="shared" si="0"/>
        <v>0</v>
      </c>
      <c r="H15" s="3"/>
      <c r="I15" s="3">
        <f ca="1">IFERROR(_xludf.XLOOKUP("Seguro",PARAMETROS_IMPORTACION!$A:$A,PARAMETROS_IMPORTACION!$C:$C,0),0)</f>
        <v>0</v>
      </c>
      <c r="J15" s="3">
        <f ca="1">IFERROR(_xludf.XLOOKUP("Arancel",PARAMETROS_IMPORTACION!$A:$A,PARAMETROS_IMPORTACION!$C:$C,0),0)</f>
        <v>0</v>
      </c>
      <c r="K15" s="2">
        <f ca="1">IFERROR(_xludf.XLOOKUP("Gastos_Aduana",PARAMETROS_IMPORTACION!$A:$A,PARAMETROS_IMPORTACION!$C:$C,0),0)</f>
        <v>0</v>
      </c>
      <c r="L15" s="2">
        <f t="shared" si="1"/>
        <v>0</v>
      </c>
    </row>
    <row r="16" spans="1:12" x14ac:dyDescent="0.35">
      <c r="E16" s="2"/>
      <c r="F16" s="2">
        <f>_xlfn.XLOOKUP(D16,TIPOS_CAMBIO!A:A,TIPOS_CAMBIO!B:B,"",0)</f>
        <v>0</v>
      </c>
      <c r="G16" s="3">
        <f t="shared" si="0"/>
        <v>0</v>
      </c>
      <c r="H16" s="3"/>
      <c r="I16" s="3">
        <f ca="1">IFERROR(_xludf.XLOOKUP("Seguro",PARAMETROS_IMPORTACION!$A:$A,PARAMETROS_IMPORTACION!$C:$C,0),0)</f>
        <v>0</v>
      </c>
      <c r="J16" s="3">
        <f ca="1">IFERROR(_xludf.XLOOKUP("Arancel",PARAMETROS_IMPORTACION!$A:$A,PARAMETROS_IMPORTACION!$C:$C,0),0)</f>
        <v>0</v>
      </c>
      <c r="K16" s="2">
        <f ca="1">IFERROR(_xludf.XLOOKUP("Gastos_Aduana",PARAMETROS_IMPORTACION!$A:$A,PARAMETROS_IMPORTACION!$C:$C,0),0)</f>
        <v>0</v>
      </c>
      <c r="L16" s="2">
        <f t="shared" si="1"/>
        <v>0</v>
      </c>
    </row>
    <row r="17" spans="5:12" x14ac:dyDescent="0.35">
      <c r="E17" s="2"/>
      <c r="F17" s="2">
        <f>_xlfn.XLOOKUP(D17,TIPOS_CAMBIO!A:A,TIPOS_CAMBIO!B:B,"",0)</f>
        <v>0</v>
      </c>
      <c r="G17" s="3">
        <f t="shared" si="0"/>
        <v>0</v>
      </c>
      <c r="H17" s="3"/>
      <c r="I17" s="3">
        <f ca="1">IFERROR(_xludf.XLOOKUP("Seguro",PARAMETROS_IMPORTACION!$A:$A,PARAMETROS_IMPORTACION!$C:$C,0),0)</f>
        <v>0</v>
      </c>
      <c r="J17" s="3">
        <f ca="1">IFERROR(_xludf.XLOOKUP("Arancel",PARAMETROS_IMPORTACION!$A:$A,PARAMETROS_IMPORTACION!$C:$C,0),0)</f>
        <v>0</v>
      </c>
      <c r="K17" s="2">
        <f ca="1">IFERROR(_xludf.XLOOKUP("Gastos_Aduana",PARAMETROS_IMPORTACION!$A:$A,PARAMETROS_IMPORTACION!$C:$C,0),0)</f>
        <v>0</v>
      </c>
      <c r="L17" s="2">
        <f t="shared" si="1"/>
        <v>0</v>
      </c>
    </row>
    <row r="18" spans="5:12" x14ac:dyDescent="0.35">
      <c r="E18" s="2"/>
      <c r="F18" s="2">
        <f>_xlfn.XLOOKUP(D18,TIPOS_CAMBIO!A:A,TIPOS_CAMBIO!B:B,"",0)</f>
        <v>0</v>
      </c>
      <c r="G18" s="3">
        <f t="shared" si="0"/>
        <v>0</v>
      </c>
      <c r="H18" s="3"/>
      <c r="I18" s="3">
        <f ca="1">IFERROR(_xludf.XLOOKUP("Seguro",PARAMETROS_IMPORTACION!$A:$A,PARAMETROS_IMPORTACION!$C:$C,0),0)</f>
        <v>0</v>
      </c>
      <c r="J18" s="3">
        <f ca="1">IFERROR(_xludf.XLOOKUP("Arancel",PARAMETROS_IMPORTACION!$A:$A,PARAMETROS_IMPORTACION!$C:$C,0),0)</f>
        <v>0</v>
      </c>
      <c r="K18" s="2">
        <f ca="1">IFERROR(_xludf.XLOOKUP("Gastos_Aduana",PARAMETROS_IMPORTACION!$A:$A,PARAMETROS_IMPORTACION!$C:$C,0),0)</f>
        <v>0</v>
      </c>
      <c r="L18" s="2">
        <f t="shared" si="1"/>
        <v>0</v>
      </c>
    </row>
    <row r="19" spans="5:12" x14ac:dyDescent="0.35">
      <c r="E19" s="2"/>
      <c r="F19" s="2">
        <f>_xlfn.XLOOKUP(D19,TIPOS_CAMBIO!A:A,TIPOS_CAMBIO!B:B,"",0)</f>
        <v>0</v>
      </c>
      <c r="G19" s="3">
        <f t="shared" si="0"/>
        <v>0</v>
      </c>
      <c r="H19" s="3"/>
      <c r="I19" s="3">
        <f ca="1">IFERROR(_xludf.XLOOKUP("Seguro",PARAMETROS_IMPORTACION!$A:$A,PARAMETROS_IMPORTACION!$C:$C,0),0)</f>
        <v>0</v>
      </c>
      <c r="J19" s="3">
        <f ca="1">IFERROR(_xludf.XLOOKUP("Arancel",PARAMETROS_IMPORTACION!$A:$A,PARAMETROS_IMPORTACION!$C:$C,0),0)</f>
        <v>0</v>
      </c>
      <c r="K19" s="2">
        <f ca="1">IFERROR(_xludf.XLOOKUP("Gastos_Aduana",PARAMETROS_IMPORTACION!$A:$A,PARAMETROS_IMPORTACION!$C:$C,0),0)</f>
        <v>0</v>
      </c>
      <c r="L19" s="2">
        <f t="shared" si="1"/>
        <v>0</v>
      </c>
    </row>
    <row r="20" spans="5:12" x14ac:dyDescent="0.35">
      <c r="E20" s="2"/>
      <c r="F20" s="2">
        <f>_xlfn.XLOOKUP(D20,TIPOS_CAMBIO!A:A,TIPOS_CAMBIO!B:B,"",0)</f>
        <v>0</v>
      </c>
      <c r="G20" s="3">
        <f t="shared" si="0"/>
        <v>0</v>
      </c>
      <c r="H20" s="3"/>
      <c r="I20" s="3">
        <f ca="1">IFERROR(_xludf.XLOOKUP("Seguro",PARAMETROS_IMPORTACION!$A:$A,PARAMETROS_IMPORTACION!$C:$C,0),0)</f>
        <v>0</v>
      </c>
      <c r="J20" s="3">
        <f ca="1">IFERROR(_xludf.XLOOKUP("Arancel",PARAMETROS_IMPORTACION!$A:$A,PARAMETROS_IMPORTACION!$C:$C,0),0)</f>
        <v>0</v>
      </c>
      <c r="K20" s="2">
        <f ca="1">IFERROR(_xludf.XLOOKUP("Gastos_Aduana",PARAMETROS_IMPORTACION!$A:$A,PARAMETROS_IMPORTACION!$C:$C,0),0)</f>
        <v>0</v>
      </c>
      <c r="L20" s="2">
        <f t="shared" si="1"/>
        <v>0</v>
      </c>
    </row>
    <row r="21" spans="5:12" x14ac:dyDescent="0.35">
      <c r="E21" s="2"/>
      <c r="F21" s="2">
        <f>_xlfn.XLOOKUP(D21,TIPOS_CAMBIO!A:A,TIPOS_CAMBIO!B:B,"",0)</f>
        <v>0</v>
      </c>
      <c r="G21" s="3">
        <f t="shared" si="0"/>
        <v>0</v>
      </c>
      <c r="H21" s="3"/>
      <c r="I21" s="3">
        <f ca="1">IFERROR(_xludf.XLOOKUP("Seguro",PARAMETROS_IMPORTACION!$A:$A,PARAMETROS_IMPORTACION!$C:$C,0),0)</f>
        <v>0</v>
      </c>
      <c r="J21" s="3">
        <f ca="1">IFERROR(_xludf.XLOOKUP("Arancel",PARAMETROS_IMPORTACION!$A:$A,PARAMETROS_IMPORTACION!$C:$C,0),0)</f>
        <v>0</v>
      </c>
      <c r="K21" s="2">
        <f ca="1">IFERROR(_xludf.XLOOKUP("Gastos_Aduana",PARAMETROS_IMPORTACION!$A:$A,PARAMETROS_IMPORTACION!$C:$C,0),0)</f>
        <v>0</v>
      </c>
      <c r="L21" s="2">
        <f t="shared" si="1"/>
        <v>0</v>
      </c>
    </row>
    <row r="22" spans="5:12" x14ac:dyDescent="0.35">
      <c r="E22" s="2"/>
      <c r="F22" s="2">
        <f>_xlfn.XLOOKUP(D22,TIPOS_CAMBIO!A:A,TIPOS_CAMBIO!B:B,"",0)</f>
        <v>0</v>
      </c>
      <c r="G22" s="3">
        <f t="shared" si="0"/>
        <v>0</v>
      </c>
      <c r="H22" s="3"/>
      <c r="I22" s="3">
        <f ca="1">IFERROR(_xludf.XLOOKUP("Seguro",PARAMETROS_IMPORTACION!$A:$A,PARAMETROS_IMPORTACION!$C:$C,0),0)</f>
        <v>0</v>
      </c>
      <c r="J22" s="3">
        <f ca="1">IFERROR(_xludf.XLOOKUP("Arancel",PARAMETROS_IMPORTACION!$A:$A,PARAMETROS_IMPORTACION!$C:$C,0),0)</f>
        <v>0</v>
      </c>
      <c r="K22" s="2">
        <f ca="1">IFERROR(_xludf.XLOOKUP("Gastos_Aduana",PARAMETROS_IMPORTACION!$A:$A,PARAMETROS_IMPORTACION!$C:$C,0),0)</f>
        <v>0</v>
      </c>
      <c r="L22" s="2">
        <f t="shared" si="1"/>
        <v>0</v>
      </c>
    </row>
    <row r="23" spans="5:12" x14ac:dyDescent="0.35">
      <c r="E23" s="2"/>
      <c r="F23" s="2">
        <f>_xlfn.XLOOKUP(D23,TIPOS_CAMBIO!A:A,TIPOS_CAMBIO!B:B,"",0)</f>
        <v>0</v>
      </c>
      <c r="G23" s="3">
        <f t="shared" si="0"/>
        <v>0</v>
      </c>
      <c r="H23" s="3"/>
      <c r="I23" s="3">
        <f ca="1">IFERROR(_xludf.XLOOKUP("Seguro",PARAMETROS_IMPORTACION!$A:$A,PARAMETROS_IMPORTACION!$C:$C,0),0)</f>
        <v>0</v>
      </c>
      <c r="J23" s="3">
        <f ca="1">IFERROR(_xludf.XLOOKUP("Arancel",PARAMETROS_IMPORTACION!$A:$A,PARAMETROS_IMPORTACION!$C:$C,0),0)</f>
        <v>0</v>
      </c>
      <c r="K23" s="2">
        <f ca="1">IFERROR(_xludf.XLOOKUP("Gastos_Aduana",PARAMETROS_IMPORTACION!$A:$A,PARAMETROS_IMPORTACION!$C:$C,0),0)</f>
        <v>0</v>
      </c>
      <c r="L23" s="2">
        <f t="shared" si="1"/>
        <v>0</v>
      </c>
    </row>
    <row r="24" spans="5:12" x14ac:dyDescent="0.35">
      <c r="E24" s="2"/>
      <c r="F24" s="2">
        <f>_xlfn.XLOOKUP(D24,TIPOS_CAMBIO!A:A,TIPOS_CAMBIO!B:B,"",0)</f>
        <v>0</v>
      </c>
      <c r="G24" s="3">
        <f t="shared" si="0"/>
        <v>0</v>
      </c>
      <c r="H24" s="3"/>
      <c r="I24" s="3">
        <f ca="1">IFERROR(_xludf.XLOOKUP("Seguro",PARAMETROS_IMPORTACION!$A:$A,PARAMETROS_IMPORTACION!$C:$C,0),0)</f>
        <v>0</v>
      </c>
      <c r="J24" s="3">
        <f ca="1">IFERROR(_xludf.XLOOKUP("Arancel",PARAMETROS_IMPORTACION!$A:$A,PARAMETROS_IMPORTACION!$C:$C,0),0)</f>
        <v>0</v>
      </c>
      <c r="K24" s="2">
        <f ca="1">IFERROR(_xludf.XLOOKUP("Gastos_Aduana",PARAMETROS_IMPORTACION!$A:$A,PARAMETROS_IMPORTACION!$C:$C,0),0)</f>
        <v>0</v>
      </c>
      <c r="L24" s="2">
        <f t="shared" si="1"/>
        <v>0</v>
      </c>
    </row>
    <row r="25" spans="5:12" x14ac:dyDescent="0.35">
      <c r="E25" s="2"/>
      <c r="F25" s="2">
        <f>_xlfn.XLOOKUP(D25,TIPOS_CAMBIO!A:A,TIPOS_CAMBIO!B:B,"",0)</f>
        <v>0</v>
      </c>
      <c r="G25" s="3">
        <f t="shared" si="0"/>
        <v>0</v>
      </c>
      <c r="H25" s="3"/>
      <c r="I25" s="3">
        <f ca="1">IFERROR(_xludf.XLOOKUP("Seguro",PARAMETROS_IMPORTACION!$A:$A,PARAMETROS_IMPORTACION!$C:$C,0),0)</f>
        <v>0</v>
      </c>
      <c r="J25" s="3">
        <f ca="1">IFERROR(_xludf.XLOOKUP("Arancel",PARAMETROS_IMPORTACION!$A:$A,PARAMETROS_IMPORTACION!$C:$C,0),0)</f>
        <v>0</v>
      </c>
      <c r="K25" s="2">
        <f ca="1">IFERROR(_xludf.XLOOKUP("Gastos_Aduana",PARAMETROS_IMPORTACION!$A:$A,PARAMETROS_IMPORTACION!$C:$C,0),0)</f>
        <v>0</v>
      </c>
      <c r="L25" s="2">
        <f t="shared" si="1"/>
        <v>0</v>
      </c>
    </row>
    <row r="26" spans="5:12" x14ac:dyDescent="0.35">
      <c r="E26" s="2"/>
      <c r="F26" s="2">
        <f>_xlfn.XLOOKUP(D26,TIPOS_CAMBIO!A:A,TIPOS_CAMBIO!B:B,"",0)</f>
        <v>0</v>
      </c>
      <c r="G26" s="3">
        <f t="shared" si="0"/>
        <v>0</v>
      </c>
      <c r="H26" s="3"/>
      <c r="I26" s="3">
        <f ca="1">IFERROR(_xludf.XLOOKUP("Seguro",PARAMETROS_IMPORTACION!$A:$A,PARAMETROS_IMPORTACION!$C:$C,0),0)</f>
        <v>0</v>
      </c>
      <c r="J26" s="3">
        <f ca="1">IFERROR(_xludf.XLOOKUP("Arancel",PARAMETROS_IMPORTACION!$A:$A,PARAMETROS_IMPORTACION!$C:$C,0),0)</f>
        <v>0</v>
      </c>
      <c r="K26" s="2">
        <f ca="1">IFERROR(_xludf.XLOOKUP("Gastos_Aduana",PARAMETROS_IMPORTACION!$A:$A,PARAMETROS_IMPORTACION!$C:$C,0),0)</f>
        <v>0</v>
      </c>
      <c r="L26" s="2">
        <f t="shared" si="1"/>
        <v>0</v>
      </c>
    </row>
    <row r="27" spans="5:12" x14ac:dyDescent="0.35">
      <c r="E27" s="2"/>
      <c r="F27" s="2">
        <f>_xlfn.XLOOKUP(D27,TIPOS_CAMBIO!A:A,TIPOS_CAMBIO!B:B,"",0)</f>
        <v>0</v>
      </c>
      <c r="G27" s="3">
        <f t="shared" si="0"/>
        <v>0</v>
      </c>
      <c r="H27" s="3"/>
      <c r="I27" s="3">
        <f ca="1">IFERROR(_xludf.XLOOKUP("Seguro",PARAMETROS_IMPORTACION!$A:$A,PARAMETROS_IMPORTACION!$C:$C,0),0)</f>
        <v>0</v>
      </c>
      <c r="J27" s="3">
        <f ca="1">IFERROR(_xludf.XLOOKUP("Arancel",PARAMETROS_IMPORTACION!$A:$A,PARAMETROS_IMPORTACION!$C:$C,0),0)</f>
        <v>0</v>
      </c>
      <c r="K27" s="2">
        <f ca="1">IFERROR(_xludf.XLOOKUP("Gastos_Aduana",PARAMETROS_IMPORTACION!$A:$A,PARAMETROS_IMPORTACION!$C:$C,0),0)</f>
        <v>0</v>
      </c>
      <c r="L27" s="2">
        <f t="shared" si="1"/>
        <v>0</v>
      </c>
    </row>
    <row r="28" spans="5:12" x14ac:dyDescent="0.35">
      <c r="E28" s="2"/>
      <c r="F28" s="2">
        <f>_xlfn.XLOOKUP(D28,TIPOS_CAMBIO!A:A,TIPOS_CAMBIO!B:B,"",0)</f>
        <v>0</v>
      </c>
      <c r="G28" s="3">
        <f t="shared" si="0"/>
        <v>0</v>
      </c>
      <c r="H28" s="3"/>
      <c r="I28" s="3">
        <f ca="1">IFERROR(_xludf.XLOOKUP("Seguro",PARAMETROS_IMPORTACION!$A:$A,PARAMETROS_IMPORTACION!$C:$C,0),0)</f>
        <v>0</v>
      </c>
      <c r="J28" s="3">
        <f ca="1">IFERROR(_xludf.XLOOKUP("Arancel",PARAMETROS_IMPORTACION!$A:$A,PARAMETROS_IMPORTACION!$C:$C,0),0)</f>
        <v>0</v>
      </c>
      <c r="K28" s="2">
        <f ca="1">IFERROR(_xludf.XLOOKUP("Gastos_Aduana",PARAMETROS_IMPORTACION!$A:$A,PARAMETROS_IMPORTACION!$C:$C,0),0)</f>
        <v>0</v>
      </c>
      <c r="L28" s="2">
        <f t="shared" si="1"/>
        <v>0</v>
      </c>
    </row>
    <row r="29" spans="5:12" x14ac:dyDescent="0.35">
      <c r="E29" s="2"/>
      <c r="F29" s="2">
        <f>_xlfn.XLOOKUP(D29,TIPOS_CAMBIO!A:A,TIPOS_CAMBIO!B:B,"",0)</f>
        <v>0</v>
      </c>
      <c r="G29" s="3">
        <f t="shared" si="0"/>
        <v>0</v>
      </c>
      <c r="H29" s="3"/>
      <c r="I29" s="3">
        <f ca="1">IFERROR(_xludf.XLOOKUP("Seguro",PARAMETROS_IMPORTACION!$A:$A,PARAMETROS_IMPORTACION!$C:$C,0),0)</f>
        <v>0</v>
      </c>
      <c r="J29" s="3">
        <f ca="1">IFERROR(_xludf.XLOOKUP("Arancel",PARAMETROS_IMPORTACION!$A:$A,PARAMETROS_IMPORTACION!$C:$C,0),0)</f>
        <v>0</v>
      </c>
      <c r="K29" s="2">
        <f ca="1">IFERROR(_xludf.XLOOKUP("Gastos_Aduana",PARAMETROS_IMPORTACION!$A:$A,PARAMETROS_IMPORTACION!$C:$C,0),0)</f>
        <v>0</v>
      </c>
      <c r="L29" s="2">
        <f t="shared" si="1"/>
        <v>0</v>
      </c>
    </row>
    <row r="30" spans="5:12" x14ac:dyDescent="0.35">
      <c r="E30" s="2"/>
      <c r="F30" s="2">
        <f>_xlfn.XLOOKUP(D30,TIPOS_CAMBIO!A:A,TIPOS_CAMBIO!B:B,"",0)</f>
        <v>0</v>
      </c>
      <c r="G30" s="3">
        <f t="shared" si="0"/>
        <v>0</v>
      </c>
      <c r="H30" s="3"/>
      <c r="I30" s="3">
        <f ca="1">IFERROR(_xludf.XLOOKUP("Seguro",PARAMETROS_IMPORTACION!$A:$A,PARAMETROS_IMPORTACION!$C:$C,0),0)</f>
        <v>0</v>
      </c>
      <c r="J30" s="3">
        <f ca="1">IFERROR(_xludf.XLOOKUP("Arancel",PARAMETROS_IMPORTACION!$A:$A,PARAMETROS_IMPORTACION!$C:$C,0),0)</f>
        <v>0</v>
      </c>
      <c r="K30" s="2">
        <f ca="1">IFERROR(_xludf.XLOOKUP("Gastos_Aduana",PARAMETROS_IMPORTACION!$A:$A,PARAMETROS_IMPORTACION!$C:$C,0),0)</f>
        <v>0</v>
      </c>
      <c r="L30" s="2">
        <f t="shared" si="1"/>
        <v>0</v>
      </c>
    </row>
    <row r="31" spans="5:12" x14ac:dyDescent="0.35">
      <c r="E31" s="2"/>
      <c r="F31" s="2">
        <f>_xlfn.XLOOKUP(D31,TIPOS_CAMBIO!A:A,TIPOS_CAMBIO!B:B,"",0)</f>
        <v>0</v>
      </c>
      <c r="G31" s="3">
        <f t="shared" si="0"/>
        <v>0</v>
      </c>
      <c r="H31" s="3"/>
      <c r="I31" s="3">
        <f ca="1">IFERROR(_xludf.XLOOKUP("Seguro",PARAMETROS_IMPORTACION!$A:$A,PARAMETROS_IMPORTACION!$C:$C,0),0)</f>
        <v>0</v>
      </c>
      <c r="J31" s="3">
        <f ca="1">IFERROR(_xludf.XLOOKUP("Arancel",PARAMETROS_IMPORTACION!$A:$A,PARAMETROS_IMPORTACION!$C:$C,0),0)</f>
        <v>0</v>
      </c>
      <c r="K31" s="2">
        <f ca="1">IFERROR(_xludf.XLOOKUP("Gastos_Aduana",PARAMETROS_IMPORTACION!$A:$A,PARAMETROS_IMPORTACION!$C:$C,0),0)</f>
        <v>0</v>
      </c>
      <c r="L31" s="2">
        <f t="shared" si="1"/>
        <v>0</v>
      </c>
    </row>
    <row r="32" spans="5:12" x14ac:dyDescent="0.35">
      <c r="E32" s="2"/>
      <c r="F32" s="2">
        <f>_xlfn.XLOOKUP(D32,TIPOS_CAMBIO!A:A,TIPOS_CAMBIO!B:B,"",0)</f>
        <v>0</v>
      </c>
      <c r="G32" s="3">
        <f t="shared" si="0"/>
        <v>0</v>
      </c>
      <c r="H32" s="3"/>
      <c r="I32" s="3">
        <f ca="1">IFERROR(_xludf.XLOOKUP("Seguro",PARAMETROS_IMPORTACION!$A:$A,PARAMETROS_IMPORTACION!$C:$C,0),0)</f>
        <v>0</v>
      </c>
      <c r="J32" s="3">
        <f ca="1">IFERROR(_xludf.XLOOKUP("Arancel",PARAMETROS_IMPORTACION!$A:$A,PARAMETROS_IMPORTACION!$C:$C,0),0)</f>
        <v>0</v>
      </c>
      <c r="K32" s="2">
        <f ca="1">IFERROR(_xludf.XLOOKUP("Gastos_Aduana",PARAMETROS_IMPORTACION!$A:$A,PARAMETROS_IMPORTACION!$C:$C,0),0)</f>
        <v>0</v>
      </c>
      <c r="L32" s="2">
        <f t="shared" si="1"/>
        <v>0</v>
      </c>
    </row>
    <row r="33" spans="5:12" x14ac:dyDescent="0.35">
      <c r="E33" s="2"/>
      <c r="F33" s="2">
        <f>_xlfn.XLOOKUP(D33,TIPOS_CAMBIO!A:A,TIPOS_CAMBIO!B:B,"",0)</f>
        <v>0</v>
      </c>
      <c r="G33" s="3">
        <f t="shared" si="0"/>
        <v>0</v>
      </c>
      <c r="H33" s="3"/>
      <c r="I33" s="3">
        <f ca="1">IFERROR(_xludf.XLOOKUP("Seguro",PARAMETROS_IMPORTACION!$A:$A,PARAMETROS_IMPORTACION!$C:$C,0),0)</f>
        <v>0</v>
      </c>
      <c r="J33" s="3">
        <f ca="1">IFERROR(_xludf.XLOOKUP("Arancel",PARAMETROS_IMPORTACION!$A:$A,PARAMETROS_IMPORTACION!$C:$C,0),0)</f>
        <v>0</v>
      </c>
      <c r="K33" s="2">
        <f ca="1">IFERROR(_xludf.XLOOKUP("Gastos_Aduana",PARAMETROS_IMPORTACION!$A:$A,PARAMETROS_IMPORTACION!$C:$C,0),0)</f>
        <v>0</v>
      </c>
      <c r="L33" s="2">
        <f t="shared" si="1"/>
        <v>0</v>
      </c>
    </row>
    <row r="34" spans="5:12" x14ac:dyDescent="0.35">
      <c r="E34" s="2"/>
      <c r="F34" s="2">
        <f>_xlfn.XLOOKUP(D34,TIPOS_CAMBIO!A:A,TIPOS_CAMBIO!B:B,"",0)</f>
        <v>0</v>
      </c>
      <c r="G34" s="3">
        <f t="shared" si="0"/>
        <v>0</v>
      </c>
      <c r="H34" s="3"/>
      <c r="I34" s="3">
        <f ca="1">IFERROR(_xludf.XLOOKUP("Seguro",PARAMETROS_IMPORTACION!$A:$A,PARAMETROS_IMPORTACION!$C:$C,0),0)</f>
        <v>0</v>
      </c>
      <c r="J34" s="3">
        <f ca="1">IFERROR(_xludf.XLOOKUP("Arancel",PARAMETROS_IMPORTACION!$A:$A,PARAMETROS_IMPORTACION!$C:$C,0),0)</f>
        <v>0</v>
      </c>
      <c r="K34" s="2">
        <f ca="1">IFERROR(_xludf.XLOOKUP("Gastos_Aduana",PARAMETROS_IMPORTACION!$A:$A,PARAMETROS_IMPORTACION!$C:$C,0),0)</f>
        <v>0</v>
      </c>
      <c r="L34" s="2">
        <f t="shared" si="1"/>
        <v>0</v>
      </c>
    </row>
    <row r="35" spans="5:12" x14ac:dyDescent="0.35">
      <c r="E35" s="2"/>
      <c r="F35" s="2">
        <f>_xlfn.XLOOKUP(D35,TIPOS_CAMBIO!A:A,TIPOS_CAMBIO!B:B,"",0)</f>
        <v>0</v>
      </c>
      <c r="G35" s="3">
        <f t="shared" si="0"/>
        <v>0</v>
      </c>
      <c r="H35" s="3"/>
      <c r="I35" s="3">
        <f ca="1">IFERROR(_xludf.XLOOKUP("Seguro",PARAMETROS_IMPORTACION!$A:$A,PARAMETROS_IMPORTACION!$C:$C,0),0)</f>
        <v>0</v>
      </c>
      <c r="J35" s="3">
        <f ca="1">IFERROR(_xludf.XLOOKUP("Arancel",PARAMETROS_IMPORTACION!$A:$A,PARAMETROS_IMPORTACION!$C:$C,0),0)</f>
        <v>0</v>
      </c>
      <c r="K35" s="2">
        <f ca="1">IFERROR(_xludf.XLOOKUP("Gastos_Aduana",PARAMETROS_IMPORTACION!$A:$A,PARAMETROS_IMPORTACION!$C:$C,0),0)</f>
        <v>0</v>
      </c>
      <c r="L35" s="2">
        <f t="shared" si="1"/>
        <v>0</v>
      </c>
    </row>
    <row r="36" spans="5:12" x14ac:dyDescent="0.35">
      <c r="E36" s="2"/>
      <c r="F36" s="2">
        <f>_xlfn.XLOOKUP(D36,TIPOS_CAMBIO!A:A,TIPOS_CAMBIO!B:B,"",0)</f>
        <v>0</v>
      </c>
      <c r="G36" s="3">
        <f t="shared" si="0"/>
        <v>0</v>
      </c>
      <c r="H36" s="3"/>
      <c r="I36" s="3">
        <f ca="1">IFERROR(_xludf.XLOOKUP("Seguro",PARAMETROS_IMPORTACION!$A:$A,PARAMETROS_IMPORTACION!$C:$C,0),0)</f>
        <v>0</v>
      </c>
      <c r="J36" s="3">
        <f ca="1">IFERROR(_xludf.XLOOKUP("Arancel",PARAMETROS_IMPORTACION!$A:$A,PARAMETROS_IMPORTACION!$C:$C,0),0)</f>
        <v>0</v>
      </c>
      <c r="K36" s="2">
        <f ca="1">IFERROR(_xludf.XLOOKUP("Gastos_Aduana",PARAMETROS_IMPORTACION!$A:$A,PARAMETROS_IMPORTACION!$C:$C,0),0)</f>
        <v>0</v>
      </c>
      <c r="L36" s="2">
        <f t="shared" si="1"/>
        <v>0</v>
      </c>
    </row>
    <row r="37" spans="5:12" x14ac:dyDescent="0.35">
      <c r="E37" s="2"/>
      <c r="F37" s="2">
        <f>_xlfn.XLOOKUP(D37,TIPOS_CAMBIO!A:A,TIPOS_CAMBIO!B:B,"",0)</f>
        <v>0</v>
      </c>
      <c r="G37" s="3">
        <f t="shared" si="0"/>
        <v>0</v>
      </c>
      <c r="H37" s="3"/>
      <c r="I37" s="3">
        <f ca="1">IFERROR(_xludf.XLOOKUP("Seguro",PARAMETROS_IMPORTACION!$A:$A,PARAMETROS_IMPORTACION!$C:$C,0),0)</f>
        <v>0</v>
      </c>
      <c r="J37" s="3">
        <f ca="1">IFERROR(_xludf.XLOOKUP("Arancel",PARAMETROS_IMPORTACION!$A:$A,PARAMETROS_IMPORTACION!$C:$C,0),0)</f>
        <v>0</v>
      </c>
      <c r="K37" s="2">
        <f ca="1">IFERROR(_xludf.XLOOKUP("Gastos_Aduana",PARAMETROS_IMPORTACION!$A:$A,PARAMETROS_IMPORTACION!$C:$C,0),0)</f>
        <v>0</v>
      </c>
      <c r="L37" s="2">
        <f t="shared" si="1"/>
        <v>0</v>
      </c>
    </row>
    <row r="38" spans="5:12" x14ac:dyDescent="0.35">
      <c r="E38" s="2"/>
      <c r="F38" s="2">
        <f>_xlfn.XLOOKUP(D38,TIPOS_CAMBIO!A:A,TIPOS_CAMBIO!B:B,"",0)</f>
        <v>0</v>
      </c>
      <c r="G38" s="3">
        <f t="shared" si="0"/>
        <v>0</v>
      </c>
      <c r="H38" s="3"/>
      <c r="I38" s="3">
        <f ca="1">IFERROR(_xludf.XLOOKUP("Seguro",PARAMETROS_IMPORTACION!$A:$A,PARAMETROS_IMPORTACION!$C:$C,0),0)</f>
        <v>0</v>
      </c>
      <c r="J38" s="3">
        <f ca="1">IFERROR(_xludf.XLOOKUP("Arancel",PARAMETROS_IMPORTACION!$A:$A,PARAMETROS_IMPORTACION!$C:$C,0),0)</f>
        <v>0</v>
      </c>
      <c r="K38" s="2">
        <f ca="1">IFERROR(_xludf.XLOOKUP("Gastos_Aduana",PARAMETROS_IMPORTACION!$A:$A,PARAMETROS_IMPORTACION!$C:$C,0),0)</f>
        <v>0</v>
      </c>
      <c r="L38" s="2">
        <f t="shared" si="1"/>
        <v>0</v>
      </c>
    </row>
    <row r="39" spans="5:12" x14ac:dyDescent="0.35">
      <c r="E39" s="2"/>
      <c r="F39" s="2">
        <f>_xlfn.XLOOKUP(D39,TIPOS_CAMBIO!A:A,TIPOS_CAMBIO!B:B,"",0)</f>
        <v>0</v>
      </c>
      <c r="G39" s="3">
        <f t="shared" si="0"/>
        <v>0</v>
      </c>
      <c r="H39" s="3"/>
      <c r="I39" s="3">
        <f ca="1">IFERROR(_xludf.XLOOKUP("Seguro",PARAMETROS_IMPORTACION!$A:$A,PARAMETROS_IMPORTACION!$C:$C,0),0)</f>
        <v>0</v>
      </c>
      <c r="J39" s="3">
        <f ca="1">IFERROR(_xludf.XLOOKUP("Arancel",PARAMETROS_IMPORTACION!$A:$A,PARAMETROS_IMPORTACION!$C:$C,0),0)</f>
        <v>0</v>
      </c>
      <c r="K39" s="2">
        <f ca="1">IFERROR(_xludf.XLOOKUP("Gastos_Aduana",PARAMETROS_IMPORTACION!$A:$A,PARAMETROS_IMPORTACION!$C:$C,0),0)</f>
        <v>0</v>
      </c>
      <c r="L39" s="2">
        <f t="shared" si="1"/>
        <v>0</v>
      </c>
    </row>
    <row r="40" spans="5:12" x14ac:dyDescent="0.35">
      <c r="E40" s="2"/>
      <c r="F40" s="2">
        <f>_xlfn.XLOOKUP(D40,TIPOS_CAMBIO!A:A,TIPOS_CAMBIO!B:B,"",0)</f>
        <v>0</v>
      </c>
      <c r="G40" s="3">
        <f t="shared" si="0"/>
        <v>0</v>
      </c>
      <c r="H40" s="3"/>
      <c r="I40" s="3">
        <f ca="1">IFERROR(_xludf.XLOOKUP("Seguro",PARAMETROS_IMPORTACION!$A:$A,PARAMETROS_IMPORTACION!$C:$C,0),0)</f>
        <v>0</v>
      </c>
      <c r="J40" s="3">
        <f ca="1">IFERROR(_xludf.XLOOKUP("Arancel",PARAMETROS_IMPORTACION!$A:$A,PARAMETROS_IMPORTACION!$C:$C,0),0)</f>
        <v>0</v>
      </c>
      <c r="K40" s="2">
        <f ca="1">IFERROR(_xludf.XLOOKUP("Gastos_Aduana",PARAMETROS_IMPORTACION!$A:$A,PARAMETROS_IMPORTACION!$C:$C,0),0)</f>
        <v>0</v>
      </c>
      <c r="L40" s="2">
        <f t="shared" si="1"/>
        <v>0</v>
      </c>
    </row>
    <row r="41" spans="5:12" x14ac:dyDescent="0.35">
      <c r="E41" s="2"/>
      <c r="F41" s="2">
        <f>_xlfn.XLOOKUP(D41,TIPOS_CAMBIO!A:A,TIPOS_CAMBIO!B:B,"",0)</f>
        <v>0</v>
      </c>
      <c r="G41" s="3">
        <f t="shared" si="0"/>
        <v>0</v>
      </c>
      <c r="H41" s="3"/>
      <c r="I41" s="3">
        <f ca="1">IFERROR(_xludf.XLOOKUP("Seguro",PARAMETROS_IMPORTACION!$A:$A,PARAMETROS_IMPORTACION!$C:$C,0),0)</f>
        <v>0</v>
      </c>
      <c r="J41" s="3">
        <f ca="1">IFERROR(_xludf.XLOOKUP("Arancel",PARAMETROS_IMPORTACION!$A:$A,PARAMETROS_IMPORTACION!$C:$C,0),0)</f>
        <v>0</v>
      </c>
      <c r="K41" s="2">
        <f ca="1">IFERROR(_xludf.XLOOKUP("Gastos_Aduana",PARAMETROS_IMPORTACION!$A:$A,PARAMETROS_IMPORTACION!$C:$C,0),0)</f>
        <v>0</v>
      </c>
      <c r="L41" s="2">
        <f t="shared" si="1"/>
        <v>0</v>
      </c>
    </row>
    <row r="42" spans="5:12" x14ac:dyDescent="0.35">
      <c r="E42" s="2"/>
      <c r="F42" s="2">
        <f>_xlfn.XLOOKUP(D42,TIPOS_CAMBIO!A:A,TIPOS_CAMBIO!B:B,"",0)</f>
        <v>0</v>
      </c>
      <c r="G42" s="3">
        <f t="shared" si="0"/>
        <v>0</v>
      </c>
      <c r="H42" s="3"/>
      <c r="I42" s="3">
        <f ca="1">IFERROR(_xludf.XLOOKUP("Seguro",PARAMETROS_IMPORTACION!$A:$A,PARAMETROS_IMPORTACION!$C:$C,0),0)</f>
        <v>0</v>
      </c>
      <c r="J42" s="3">
        <f ca="1">IFERROR(_xludf.XLOOKUP("Arancel",PARAMETROS_IMPORTACION!$A:$A,PARAMETROS_IMPORTACION!$C:$C,0),0)</f>
        <v>0</v>
      </c>
      <c r="K42" s="2">
        <f ca="1">IFERROR(_xludf.XLOOKUP("Gastos_Aduana",PARAMETROS_IMPORTACION!$A:$A,PARAMETROS_IMPORTACION!$C:$C,0),0)</f>
        <v>0</v>
      </c>
      <c r="L42" s="2">
        <f t="shared" si="1"/>
        <v>0</v>
      </c>
    </row>
    <row r="43" spans="5:12" x14ac:dyDescent="0.35">
      <c r="E43" s="2"/>
      <c r="F43" s="2">
        <f>_xlfn.XLOOKUP(D43,TIPOS_CAMBIO!A:A,TIPOS_CAMBIO!B:B,"",0)</f>
        <v>0</v>
      </c>
      <c r="G43" s="3">
        <f t="shared" si="0"/>
        <v>0</v>
      </c>
      <c r="H43" s="3"/>
      <c r="I43" s="3">
        <f ca="1">IFERROR(_xludf.XLOOKUP("Seguro",PARAMETROS_IMPORTACION!$A:$A,PARAMETROS_IMPORTACION!$C:$C,0),0)</f>
        <v>0</v>
      </c>
      <c r="J43" s="3">
        <f ca="1">IFERROR(_xludf.XLOOKUP("Arancel",PARAMETROS_IMPORTACION!$A:$A,PARAMETROS_IMPORTACION!$C:$C,0),0)</f>
        <v>0</v>
      </c>
      <c r="K43" s="2">
        <f ca="1">IFERROR(_xludf.XLOOKUP("Gastos_Aduana",PARAMETROS_IMPORTACION!$A:$A,PARAMETROS_IMPORTACION!$C:$C,0),0)</f>
        <v>0</v>
      </c>
      <c r="L43" s="2">
        <f t="shared" si="1"/>
        <v>0</v>
      </c>
    </row>
    <row r="44" spans="5:12" x14ac:dyDescent="0.35">
      <c r="E44" s="2"/>
      <c r="F44" s="2">
        <f>_xlfn.XLOOKUP(D44,TIPOS_CAMBIO!A:A,TIPOS_CAMBIO!B:B,"",0)</f>
        <v>0</v>
      </c>
      <c r="G44" s="3">
        <f t="shared" si="0"/>
        <v>0</v>
      </c>
      <c r="H44" s="3"/>
      <c r="I44" s="3">
        <f ca="1">IFERROR(_xludf.XLOOKUP("Seguro",PARAMETROS_IMPORTACION!$A:$A,PARAMETROS_IMPORTACION!$C:$C,0),0)</f>
        <v>0</v>
      </c>
      <c r="J44" s="3">
        <f ca="1">IFERROR(_xludf.XLOOKUP("Arancel",PARAMETROS_IMPORTACION!$A:$A,PARAMETROS_IMPORTACION!$C:$C,0),0)</f>
        <v>0</v>
      </c>
      <c r="K44" s="2">
        <f ca="1">IFERROR(_xludf.XLOOKUP("Gastos_Aduana",PARAMETROS_IMPORTACION!$A:$A,PARAMETROS_IMPORTACION!$C:$C,0),0)</f>
        <v>0</v>
      </c>
      <c r="L44" s="2">
        <f t="shared" si="1"/>
        <v>0</v>
      </c>
    </row>
    <row r="45" spans="5:12" x14ac:dyDescent="0.35">
      <c r="E45" s="2"/>
      <c r="F45" s="2">
        <f>_xlfn.XLOOKUP(D45,TIPOS_CAMBIO!A:A,TIPOS_CAMBIO!B:B,"",0)</f>
        <v>0</v>
      </c>
      <c r="G45" s="3">
        <f t="shared" si="0"/>
        <v>0</v>
      </c>
      <c r="H45" s="3"/>
      <c r="I45" s="3">
        <f ca="1">IFERROR(_xludf.XLOOKUP("Seguro",PARAMETROS_IMPORTACION!$A:$A,PARAMETROS_IMPORTACION!$C:$C,0),0)</f>
        <v>0</v>
      </c>
      <c r="J45" s="3">
        <f ca="1">IFERROR(_xludf.XLOOKUP("Arancel",PARAMETROS_IMPORTACION!$A:$A,PARAMETROS_IMPORTACION!$C:$C,0),0)</f>
        <v>0</v>
      </c>
      <c r="K45" s="2">
        <f ca="1">IFERROR(_xludf.XLOOKUP("Gastos_Aduana",PARAMETROS_IMPORTACION!$A:$A,PARAMETROS_IMPORTACION!$C:$C,0),0)</f>
        <v>0</v>
      </c>
      <c r="L45" s="2">
        <f t="shared" si="1"/>
        <v>0</v>
      </c>
    </row>
    <row r="46" spans="5:12" x14ac:dyDescent="0.35">
      <c r="E46" s="2"/>
      <c r="F46" s="2">
        <f>_xlfn.XLOOKUP(D46,TIPOS_CAMBIO!A:A,TIPOS_CAMBIO!B:B,"",0)</f>
        <v>0</v>
      </c>
      <c r="G46" s="3">
        <f t="shared" si="0"/>
        <v>0</v>
      </c>
      <c r="H46" s="3"/>
      <c r="I46" s="3">
        <f ca="1">IFERROR(_xludf.XLOOKUP("Seguro",PARAMETROS_IMPORTACION!$A:$A,PARAMETROS_IMPORTACION!$C:$C,0),0)</f>
        <v>0</v>
      </c>
      <c r="J46" s="3">
        <f ca="1">IFERROR(_xludf.XLOOKUP("Arancel",PARAMETROS_IMPORTACION!$A:$A,PARAMETROS_IMPORTACION!$C:$C,0),0)</f>
        <v>0</v>
      </c>
      <c r="K46" s="2">
        <f ca="1">IFERROR(_xludf.XLOOKUP("Gastos_Aduana",PARAMETROS_IMPORTACION!$A:$A,PARAMETROS_IMPORTACION!$C:$C,0),0)</f>
        <v>0</v>
      </c>
      <c r="L46" s="2">
        <f t="shared" si="1"/>
        <v>0</v>
      </c>
    </row>
    <row r="47" spans="5:12" x14ac:dyDescent="0.35">
      <c r="E47" s="2"/>
      <c r="F47" s="2">
        <f>_xlfn.XLOOKUP(D47,TIPOS_CAMBIO!A:A,TIPOS_CAMBIO!B:B,"",0)</f>
        <v>0</v>
      </c>
      <c r="G47" s="3">
        <f t="shared" si="0"/>
        <v>0</v>
      </c>
      <c r="H47" s="3"/>
      <c r="I47" s="3">
        <f ca="1">IFERROR(_xludf.XLOOKUP("Seguro",PARAMETROS_IMPORTACION!$A:$A,PARAMETROS_IMPORTACION!$C:$C,0),0)</f>
        <v>0</v>
      </c>
      <c r="J47" s="3">
        <f ca="1">IFERROR(_xludf.XLOOKUP("Arancel",PARAMETROS_IMPORTACION!$A:$A,PARAMETROS_IMPORTACION!$C:$C,0),0)</f>
        <v>0</v>
      </c>
      <c r="K47" s="2">
        <f ca="1">IFERROR(_xludf.XLOOKUP("Gastos_Aduana",PARAMETROS_IMPORTACION!$A:$A,PARAMETROS_IMPORTACION!$C:$C,0),0)</f>
        <v>0</v>
      </c>
      <c r="L47" s="2">
        <f t="shared" si="1"/>
        <v>0</v>
      </c>
    </row>
    <row r="48" spans="5:12" x14ac:dyDescent="0.35">
      <c r="E48" s="2"/>
      <c r="F48" s="2">
        <f>_xlfn.XLOOKUP(D48,TIPOS_CAMBIO!A:A,TIPOS_CAMBIO!B:B,"",0)</f>
        <v>0</v>
      </c>
      <c r="G48" s="3">
        <f t="shared" si="0"/>
        <v>0</v>
      </c>
      <c r="H48" s="3"/>
      <c r="I48" s="3">
        <f ca="1">IFERROR(_xludf.XLOOKUP("Seguro",PARAMETROS_IMPORTACION!$A:$A,PARAMETROS_IMPORTACION!$C:$C,0),0)</f>
        <v>0</v>
      </c>
      <c r="J48" s="3">
        <f ca="1">IFERROR(_xludf.XLOOKUP("Arancel",PARAMETROS_IMPORTACION!$A:$A,PARAMETROS_IMPORTACION!$C:$C,0),0)</f>
        <v>0</v>
      </c>
      <c r="K48" s="2">
        <f ca="1">IFERROR(_xludf.XLOOKUP("Gastos_Aduana",PARAMETROS_IMPORTACION!$A:$A,PARAMETROS_IMPORTACION!$C:$C,0),0)</f>
        <v>0</v>
      </c>
      <c r="L48" s="2">
        <f t="shared" si="1"/>
        <v>0</v>
      </c>
    </row>
    <row r="49" spans="5:12" x14ac:dyDescent="0.35">
      <c r="E49" s="2"/>
      <c r="F49" s="2">
        <f>_xlfn.XLOOKUP(D49,TIPOS_CAMBIO!A:A,TIPOS_CAMBIO!B:B,"",0)</f>
        <v>0</v>
      </c>
      <c r="G49" s="3">
        <f t="shared" si="0"/>
        <v>0</v>
      </c>
      <c r="H49" s="3"/>
      <c r="I49" s="3">
        <f ca="1">IFERROR(_xludf.XLOOKUP("Seguro",PARAMETROS_IMPORTACION!$A:$A,PARAMETROS_IMPORTACION!$C:$C,0),0)</f>
        <v>0</v>
      </c>
      <c r="J49" s="3">
        <f ca="1">IFERROR(_xludf.XLOOKUP("Arancel",PARAMETROS_IMPORTACION!$A:$A,PARAMETROS_IMPORTACION!$C:$C,0),0)</f>
        <v>0</v>
      </c>
      <c r="K49" s="2">
        <f ca="1">IFERROR(_xludf.XLOOKUP("Gastos_Aduana",PARAMETROS_IMPORTACION!$A:$A,PARAMETROS_IMPORTACION!$C:$C,0),0)</f>
        <v>0</v>
      </c>
      <c r="L49" s="2">
        <f t="shared" si="1"/>
        <v>0</v>
      </c>
    </row>
    <row r="50" spans="5:12" x14ac:dyDescent="0.35">
      <c r="E50" s="2"/>
      <c r="F50" s="2">
        <f>_xlfn.XLOOKUP(D50,TIPOS_CAMBIO!A:A,TIPOS_CAMBIO!B:B,"",0)</f>
        <v>0</v>
      </c>
      <c r="G50" s="3">
        <f t="shared" si="0"/>
        <v>0</v>
      </c>
      <c r="H50" s="3"/>
      <c r="I50" s="3">
        <f ca="1">IFERROR(_xludf.XLOOKUP("Seguro",PARAMETROS_IMPORTACION!$A:$A,PARAMETROS_IMPORTACION!$C:$C,0),0)</f>
        <v>0</v>
      </c>
      <c r="J50" s="3">
        <f ca="1">IFERROR(_xludf.XLOOKUP("Arancel",PARAMETROS_IMPORTACION!$A:$A,PARAMETROS_IMPORTACION!$C:$C,0),0)</f>
        <v>0</v>
      </c>
      <c r="K50" s="2">
        <f ca="1">IFERROR(_xludf.XLOOKUP("Gastos_Aduana",PARAMETROS_IMPORTACION!$A:$A,PARAMETROS_IMPORTACION!$C:$C,0),0)</f>
        <v>0</v>
      </c>
      <c r="L50" s="2">
        <f t="shared" si="1"/>
        <v>0</v>
      </c>
    </row>
    <row r="51" spans="5:12" x14ac:dyDescent="0.35">
      <c r="E51" s="2"/>
      <c r="F51" s="2">
        <f>_xlfn.XLOOKUP(D51,TIPOS_CAMBIO!A:A,TIPOS_CAMBIO!B:B,"",0)</f>
        <v>0</v>
      </c>
      <c r="G51" s="3">
        <f t="shared" si="0"/>
        <v>0</v>
      </c>
      <c r="H51" s="3"/>
      <c r="I51" s="3">
        <f ca="1">IFERROR(_xludf.XLOOKUP("Seguro",PARAMETROS_IMPORTACION!$A:$A,PARAMETROS_IMPORTACION!$C:$C,0),0)</f>
        <v>0</v>
      </c>
      <c r="J51" s="3">
        <f ca="1">IFERROR(_xludf.XLOOKUP("Arancel",PARAMETROS_IMPORTACION!$A:$A,PARAMETROS_IMPORTACION!$C:$C,0),0)</f>
        <v>0</v>
      </c>
      <c r="K51" s="2">
        <f ca="1">IFERROR(_xludf.XLOOKUP("Gastos_Aduana",PARAMETROS_IMPORTACION!$A:$A,PARAMETROS_IMPORTACION!$C:$C,0),0)</f>
        <v>0</v>
      </c>
      <c r="L51" s="2">
        <f t="shared" si="1"/>
        <v>0</v>
      </c>
    </row>
    <row r="52" spans="5:12" x14ac:dyDescent="0.35">
      <c r="E52" s="2"/>
      <c r="F52" s="2">
        <f>_xlfn.XLOOKUP(D52,TIPOS_CAMBIO!A:A,TIPOS_CAMBIO!B:B,"",0)</f>
        <v>0</v>
      </c>
      <c r="G52" s="3">
        <f t="shared" si="0"/>
        <v>0</v>
      </c>
      <c r="H52" s="3"/>
      <c r="I52" s="3">
        <f ca="1">IFERROR(_xludf.XLOOKUP("Seguro",PARAMETROS_IMPORTACION!$A:$A,PARAMETROS_IMPORTACION!$C:$C,0),0)</f>
        <v>0</v>
      </c>
      <c r="J52" s="3">
        <f ca="1">IFERROR(_xludf.XLOOKUP("Arancel",PARAMETROS_IMPORTACION!$A:$A,PARAMETROS_IMPORTACION!$C:$C,0),0)</f>
        <v>0</v>
      </c>
      <c r="K52" s="2">
        <f ca="1">IFERROR(_xludf.XLOOKUP("Gastos_Aduana",PARAMETROS_IMPORTACION!$A:$A,PARAMETROS_IMPORTACION!$C:$C,0),0)</f>
        <v>0</v>
      </c>
      <c r="L52" s="2">
        <f t="shared" si="1"/>
        <v>0</v>
      </c>
    </row>
    <row r="53" spans="5:12" x14ac:dyDescent="0.35">
      <c r="E53" s="2"/>
      <c r="F53" s="2">
        <f>_xlfn.XLOOKUP(D53,TIPOS_CAMBIO!A:A,TIPOS_CAMBIO!B:B,"",0)</f>
        <v>0</v>
      </c>
      <c r="G53" s="3">
        <f t="shared" si="0"/>
        <v>0</v>
      </c>
      <c r="H53" s="3"/>
      <c r="I53" s="3">
        <f ca="1">IFERROR(_xludf.XLOOKUP("Seguro",PARAMETROS_IMPORTACION!$A:$A,PARAMETROS_IMPORTACION!$C:$C,0),0)</f>
        <v>0</v>
      </c>
      <c r="J53" s="3">
        <f ca="1">IFERROR(_xludf.XLOOKUP("Arancel",PARAMETROS_IMPORTACION!$A:$A,PARAMETROS_IMPORTACION!$C:$C,0),0)</f>
        <v>0</v>
      </c>
      <c r="K53" s="2">
        <f ca="1">IFERROR(_xludf.XLOOKUP("Gastos_Aduana",PARAMETROS_IMPORTACION!$A:$A,PARAMETROS_IMPORTACION!$C:$C,0),0)</f>
        <v>0</v>
      </c>
      <c r="L53" s="2">
        <f t="shared" si="1"/>
        <v>0</v>
      </c>
    </row>
    <row r="54" spans="5:12" x14ac:dyDescent="0.35">
      <c r="E54" s="2"/>
      <c r="F54" s="2">
        <f>_xlfn.XLOOKUP(D54,TIPOS_CAMBIO!A:A,TIPOS_CAMBIO!B:B,"",0)</f>
        <v>0</v>
      </c>
      <c r="G54" s="3">
        <f t="shared" si="0"/>
        <v>0</v>
      </c>
      <c r="H54" s="3"/>
      <c r="I54" s="3">
        <f ca="1">IFERROR(_xludf.XLOOKUP("Seguro",PARAMETROS_IMPORTACION!$A:$A,PARAMETROS_IMPORTACION!$C:$C,0),0)</f>
        <v>0</v>
      </c>
      <c r="J54" s="3">
        <f ca="1">IFERROR(_xludf.XLOOKUP("Arancel",PARAMETROS_IMPORTACION!$A:$A,PARAMETROS_IMPORTACION!$C:$C,0),0)</f>
        <v>0</v>
      </c>
      <c r="K54" s="2">
        <f ca="1">IFERROR(_xludf.XLOOKUP("Gastos_Aduana",PARAMETROS_IMPORTACION!$A:$A,PARAMETROS_IMPORTACION!$C:$C,0),0)</f>
        <v>0</v>
      </c>
      <c r="L54" s="2">
        <f t="shared" si="1"/>
        <v>0</v>
      </c>
    </row>
    <row r="55" spans="5:12" x14ac:dyDescent="0.35">
      <c r="E55" s="2"/>
      <c r="F55" s="2">
        <f>_xlfn.XLOOKUP(D55,TIPOS_CAMBIO!A:A,TIPOS_CAMBIO!B:B,"",0)</f>
        <v>0</v>
      </c>
      <c r="G55" s="3">
        <f t="shared" si="0"/>
        <v>0</v>
      </c>
      <c r="H55" s="3"/>
      <c r="I55" s="3">
        <f ca="1">IFERROR(_xludf.XLOOKUP("Seguro",PARAMETROS_IMPORTACION!$A:$A,PARAMETROS_IMPORTACION!$C:$C,0),0)</f>
        <v>0</v>
      </c>
      <c r="J55" s="3">
        <f ca="1">IFERROR(_xludf.XLOOKUP("Arancel",PARAMETROS_IMPORTACION!$A:$A,PARAMETROS_IMPORTACION!$C:$C,0),0)</f>
        <v>0</v>
      </c>
      <c r="K55" s="2">
        <f ca="1">IFERROR(_xludf.XLOOKUP("Gastos_Aduana",PARAMETROS_IMPORTACION!$A:$A,PARAMETROS_IMPORTACION!$C:$C,0),0)</f>
        <v>0</v>
      </c>
      <c r="L55" s="2">
        <f t="shared" si="1"/>
        <v>0</v>
      </c>
    </row>
    <row r="56" spans="5:12" x14ac:dyDescent="0.35">
      <c r="E56" s="2"/>
      <c r="F56" s="2">
        <f>_xlfn.XLOOKUP(D56,TIPOS_CAMBIO!A:A,TIPOS_CAMBIO!B:B,"",0)</f>
        <v>0</v>
      </c>
      <c r="G56" s="3">
        <f t="shared" si="0"/>
        <v>0</v>
      </c>
      <c r="H56" s="3"/>
      <c r="I56" s="3">
        <f ca="1">IFERROR(_xludf.XLOOKUP("Seguro",PARAMETROS_IMPORTACION!$A:$A,PARAMETROS_IMPORTACION!$C:$C,0),0)</f>
        <v>0</v>
      </c>
      <c r="J56" s="3">
        <f ca="1">IFERROR(_xludf.XLOOKUP("Arancel",PARAMETROS_IMPORTACION!$A:$A,PARAMETROS_IMPORTACION!$C:$C,0),0)</f>
        <v>0</v>
      </c>
      <c r="K56" s="2">
        <f ca="1">IFERROR(_xludf.XLOOKUP("Gastos_Aduana",PARAMETROS_IMPORTACION!$A:$A,PARAMETROS_IMPORTACION!$C:$C,0),0)</f>
        <v>0</v>
      </c>
      <c r="L56" s="2">
        <f t="shared" si="1"/>
        <v>0</v>
      </c>
    </row>
    <row r="57" spans="5:12" x14ac:dyDescent="0.35">
      <c r="E57" s="2"/>
      <c r="F57" s="2">
        <f>_xlfn.XLOOKUP(D57,TIPOS_CAMBIO!A:A,TIPOS_CAMBIO!B:B,"",0)</f>
        <v>0</v>
      </c>
      <c r="G57" s="3">
        <f t="shared" si="0"/>
        <v>0</v>
      </c>
      <c r="H57" s="3"/>
      <c r="I57" s="3">
        <f ca="1">IFERROR(_xludf.XLOOKUP("Seguro",PARAMETROS_IMPORTACION!$A:$A,PARAMETROS_IMPORTACION!$C:$C,0),0)</f>
        <v>0</v>
      </c>
      <c r="J57" s="3">
        <f ca="1">IFERROR(_xludf.XLOOKUP("Arancel",PARAMETROS_IMPORTACION!$A:$A,PARAMETROS_IMPORTACION!$C:$C,0),0)</f>
        <v>0</v>
      </c>
      <c r="K57" s="2">
        <f ca="1">IFERROR(_xludf.XLOOKUP("Gastos_Aduana",PARAMETROS_IMPORTACION!$A:$A,PARAMETROS_IMPORTACION!$C:$C,0),0)</f>
        <v>0</v>
      </c>
      <c r="L57" s="2">
        <f t="shared" si="1"/>
        <v>0</v>
      </c>
    </row>
    <row r="58" spans="5:12" x14ac:dyDescent="0.35">
      <c r="E58" s="2"/>
      <c r="F58" s="2">
        <f>_xlfn.XLOOKUP(D58,TIPOS_CAMBIO!A:A,TIPOS_CAMBIO!B:B,"",0)</f>
        <v>0</v>
      </c>
      <c r="G58" s="3">
        <f t="shared" si="0"/>
        <v>0</v>
      </c>
      <c r="H58" s="3"/>
      <c r="I58" s="3">
        <f ca="1">IFERROR(_xludf.XLOOKUP("Seguro",PARAMETROS_IMPORTACION!$A:$A,PARAMETROS_IMPORTACION!$C:$C,0),0)</f>
        <v>0</v>
      </c>
      <c r="J58" s="3">
        <f ca="1">IFERROR(_xludf.XLOOKUP("Arancel",PARAMETROS_IMPORTACION!$A:$A,PARAMETROS_IMPORTACION!$C:$C,0),0)</f>
        <v>0</v>
      </c>
      <c r="K58" s="2">
        <f ca="1">IFERROR(_xludf.XLOOKUP("Gastos_Aduana",PARAMETROS_IMPORTACION!$A:$A,PARAMETROS_IMPORTACION!$C:$C,0),0)</f>
        <v>0</v>
      </c>
      <c r="L58" s="2">
        <f t="shared" si="1"/>
        <v>0</v>
      </c>
    </row>
    <row r="59" spans="5:12" x14ac:dyDescent="0.35">
      <c r="E59" s="2"/>
      <c r="F59" s="2">
        <f>_xlfn.XLOOKUP(D59,TIPOS_CAMBIO!A:A,TIPOS_CAMBIO!B:B,"",0)</f>
        <v>0</v>
      </c>
      <c r="G59" s="3">
        <f t="shared" si="0"/>
        <v>0</v>
      </c>
      <c r="H59" s="3"/>
      <c r="I59" s="3">
        <f ca="1">IFERROR(_xludf.XLOOKUP("Seguro",PARAMETROS_IMPORTACION!$A:$A,PARAMETROS_IMPORTACION!$C:$C,0),0)</f>
        <v>0</v>
      </c>
      <c r="J59" s="3">
        <f ca="1">IFERROR(_xludf.XLOOKUP("Arancel",PARAMETROS_IMPORTACION!$A:$A,PARAMETROS_IMPORTACION!$C:$C,0),0)</f>
        <v>0</v>
      </c>
      <c r="K59" s="2">
        <f ca="1">IFERROR(_xludf.XLOOKUP("Gastos_Aduana",PARAMETROS_IMPORTACION!$A:$A,PARAMETROS_IMPORTACION!$C:$C,0),0)</f>
        <v>0</v>
      </c>
      <c r="L59" s="2">
        <f t="shared" si="1"/>
        <v>0</v>
      </c>
    </row>
    <row r="60" spans="5:12" x14ac:dyDescent="0.35">
      <c r="E60" s="2"/>
      <c r="F60" s="2">
        <f>_xlfn.XLOOKUP(D60,TIPOS_CAMBIO!A:A,TIPOS_CAMBIO!B:B,"",0)</f>
        <v>0</v>
      </c>
      <c r="G60" s="3">
        <f t="shared" si="0"/>
        <v>0</v>
      </c>
      <c r="H60" s="3"/>
      <c r="I60" s="3">
        <f ca="1">IFERROR(_xludf.XLOOKUP("Seguro",PARAMETROS_IMPORTACION!$A:$A,PARAMETROS_IMPORTACION!$C:$C,0),0)</f>
        <v>0</v>
      </c>
      <c r="J60" s="3">
        <f ca="1">IFERROR(_xludf.XLOOKUP("Arancel",PARAMETROS_IMPORTACION!$A:$A,PARAMETROS_IMPORTACION!$C:$C,0),0)</f>
        <v>0</v>
      </c>
      <c r="K60" s="2">
        <f ca="1">IFERROR(_xludf.XLOOKUP("Gastos_Aduana",PARAMETROS_IMPORTACION!$A:$A,PARAMETROS_IMPORTACION!$C:$C,0),0)</f>
        <v>0</v>
      </c>
      <c r="L60" s="2">
        <f t="shared" si="1"/>
        <v>0</v>
      </c>
    </row>
    <row r="61" spans="5:12" x14ac:dyDescent="0.35">
      <c r="E61" s="2"/>
      <c r="F61" s="2">
        <f>_xlfn.XLOOKUP(D61,TIPOS_CAMBIO!A:A,TIPOS_CAMBIO!B:B,"",0)</f>
        <v>0</v>
      </c>
      <c r="G61" s="3">
        <f t="shared" si="0"/>
        <v>0</v>
      </c>
      <c r="H61" s="3"/>
      <c r="I61" s="3">
        <f ca="1">IFERROR(_xludf.XLOOKUP("Seguro",PARAMETROS_IMPORTACION!$A:$A,PARAMETROS_IMPORTACION!$C:$C,0),0)</f>
        <v>0</v>
      </c>
      <c r="J61" s="3">
        <f ca="1">IFERROR(_xludf.XLOOKUP("Arancel",PARAMETROS_IMPORTACION!$A:$A,PARAMETROS_IMPORTACION!$C:$C,0),0)</f>
        <v>0</v>
      </c>
      <c r="K61" s="2">
        <f ca="1">IFERROR(_xludf.XLOOKUP("Gastos_Aduana",PARAMETROS_IMPORTACION!$A:$A,PARAMETROS_IMPORTACION!$C:$C,0),0)</f>
        <v>0</v>
      </c>
      <c r="L61" s="2">
        <f t="shared" si="1"/>
        <v>0</v>
      </c>
    </row>
    <row r="62" spans="5:12" x14ac:dyDescent="0.35">
      <c r="E62" s="2"/>
      <c r="F62" s="2">
        <f>_xlfn.XLOOKUP(D62,TIPOS_CAMBIO!A:A,TIPOS_CAMBIO!B:B,"",0)</f>
        <v>0</v>
      </c>
      <c r="G62" s="3">
        <f t="shared" si="0"/>
        <v>0</v>
      </c>
      <c r="H62" s="3"/>
      <c r="I62" s="3">
        <f ca="1">IFERROR(_xludf.XLOOKUP("Seguro",PARAMETROS_IMPORTACION!$A:$A,PARAMETROS_IMPORTACION!$C:$C,0),0)</f>
        <v>0</v>
      </c>
      <c r="J62" s="3">
        <f ca="1">IFERROR(_xludf.XLOOKUP("Arancel",PARAMETROS_IMPORTACION!$A:$A,PARAMETROS_IMPORTACION!$C:$C,0),0)</f>
        <v>0</v>
      </c>
      <c r="K62" s="2">
        <f ca="1">IFERROR(_xludf.XLOOKUP("Gastos_Aduana",PARAMETROS_IMPORTACION!$A:$A,PARAMETROS_IMPORTACION!$C:$C,0),0)</f>
        <v>0</v>
      </c>
      <c r="L62" s="2">
        <f t="shared" si="1"/>
        <v>0</v>
      </c>
    </row>
    <row r="63" spans="5:12" x14ac:dyDescent="0.35">
      <c r="E63" s="2"/>
      <c r="F63" s="2">
        <f>_xlfn.XLOOKUP(D63,TIPOS_CAMBIO!A:A,TIPOS_CAMBIO!B:B,"",0)</f>
        <v>0</v>
      </c>
      <c r="G63" s="3">
        <f t="shared" si="0"/>
        <v>0</v>
      </c>
      <c r="H63" s="3"/>
      <c r="I63" s="3">
        <f ca="1">IFERROR(_xludf.XLOOKUP("Seguro",PARAMETROS_IMPORTACION!$A:$A,PARAMETROS_IMPORTACION!$C:$C,0),0)</f>
        <v>0</v>
      </c>
      <c r="J63" s="3">
        <f ca="1">IFERROR(_xludf.XLOOKUP("Arancel",PARAMETROS_IMPORTACION!$A:$A,PARAMETROS_IMPORTACION!$C:$C,0),0)</f>
        <v>0</v>
      </c>
      <c r="K63" s="2">
        <f ca="1">IFERROR(_xludf.XLOOKUP("Gastos_Aduana",PARAMETROS_IMPORTACION!$A:$A,PARAMETROS_IMPORTACION!$C:$C,0),0)</f>
        <v>0</v>
      </c>
      <c r="L63" s="2">
        <f t="shared" si="1"/>
        <v>0</v>
      </c>
    </row>
    <row r="64" spans="5:12" x14ac:dyDescent="0.35">
      <c r="E64" s="2"/>
      <c r="F64" s="2">
        <f>_xlfn.XLOOKUP(D64,TIPOS_CAMBIO!A:A,TIPOS_CAMBIO!B:B,"",0)</f>
        <v>0</v>
      </c>
      <c r="G64" s="3">
        <f t="shared" si="0"/>
        <v>0</v>
      </c>
      <c r="H64" s="3"/>
      <c r="I64" s="3">
        <f ca="1">IFERROR(_xludf.XLOOKUP("Seguro",PARAMETROS_IMPORTACION!$A:$A,PARAMETROS_IMPORTACION!$C:$C,0),0)</f>
        <v>0</v>
      </c>
      <c r="J64" s="3">
        <f ca="1">IFERROR(_xludf.XLOOKUP("Arancel",PARAMETROS_IMPORTACION!$A:$A,PARAMETROS_IMPORTACION!$C:$C,0),0)</f>
        <v>0</v>
      </c>
      <c r="K64" s="2">
        <f ca="1">IFERROR(_xludf.XLOOKUP("Gastos_Aduana",PARAMETROS_IMPORTACION!$A:$A,PARAMETROS_IMPORTACION!$C:$C,0),0)</f>
        <v>0</v>
      </c>
      <c r="L64" s="2">
        <f t="shared" si="1"/>
        <v>0</v>
      </c>
    </row>
    <row r="65" spans="5:12" x14ac:dyDescent="0.35">
      <c r="E65" s="2"/>
      <c r="F65" s="2">
        <f>_xlfn.XLOOKUP(D65,TIPOS_CAMBIO!A:A,TIPOS_CAMBIO!B:B,"",0)</f>
        <v>0</v>
      </c>
      <c r="G65" s="3">
        <f t="shared" si="0"/>
        <v>0</v>
      </c>
      <c r="H65" s="3"/>
      <c r="I65" s="3">
        <f ca="1">IFERROR(_xludf.XLOOKUP("Seguro",PARAMETROS_IMPORTACION!$A:$A,PARAMETROS_IMPORTACION!$C:$C,0),0)</f>
        <v>0</v>
      </c>
      <c r="J65" s="3">
        <f ca="1">IFERROR(_xludf.XLOOKUP("Arancel",PARAMETROS_IMPORTACION!$A:$A,PARAMETROS_IMPORTACION!$C:$C,0),0)</f>
        <v>0</v>
      </c>
      <c r="K65" s="2">
        <f ca="1">IFERROR(_xludf.XLOOKUP("Gastos_Aduana",PARAMETROS_IMPORTACION!$A:$A,PARAMETROS_IMPORTACION!$C:$C,0),0)</f>
        <v>0</v>
      </c>
      <c r="L65" s="2">
        <f t="shared" si="1"/>
        <v>0</v>
      </c>
    </row>
    <row r="66" spans="5:12" x14ac:dyDescent="0.35">
      <c r="E66" s="2"/>
      <c r="F66" s="2">
        <f>_xlfn.XLOOKUP(D66,TIPOS_CAMBIO!A:A,TIPOS_CAMBIO!B:B,"",0)</f>
        <v>0</v>
      </c>
      <c r="G66" s="3">
        <f t="shared" ref="G66:G129" si="2">$E66*$F66</f>
        <v>0</v>
      </c>
      <c r="H66" s="3"/>
      <c r="I66" s="3">
        <f ca="1">IFERROR(_xludf.XLOOKUP("Seguro",PARAMETROS_IMPORTACION!$A:$A,PARAMETROS_IMPORTACION!$C:$C,0),0)</f>
        <v>0</v>
      </c>
      <c r="J66" s="3">
        <f ca="1">IFERROR(_xludf.XLOOKUP("Arancel",PARAMETROS_IMPORTACION!$A:$A,PARAMETROS_IMPORTACION!$C:$C,0),0)</f>
        <v>0</v>
      </c>
      <c r="K66" s="2">
        <f ca="1">IFERROR(_xludf.XLOOKUP("Gastos_Aduana",PARAMETROS_IMPORTACION!$A:$A,PARAMETROS_IMPORTACION!$C:$C,0),0)</f>
        <v>0</v>
      </c>
      <c r="L66" s="2">
        <f t="shared" si="1"/>
        <v>0</v>
      </c>
    </row>
    <row r="67" spans="5:12" x14ac:dyDescent="0.35">
      <c r="E67" s="2"/>
      <c r="F67" s="2">
        <f>_xlfn.XLOOKUP(D67,TIPOS_CAMBIO!A:A,TIPOS_CAMBIO!B:B,"",0)</f>
        <v>0</v>
      </c>
      <c r="G67" s="3">
        <f t="shared" si="2"/>
        <v>0</v>
      </c>
      <c r="H67" s="3"/>
      <c r="I67" s="3">
        <f ca="1">IFERROR(_xludf.XLOOKUP("Seguro",PARAMETROS_IMPORTACION!$A:$A,PARAMETROS_IMPORTACION!$C:$C,0),0)</f>
        <v>0</v>
      </c>
      <c r="J67" s="3">
        <f ca="1">IFERROR(_xludf.XLOOKUP("Arancel",PARAMETROS_IMPORTACION!$A:$A,PARAMETROS_IMPORTACION!$C:$C,0),0)</f>
        <v>0</v>
      </c>
      <c r="K67" s="2">
        <f ca="1">IFERROR(_xludf.XLOOKUP("Gastos_Aduana",PARAMETROS_IMPORTACION!$A:$A,PARAMETROS_IMPORTACION!$C:$C,0),0)</f>
        <v>0</v>
      </c>
      <c r="L67" s="2">
        <f t="shared" ref="L67:L130" si="3">IF($C67="Importado",$G67*(1+$H67+$I67+$J67)+$K67,$G67)</f>
        <v>0</v>
      </c>
    </row>
    <row r="68" spans="5:12" x14ac:dyDescent="0.35">
      <c r="E68" s="2"/>
      <c r="F68" s="2">
        <f>_xlfn.XLOOKUP(D68,TIPOS_CAMBIO!A:A,TIPOS_CAMBIO!B:B,"",0)</f>
        <v>0</v>
      </c>
      <c r="G68" s="3">
        <f t="shared" si="2"/>
        <v>0</v>
      </c>
      <c r="H68" s="3"/>
      <c r="I68" s="3">
        <f ca="1">IFERROR(_xludf.XLOOKUP("Seguro",PARAMETROS_IMPORTACION!$A:$A,PARAMETROS_IMPORTACION!$C:$C,0),0)</f>
        <v>0</v>
      </c>
      <c r="J68" s="3">
        <f ca="1">IFERROR(_xludf.XLOOKUP("Arancel",PARAMETROS_IMPORTACION!$A:$A,PARAMETROS_IMPORTACION!$C:$C,0),0)</f>
        <v>0</v>
      </c>
      <c r="K68" s="2">
        <f ca="1">IFERROR(_xludf.XLOOKUP("Gastos_Aduana",PARAMETROS_IMPORTACION!$A:$A,PARAMETROS_IMPORTACION!$C:$C,0),0)</f>
        <v>0</v>
      </c>
      <c r="L68" s="2">
        <f t="shared" si="3"/>
        <v>0</v>
      </c>
    </row>
    <row r="69" spans="5:12" x14ac:dyDescent="0.35">
      <c r="E69" s="2"/>
      <c r="F69" s="2">
        <f>_xlfn.XLOOKUP(D69,TIPOS_CAMBIO!A:A,TIPOS_CAMBIO!B:B,"",0)</f>
        <v>0</v>
      </c>
      <c r="G69" s="3">
        <f t="shared" si="2"/>
        <v>0</v>
      </c>
      <c r="H69" s="3"/>
      <c r="I69" s="3">
        <f ca="1">IFERROR(_xludf.XLOOKUP("Seguro",PARAMETROS_IMPORTACION!$A:$A,PARAMETROS_IMPORTACION!$C:$C,0),0)</f>
        <v>0</v>
      </c>
      <c r="J69" s="3">
        <f ca="1">IFERROR(_xludf.XLOOKUP("Arancel",PARAMETROS_IMPORTACION!$A:$A,PARAMETROS_IMPORTACION!$C:$C,0),0)</f>
        <v>0</v>
      </c>
      <c r="K69" s="2">
        <f ca="1">IFERROR(_xludf.XLOOKUP("Gastos_Aduana",PARAMETROS_IMPORTACION!$A:$A,PARAMETROS_IMPORTACION!$C:$C,0),0)</f>
        <v>0</v>
      </c>
      <c r="L69" s="2">
        <f t="shared" si="3"/>
        <v>0</v>
      </c>
    </row>
    <row r="70" spans="5:12" x14ac:dyDescent="0.35">
      <c r="E70" s="2"/>
      <c r="F70" s="2">
        <f>_xlfn.XLOOKUP(D70,TIPOS_CAMBIO!A:A,TIPOS_CAMBIO!B:B,"",0)</f>
        <v>0</v>
      </c>
      <c r="G70" s="3">
        <f t="shared" si="2"/>
        <v>0</v>
      </c>
      <c r="H70" s="3"/>
      <c r="I70" s="3">
        <f ca="1">IFERROR(_xludf.XLOOKUP("Seguro",PARAMETROS_IMPORTACION!$A:$A,PARAMETROS_IMPORTACION!$C:$C,0),0)</f>
        <v>0</v>
      </c>
      <c r="J70" s="3">
        <f ca="1">IFERROR(_xludf.XLOOKUP("Arancel",PARAMETROS_IMPORTACION!$A:$A,PARAMETROS_IMPORTACION!$C:$C,0),0)</f>
        <v>0</v>
      </c>
      <c r="K70" s="2">
        <f ca="1">IFERROR(_xludf.XLOOKUP("Gastos_Aduana",PARAMETROS_IMPORTACION!$A:$A,PARAMETROS_IMPORTACION!$C:$C,0),0)</f>
        <v>0</v>
      </c>
      <c r="L70" s="2">
        <f t="shared" si="3"/>
        <v>0</v>
      </c>
    </row>
    <row r="71" spans="5:12" x14ac:dyDescent="0.35">
      <c r="E71" s="2"/>
      <c r="F71" s="2">
        <f>_xlfn.XLOOKUP(D71,TIPOS_CAMBIO!A:A,TIPOS_CAMBIO!B:B,"",0)</f>
        <v>0</v>
      </c>
      <c r="G71" s="3">
        <f t="shared" si="2"/>
        <v>0</v>
      </c>
      <c r="H71" s="3"/>
      <c r="I71" s="3">
        <f ca="1">IFERROR(_xludf.XLOOKUP("Seguro",PARAMETROS_IMPORTACION!$A:$A,PARAMETROS_IMPORTACION!$C:$C,0),0)</f>
        <v>0</v>
      </c>
      <c r="J71" s="3">
        <f ca="1">IFERROR(_xludf.XLOOKUP("Arancel",PARAMETROS_IMPORTACION!$A:$A,PARAMETROS_IMPORTACION!$C:$C,0),0)</f>
        <v>0</v>
      </c>
      <c r="K71" s="2">
        <f ca="1">IFERROR(_xludf.XLOOKUP("Gastos_Aduana",PARAMETROS_IMPORTACION!$A:$A,PARAMETROS_IMPORTACION!$C:$C,0),0)</f>
        <v>0</v>
      </c>
      <c r="L71" s="2">
        <f t="shared" si="3"/>
        <v>0</v>
      </c>
    </row>
    <row r="72" spans="5:12" x14ac:dyDescent="0.35">
      <c r="E72" s="2"/>
      <c r="F72" s="2">
        <f>_xlfn.XLOOKUP(D72,TIPOS_CAMBIO!A:A,TIPOS_CAMBIO!B:B,"",0)</f>
        <v>0</v>
      </c>
      <c r="G72" s="3">
        <f t="shared" si="2"/>
        <v>0</v>
      </c>
      <c r="H72" s="3"/>
      <c r="I72" s="3">
        <f ca="1">IFERROR(_xludf.XLOOKUP("Seguro",PARAMETROS_IMPORTACION!$A:$A,PARAMETROS_IMPORTACION!$C:$C,0),0)</f>
        <v>0</v>
      </c>
      <c r="J72" s="3">
        <f ca="1">IFERROR(_xludf.XLOOKUP("Arancel",PARAMETROS_IMPORTACION!$A:$A,PARAMETROS_IMPORTACION!$C:$C,0),0)</f>
        <v>0</v>
      </c>
      <c r="K72" s="2">
        <f ca="1">IFERROR(_xludf.XLOOKUP("Gastos_Aduana",PARAMETROS_IMPORTACION!$A:$A,PARAMETROS_IMPORTACION!$C:$C,0),0)</f>
        <v>0</v>
      </c>
      <c r="L72" s="2">
        <f t="shared" si="3"/>
        <v>0</v>
      </c>
    </row>
    <row r="73" spans="5:12" x14ac:dyDescent="0.35">
      <c r="E73" s="2"/>
      <c r="F73" s="2">
        <f>_xlfn.XLOOKUP(D73,TIPOS_CAMBIO!A:A,TIPOS_CAMBIO!B:B,"",0)</f>
        <v>0</v>
      </c>
      <c r="G73" s="3">
        <f t="shared" si="2"/>
        <v>0</v>
      </c>
      <c r="H73" s="3"/>
      <c r="I73" s="3">
        <f ca="1">IFERROR(_xludf.XLOOKUP("Seguro",PARAMETROS_IMPORTACION!$A:$A,PARAMETROS_IMPORTACION!$C:$C,0),0)</f>
        <v>0</v>
      </c>
      <c r="J73" s="3">
        <f ca="1">IFERROR(_xludf.XLOOKUP("Arancel",PARAMETROS_IMPORTACION!$A:$A,PARAMETROS_IMPORTACION!$C:$C,0),0)</f>
        <v>0</v>
      </c>
      <c r="K73" s="2">
        <f ca="1">IFERROR(_xludf.XLOOKUP("Gastos_Aduana",PARAMETROS_IMPORTACION!$A:$A,PARAMETROS_IMPORTACION!$C:$C,0),0)</f>
        <v>0</v>
      </c>
      <c r="L73" s="2">
        <f t="shared" si="3"/>
        <v>0</v>
      </c>
    </row>
    <row r="74" spans="5:12" x14ac:dyDescent="0.35">
      <c r="E74" s="2"/>
      <c r="F74" s="2">
        <f>_xlfn.XLOOKUP(D74,TIPOS_CAMBIO!A:A,TIPOS_CAMBIO!B:B,"",0)</f>
        <v>0</v>
      </c>
      <c r="G74" s="3">
        <f t="shared" si="2"/>
        <v>0</v>
      </c>
      <c r="H74" s="3"/>
      <c r="I74" s="3">
        <f ca="1">IFERROR(_xludf.XLOOKUP("Seguro",PARAMETROS_IMPORTACION!$A:$A,PARAMETROS_IMPORTACION!$C:$C,0),0)</f>
        <v>0</v>
      </c>
      <c r="J74" s="3">
        <f ca="1">IFERROR(_xludf.XLOOKUP("Arancel",PARAMETROS_IMPORTACION!$A:$A,PARAMETROS_IMPORTACION!$C:$C,0),0)</f>
        <v>0</v>
      </c>
      <c r="K74" s="2">
        <f ca="1">IFERROR(_xludf.XLOOKUP("Gastos_Aduana",PARAMETROS_IMPORTACION!$A:$A,PARAMETROS_IMPORTACION!$C:$C,0),0)</f>
        <v>0</v>
      </c>
      <c r="L74" s="2">
        <f t="shared" si="3"/>
        <v>0</v>
      </c>
    </row>
    <row r="75" spans="5:12" x14ac:dyDescent="0.35">
      <c r="E75" s="2"/>
      <c r="F75" s="2">
        <f>_xlfn.XLOOKUP(D75,TIPOS_CAMBIO!A:A,TIPOS_CAMBIO!B:B,"",0)</f>
        <v>0</v>
      </c>
      <c r="G75" s="3">
        <f t="shared" si="2"/>
        <v>0</v>
      </c>
      <c r="H75" s="3"/>
      <c r="I75" s="3">
        <f ca="1">IFERROR(_xludf.XLOOKUP("Seguro",PARAMETROS_IMPORTACION!$A:$A,PARAMETROS_IMPORTACION!$C:$C,0),0)</f>
        <v>0</v>
      </c>
      <c r="J75" s="3">
        <f ca="1">IFERROR(_xludf.XLOOKUP("Arancel",PARAMETROS_IMPORTACION!$A:$A,PARAMETROS_IMPORTACION!$C:$C,0),0)</f>
        <v>0</v>
      </c>
      <c r="K75" s="2">
        <f ca="1">IFERROR(_xludf.XLOOKUP("Gastos_Aduana",PARAMETROS_IMPORTACION!$A:$A,PARAMETROS_IMPORTACION!$C:$C,0),0)</f>
        <v>0</v>
      </c>
      <c r="L75" s="2">
        <f t="shared" si="3"/>
        <v>0</v>
      </c>
    </row>
    <row r="76" spans="5:12" x14ac:dyDescent="0.35">
      <c r="E76" s="2"/>
      <c r="F76" s="2">
        <f>_xlfn.XLOOKUP(D76,TIPOS_CAMBIO!A:A,TIPOS_CAMBIO!B:B,"",0)</f>
        <v>0</v>
      </c>
      <c r="G76" s="3">
        <f t="shared" si="2"/>
        <v>0</v>
      </c>
      <c r="H76" s="3"/>
      <c r="I76" s="3">
        <f ca="1">IFERROR(_xludf.XLOOKUP("Seguro",PARAMETROS_IMPORTACION!$A:$A,PARAMETROS_IMPORTACION!$C:$C,0),0)</f>
        <v>0</v>
      </c>
      <c r="J76" s="3">
        <f ca="1">IFERROR(_xludf.XLOOKUP("Arancel",PARAMETROS_IMPORTACION!$A:$A,PARAMETROS_IMPORTACION!$C:$C,0),0)</f>
        <v>0</v>
      </c>
      <c r="K76" s="2">
        <f ca="1">IFERROR(_xludf.XLOOKUP("Gastos_Aduana",PARAMETROS_IMPORTACION!$A:$A,PARAMETROS_IMPORTACION!$C:$C,0),0)</f>
        <v>0</v>
      </c>
      <c r="L76" s="2">
        <f t="shared" si="3"/>
        <v>0</v>
      </c>
    </row>
    <row r="77" spans="5:12" x14ac:dyDescent="0.35">
      <c r="E77" s="2"/>
      <c r="F77" s="2">
        <f>_xlfn.XLOOKUP(D77,TIPOS_CAMBIO!A:A,TIPOS_CAMBIO!B:B,"",0)</f>
        <v>0</v>
      </c>
      <c r="G77" s="3">
        <f t="shared" si="2"/>
        <v>0</v>
      </c>
      <c r="H77" s="3"/>
      <c r="I77" s="3">
        <f ca="1">IFERROR(_xludf.XLOOKUP("Seguro",PARAMETROS_IMPORTACION!$A:$A,PARAMETROS_IMPORTACION!$C:$C,0),0)</f>
        <v>0</v>
      </c>
      <c r="J77" s="3">
        <f ca="1">IFERROR(_xludf.XLOOKUP("Arancel",PARAMETROS_IMPORTACION!$A:$A,PARAMETROS_IMPORTACION!$C:$C,0),0)</f>
        <v>0</v>
      </c>
      <c r="K77" s="2">
        <f ca="1">IFERROR(_xludf.XLOOKUP("Gastos_Aduana",PARAMETROS_IMPORTACION!$A:$A,PARAMETROS_IMPORTACION!$C:$C,0),0)</f>
        <v>0</v>
      </c>
      <c r="L77" s="2">
        <f t="shared" si="3"/>
        <v>0</v>
      </c>
    </row>
    <row r="78" spans="5:12" x14ac:dyDescent="0.35">
      <c r="E78" s="2"/>
      <c r="F78" s="2">
        <f>_xlfn.XLOOKUP(D78,TIPOS_CAMBIO!A:A,TIPOS_CAMBIO!B:B,"",0)</f>
        <v>0</v>
      </c>
      <c r="G78" s="3">
        <f t="shared" si="2"/>
        <v>0</v>
      </c>
      <c r="H78" s="3"/>
      <c r="I78" s="3">
        <f ca="1">IFERROR(_xludf.XLOOKUP("Seguro",PARAMETROS_IMPORTACION!$A:$A,PARAMETROS_IMPORTACION!$C:$C,0),0)</f>
        <v>0</v>
      </c>
      <c r="J78" s="3">
        <f ca="1">IFERROR(_xludf.XLOOKUP("Arancel",PARAMETROS_IMPORTACION!$A:$A,PARAMETROS_IMPORTACION!$C:$C,0),0)</f>
        <v>0</v>
      </c>
      <c r="K78" s="2">
        <f ca="1">IFERROR(_xludf.XLOOKUP("Gastos_Aduana",PARAMETROS_IMPORTACION!$A:$A,PARAMETROS_IMPORTACION!$C:$C,0),0)</f>
        <v>0</v>
      </c>
      <c r="L78" s="2">
        <f t="shared" si="3"/>
        <v>0</v>
      </c>
    </row>
    <row r="79" spans="5:12" x14ac:dyDescent="0.35">
      <c r="E79" s="2"/>
      <c r="F79" s="2">
        <f>_xlfn.XLOOKUP(D79,TIPOS_CAMBIO!A:A,TIPOS_CAMBIO!B:B,"",0)</f>
        <v>0</v>
      </c>
      <c r="G79" s="3">
        <f t="shared" si="2"/>
        <v>0</v>
      </c>
      <c r="H79" s="3"/>
      <c r="I79" s="3">
        <f ca="1">IFERROR(_xludf.XLOOKUP("Seguro",PARAMETROS_IMPORTACION!$A:$A,PARAMETROS_IMPORTACION!$C:$C,0),0)</f>
        <v>0</v>
      </c>
      <c r="J79" s="3">
        <f ca="1">IFERROR(_xludf.XLOOKUP("Arancel",PARAMETROS_IMPORTACION!$A:$A,PARAMETROS_IMPORTACION!$C:$C,0),0)</f>
        <v>0</v>
      </c>
      <c r="K79" s="2">
        <f ca="1">IFERROR(_xludf.XLOOKUP("Gastos_Aduana",PARAMETROS_IMPORTACION!$A:$A,PARAMETROS_IMPORTACION!$C:$C,0),0)</f>
        <v>0</v>
      </c>
      <c r="L79" s="2">
        <f t="shared" si="3"/>
        <v>0</v>
      </c>
    </row>
    <row r="80" spans="5:12" x14ac:dyDescent="0.35">
      <c r="E80" s="2"/>
      <c r="F80" s="2">
        <f>_xlfn.XLOOKUP(D80,TIPOS_CAMBIO!A:A,TIPOS_CAMBIO!B:B,"",0)</f>
        <v>0</v>
      </c>
      <c r="G80" s="3">
        <f t="shared" si="2"/>
        <v>0</v>
      </c>
      <c r="H80" s="3"/>
      <c r="I80" s="3">
        <f ca="1">IFERROR(_xludf.XLOOKUP("Seguro",PARAMETROS_IMPORTACION!$A:$A,PARAMETROS_IMPORTACION!$C:$C,0),0)</f>
        <v>0</v>
      </c>
      <c r="J80" s="3">
        <f ca="1">IFERROR(_xludf.XLOOKUP("Arancel",PARAMETROS_IMPORTACION!$A:$A,PARAMETROS_IMPORTACION!$C:$C,0),0)</f>
        <v>0</v>
      </c>
      <c r="K80" s="2">
        <f ca="1">IFERROR(_xludf.XLOOKUP("Gastos_Aduana",PARAMETROS_IMPORTACION!$A:$A,PARAMETROS_IMPORTACION!$C:$C,0),0)</f>
        <v>0</v>
      </c>
      <c r="L80" s="2">
        <f t="shared" si="3"/>
        <v>0</v>
      </c>
    </row>
    <row r="81" spans="5:12" x14ac:dyDescent="0.35">
      <c r="E81" s="2"/>
      <c r="F81" s="2">
        <f>_xlfn.XLOOKUP(D81,TIPOS_CAMBIO!A:A,TIPOS_CAMBIO!B:B,"",0)</f>
        <v>0</v>
      </c>
      <c r="G81" s="3">
        <f t="shared" si="2"/>
        <v>0</v>
      </c>
      <c r="H81" s="3"/>
      <c r="I81" s="3">
        <f ca="1">IFERROR(_xludf.XLOOKUP("Seguro",PARAMETROS_IMPORTACION!$A:$A,PARAMETROS_IMPORTACION!$C:$C,0),0)</f>
        <v>0</v>
      </c>
      <c r="J81" s="3">
        <f ca="1">IFERROR(_xludf.XLOOKUP("Arancel",PARAMETROS_IMPORTACION!$A:$A,PARAMETROS_IMPORTACION!$C:$C,0),0)</f>
        <v>0</v>
      </c>
      <c r="K81" s="2">
        <f ca="1">IFERROR(_xludf.XLOOKUP("Gastos_Aduana",PARAMETROS_IMPORTACION!$A:$A,PARAMETROS_IMPORTACION!$C:$C,0),0)</f>
        <v>0</v>
      </c>
      <c r="L81" s="2">
        <f t="shared" si="3"/>
        <v>0</v>
      </c>
    </row>
    <row r="82" spans="5:12" x14ac:dyDescent="0.35">
      <c r="E82" s="2"/>
      <c r="F82" s="2">
        <f>_xlfn.XLOOKUP(D82,TIPOS_CAMBIO!A:A,TIPOS_CAMBIO!B:B,"",0)</f>
        <v>0</v>
      </c>
      <c r="G82" s="3">
        <f t="shared" si="2"/>
        <v>0</v>
      </c>
      <c r="H82" s="3"/>
      <c r="I82" s="3">
        <f ca="1">IFERROR(_xludf.XLOOKUP("Seguro",PARAMETROS_IMPORTACION!$A:$A,PARAMETROS_IMPORTACION!$C:$C,0),0)</f>
        <v>0</v>
      </c>
      <c r="J82" s="3">
        <f ca="1">IFERROR(_xludf.XLOOKUP("Arancel",PARAMETROS_IMPORTACION!$A:$A,PARAMETROS_IMPORTACION!$C:$C,0),0)</f>
        <v>0</v>
      </c>
      <c r="K82" s="2">
        <f ca="1">IFERROR(_xludf.XLOOKUP("Gastos_Aduana",PARAMETROS_IMPORTACION!$A:$A,PARAMETROS_IMPORTACION!$C:$C,0),0)</f>
        <v>0</v>
      </c>
      <c r="L82" s="2">
        <f t="shared" si="3"/>
        <v>0</v>
      </c>
    </row>
    <row r="83" spans="5:12" x14ac:dyDescent="0.35">
      <c r="E83" s="2"/>
      <c r="F83" s="2">
        <f>_xlfn.XLOOKUP(D83,TIPOS_CAMBIO!A:A,TIPOS_CAMBIO!B:B,"",0)</f>
        <v>0</v>
      </c>
      <c r="G83" s="3">
        <f t="shared" si="2"/>
        <v>0</v>
      </c>
      <c r="H83" s="3"/>
      <c r="I83" s="3">
        <f ca="1">IFERROR(_xludf.XLOOKUP("Seguro",PARAMETROS_IMPORTACION!$A:$A,PARAMETROS_IMPORTACION!$C:$C,0),0)</f>
        <v>0</v>
      </c>
      <c r="J83" s="3">
        <f ca="1">IFERROR(_xludf.XLOOKUP("Arancel",PARAMETROS_IMPORTACION!$A:$A,PARAMETROS_IMPORTACION!$C:$C,0),0)</f>
        <v>0</v>
      </c>
      <c r="K83" s="2">
        <f ca="1">IFERROR(_xludf.XLOOKUP("Gastos_Aduana",PARAMETROS_IMPORTACION!$A:$A,PARAMETROS_IMPORTACION!$C:$C,0),0)</f>
        <v>0</v>
      </c>
      <c r="L83" s="2">
        <f t="shared" si="3"/>
        <v>0</v>
      </c>
    </row>
    <row r="84" spans="5:12" x14ac:dyDescent="0.35">
      <c r="E84" s="2"/>
      <c r="F84" s="2">
        <f>_xlfn.XLOOKUP(D84,TIPOS_CAMBIO!A:A,TIPOS_CAMBIO!B:B,"",0)</f>
        <v>0</v>
      </c>
      <c r="G84" s="3">
        <f t="shared" si="2"/>
        <v>0</v>
      </c>
      <c r="H84" s="3"/>
      <c r="I84" s="3">
        <f ca="1">IFERROR(_xludf.XLOOKUP("Seguro",PARAMETROS_IMPORTACION!$A:$A,PARAMETROS_IMPORTACION!$C:$C,0),0)</f>
        <v>0</v>
      </c>
      <c r="J84" s="3">
        <f ca="1">IFERROR(_xludf.XLOOKUP("Arancel",PARAMETROS_IMPORTACION!$A:$A,PARAMETROS_IMPORTACION!$C:$C,0),0)</f>
        <v>0</v>
      </c>
      <c r="K84" s="2">
        <f ca="1">IFERROR(_xludf.XLOOKUP("Gastos_Aduana",PARAMETROS_IMPORTACION!$A:$A,PARAMETROS_IMPORTACION!$C:$C,0),0)</f>
        <v>0</v>
      </c>
      <c r="L84" s="2">
        <f t="shared" si="3"/>
        <v>0</v>
      </c>
    </row>
    <row r="85" spans="5:12" x14ac:dyDescent="0.35">
      <c r="E85" s="2"/>
      <c r="F85" s="2">
        <f>_xlfn.XLOOKUP(D85,TIPOS_CAMBIO!A:A,TIPOS_CAMBIO!B:B,"",0)</f>
        <v>0</v>
      </c>
      <c r="G85" s="3">
        <f t="shared" si="2"/>
        <v>0</v>
      </c>
      <c r="H85" s="3"/>
      <c r="I85" s="3">
        <f ca="1">IFERROR(_xludf.XLOOKUP("Seguro",PARAMETROS_IMPORTACION!$A:$A,PARAMETROS_IMPORTACION!$C:$C,0),0)</f>
        <v>0</v>
      </c>
      <c r="J85" s="3">
        <f ca="1">IFERROR(_xludf.XLOOKUP("Arancel",PARAMETROS_IMPORTACION!$A:$A,PARAMETROS_IMPORTACION!$C:$C,0),0)</f>
        <v>0</v>
      </c>
      <c r="K85" s="2">
        <f ca="1">IFERROR(_xludf.XLOOKUP("Gastos_Aduana",PARAMETROS_IMPORTACION!$A:$A,PARAMETROS_IMPORTACION!$C:$C,0),0)</f>
        <v>0</v>
      </c>
      <c r="L85" s="2">
        <f t="shared" si="3"/>
        <v>0</v>
      </c>
    </row>
    <row r="86" spans="5:12" x14ac:dyDescent="0.35">
      <c r="E86" s="2"/>
      <c r="F86" s="2">
        <f>_xlfn.XLOOKUP(D86,TIPOS_CAMBIO!A:A,TIPOS_CAMBIO!B:B,"",0)</f>
        <v>0</v>
      </c>
      <c r="G86" s="3">
        <f t="shared" si="2"/>
        <v>0</v>
      </c>
      <c r="H86" s="3"/>
      <c r="I86" s="3">
        <f ca="1">IFERROR(_xludf.XLOOKUP("Seguro",PARAMETROS_IMPORTACION!$A:$A,PARAMETROS_IMPORTACION!$C:$C,0),0)</f>
        <v>0</v>
      </c>
      <c r="J86" s="3">
        <f ca="1">IFERROR(_xludf.XLOOKUP("Arancel",PARAMETROS_IMPORTACION!$A:$A,PARAMETROS_IMPORTACION!$C:$C,0),0)</f>
        <v>0</v>
      </c>
      <c r="K86" s="2">
        <f ca="1">IFERROR(_xludf.XLOOKUP("Gastos_Aduana",PARAMETROS_IMPORTACION!$A:$A,PARAMETROS_IMPORTACION!$C:$C,0),0)</f>
        <v>0</v>
      </c>
      <c r="L86" s="2">
        <f t="shared" si="3"/>
        <v>0</v>
      </c>
    </row>
    <row r="87" spans="5:12" x14ac:dyDescent="0.35">
      <c r="E87" s="2"/>
      <c r="F87" s="2">
        <f>_xlfn.XLOOKUP(D87,TIPOS_CAMBIO!A:A,TIPOS_CAMBIO!B:B,"",0)</f>
        <v>0</v>
      </c>
      <c r="G87" s="3">
        <f t="shared" si="2"/>
        <v>0</v>
      </c>
      <c r="H87" s="3"/>
      <c r="I87" s="3">
        <f ca="1">IFERROR(_xludf.XLOOKUP("Seguro",PARAMETROS_IMPORTACION!$A:$A,PARAMETROS_IMPORTACION!$C:$C,0),0)</f>
        <v>0</v>
      </c>
      <c r="J87" s="3">
        <f ca="1">IFERROR(_xludf.XLOOKUP("Arancel",PARAMETROS_IMPORTACION!$A:$A,PARAMETROS_IMPORTACION!$C:$C,0),0)</f>
        <v>0</v>
      </c>
      <c r="K87" s="2">
        <f ca="1">IFERROR(_xludf.XLOOKUP("Gastos_Aduana",PARAMETROS_IMPORTACION!$A:$A,PARAMETROS_IMPORTACION!$C:$C,0),0)</f>
        <v>0</v>
      </c>
      <c r="L87" s="2">
        <f t="shared" si="3"/>
        <v>0</v>
      </c>
    </row>
    <row r="88" spans="5:12" x14ac:dyDescent="0.35">
      <c r="E88" s="2"/>
      <c r="F88" s="2">
        <f>_xlfn.XLOOKUP(D88,TIPOS_CAMBIO!A:A,TIPOS_CAMBIO!B:B,"",0)</f>
        <v>0</v>
      </c>
      <c r="G88" s="3">
        <f t="shared" si="2"/>
        <v>0</v>
      </c>
      <c r="H88" s="3"/>
      <c r="I88" s="3">
        <f ca="1">IFERROR(_xludf.XLOOKUP("Seguro",PARAMETROS_IMPORTACION!$A:$A,PARAMETROS_IMPORTACION!$C:$C,0),0)</f>
        <v>0</v>
      </c>
      <c r="J88" s="3">
        <f ca="1">IFERROR(_xludf.XLOOKUP("Arancel",PARAMETROS_IMPORTACION!$A:$A,PARAMETROS_IMPORTACION!$C:$C,0),0)</f>
        <v>0</v>
      </c>
      <c r="K88" s="2">
        <f ca="1">IFERROR(_xludf.XLOOKUP("Gastos_Aduana",PARAMETROS_IMPORTACION!$A:$A,PARAMETROS_IMPORTACION!$C:$C,0),0)</f>
        <v>0</v>
      </c>
      <c r="L88" s="2">
        <f t="shared" si="3"/>
        <v>0</v>
      </c>
    </row>
    <row r="89" spans="5:12" x14ac:dyDescent="0.35">
      <c r="E89" s="2"/>
      <c r="F89" s="2">
        <f>_xlfn.XLOOKUP(D89,TIPOS_CAMBIO!A:A,TIPOS_CAMBIO!B:B,"",0)</f>
        <v>0</v>
      </c>
      <c r="G89" s="3">
        <f t="shared" si="2"/>
        <v>0</v>
      </c>
      <c r="H89" s="3"/>
      <c r="I89" s="3">
        <f ca="1">IFERROR(_xludf.XLOOKUP("Seguro",PARAMETROS_IMPORTACION!$A:$A,PARAMETROS_IMPORTACION!$C:$C,0),0)</f>
        <v>0</v>
      </c>
      <c r="J89" s="3">
        <f ca="1">IFERROR(_xludf.XLOOKUP("Arancel",PARAMETROS_IMPORTACION!$A:$A,PARAMETROS_IMPORTACION!$C:$C,0),0)</f>
        <v>0</v>
      </c>
      <c r="K89" s="2">
        <f ca="1">IFERROR(_xludf.XLOOKUP("Gastos_Aduana",PARAMETROS_IMPORTACION!$A:$A,PARAMETROS_IMPORTACION!$C:$C,0),0)</f>
        <v>0</v>
      </c>
      <c r="L89" s="2">
        <f t="shared" si="3"/>
        <v>0</v>
      </c>
    </row>
    <row r="90" spans="5:12" x14ac:dyDescent="0.35">
      <c r="E90" s="2"/>
      <c r="F90" s="2">
        <f>_xlfn.XLOOKUP(D90,TIPOS_CAMBIO!A:A,TIPOS_CAMBIO!B:B,"",0)</f>
        <v>0</v>
      </c>
      <c r="G90" s="3">
        <f t="shared" si="2"/>
        <v>0</v>
      </c>
      <c r="H90" s="3"/>
      <c r="I90" s="3">
        <f ca="1">IFERROR(_xludf.XLOOKUP("Seguro",PARAMETROS_IMPORTACION!$A:$A,PARAMETROS_IMPORTACION!$C:$C,0),0)</f>
        <v>0</v>
      </c>
      <c r="J90" s="3">
        <f ca="1">IFERROR(_xludf.XLOOKUP("Arancel",PARAMETROS_IMPORTACION!$A:$A,PARAMETROS_IMPORTACION!$C:$C,0),0)</f>
        <v>0</v>
      </c>
      <c r="K90" s="2">
        <f ca="1">IFERROR(_xludf.XLOOKUP("Gastos_Aduana",PARAMETROS_IMPORTACION!$A:$A,PARAMETROS_IMPORTACION!$C:$C,0),0)</f>
        <v>0</v>
      </c>
      <c r="L90" s="2">
        <f t="shared" si="3"/>
        <v>0</v>
      </c>
    </row>
    <row r="91" spans="5:12" x14ac:dyDescent="0.35">
      <c r="E91" s="2"/>
      <c r="F91" s="2">
        <f>_xlfn.XLOOKUP(D91,TIPOS_CAMBIO!A:A,TIPOS_CAMBIO!B:B,"",0)</f>
        <v>0</v>
      </c>
      <c r="G91" s="3">
        <f t="shared" si="2"/>
        <v>0</v>
      </c>
      <c r="H91" s="3"/>
      <c r="I91" s="3">
        <f ca="1">IFERROR(_xludf.XLOOKUP("Seguro",PARAMETROS_IMPORTACION!$A:$A,PARAMETROS_IMPORTACION!$C:$C,0),0)</f>
        <v>0</v>
      </c>
      <c r="J91" s="3">
        <f ca="1">IFERROR(_xludf.XLOOKUP("Arancel",PARAMETROS_IMPORTACION!$A:$A,PARAMETROS_IMPORTACION!$C:$C,0),0)</f>
        <v>0</v>
      </c>
      <c r="K91" s="2">
        <f ca="1">IFERROR(_xludf.XLOOKUP("Gastos_Aduana",PARAMETROS_IMPORTACION!$A:$A,PARAMETROS_IMPORTACION!$C:$C,0),0)</f>
        <v>0</v>
      </c>
      <c r="L91" s="2">
        <f t="shared" si="3"/>
        <v>0</v>
      </c>
    </row>
    <row r="92" spans="5:12" x14ac:dyDescent="0.35">
      <c r="E92" s="2"/>
      <c r="F92" s="2">
        <f>_xlfn.XLOOKUP(D92,TIPOS_CAMBIO!A:A,TIPOS_CAMBIO!B:B,"",0)</f>
        <v>0</v>
      </c>
      <c r="G92" s="3">
        <f t="shared" si="2"/>
        <v>0</v>
      </c>
      <c r="H92" s="3"/>
      <c r="I92" s="3">
        <f ca="1">IFERROR(_xludf.XLOOKUP("Seguro",PARAMETROS_IMPORTACION!$A:$A,PARAMETROS_IMPORTACION!$C:$C,0),0)</f>
        <v>0</v>
      </c>
      <c r="J92" s="3">
        <f ca="1">IFERROR(_xludf.XLOOKUP("Arancel",PARAMETROS_IMPORTACION!$A:$A,PARAMETROS_IMPORTACION!$C:$C,0),0)</f>
        <v>0</v>
      </c>
      <c r="K92" s="2">
        <f ca="1">IFERROR(_xludf.XLOOKUP("Gastos_Aduana",PARAMETROS_IMPORTACION!$A:$A,PARAMETROS_IMPORTACION!$C:$C,0),0)</f>
        <v>0</v>
      </c>
      <c r="L92" s="2">
        <f t="shared" si="3"/>
        <v>0</v>
      </c>
    </row>
    <row r="93" spans="5:12" x14ac:dyDescent="0.35">
      <c r="E93" s="2"/>
      <c r="F93" s="2">
        <f>_xlfn.XLOOKUP(D93,TIPOS_CAMBIO!A:A,TIPOS_CAMBIO!B:B,"",0)</f>
        <v>0</v>
      </c>
      <c r="G93" s="3">
        <f t="shared" si="2"/>
        <v>0</v>
      </c>
      <c r="H93" s="3"/>
      <c r="I93" s="3">
        <f ca="1">IFERROR(_xludf.XLOOKUP("Seguro",PARAMETROS_IMPORTACION!$A:$A,PARAMETROS_IMPORTACION!$C:$C,0),0)</f>
        <v>0</v>
      </c>
      <c r="J93" s="3">
        <f ca="1">IFERROR(_xludf.XLOOKUP("Arancel",PARAMETROS_IMPORTACION!$A:$A,PARAMETROS_IMPORTACION!$C:$C,0),0)</f>
        <v>0</v>
      </c>
      <c r="K93" s="2">
        <f ca="1">IFERROR(_xludf.XLOOKUP("Gastos_Aduana",PARAMETROS_IMPORTACION!$A:$A,PARAMETROS_IMPORTACION!$C:$C,0),0)</f>
        <v>0</v>
      </c>
      <c r="L93" s="2">
        <f t="shared" si="3"/>
        <v>0</v>
      </c>
    </row>
    <row r="94" spans="5:12" x14ac:dyDescent="0.35">
      <c r="E94" s="2"/>
      <c r="F94" s="2">
        <f>_xlfn.XLOOKUP(D94,TIPOS_CAMBIO!A:A,TIPOS_CAMBIO!B:B,"",0)</f>
        <v>0</v>
      </c>
      <c r="G94" s="3">
        <f t="shared" si="2"/>
        <v>0</v>
      </c>
      <c r="H94" s="3"/>
      <c r="I94" s="3">
        <f ca="1">IFERROR(_xludf.XLOOKUP("Seguro",PARAMETROS_IMPORTACION!$A:$A,PARAMETROS_IMPORTACION!$C:$C,0),0)</f>
        <v>0</v>
      </c>
      <c r="J94" s="3">
        <f ca="1">IFERROR(_xludf.XLOOKUP("Arancel",PARAMETROS_IMPORTACION!$A:$A,PARAMETROS_IMPORTACION!$C:$C,0),0)</f>
        <v>0</v>
      </c>
      <c r="K94" s="2">
        <f ca="1">IFERROR(_xludf.XLOOKUP("Gastos_Aduana",PARAMETROS_IMPORTACION!$A:$A,PARAMETROS_IMPORTACION!$C:$C,0),0)</f>
        <v>0</v>
      </c>
      <c r="L94" s="2">
        <f t="shared" si="3"/>
        <v>0</v>
      </c>
    </row>
    <row r="95" spans="5:12" x14ac:dyDescent="0.35">
      <c r="E95" s="2"/>
      <c r="F95" s="2">
        <f>_xlfn.XLOOKUP(D95,TIPOS_CAMBIO!A:A,TIPOS_CAMBIO!B:B,"",0)</f>
        <v>0</v>
      </c>
      <c r="G95" s="3">
        <f t="shared" si="2"/>
        <v>0</v>
      </c>
      <c r="H95" s="3"/>
      <c r="I95" s="3">
        <f ca="1">IFERROR(_xludf.XLOOKUP("Seguro",PARAMETROS_IMPORTACION!$A:$A,PARAMETROS_IMPORTACION!$C:$C,0),0)</f>
        <v>0</v>
      </c>
      <c r="J95" s="3">
        <f ca="1">IFERROR(_xludf.XLOOKUP("Arancel",PARAMETROS_IMPORTACION!$A:$A,PARAMETROS_IMPORTACION!$C:$C,0),0)</f>
        <v>0</v>
      </c>
      <c r="K95" s="2">
        <f ca="1">IFERROR(_xludf.XLOOKUP("Gastos_Aduana",PARAMETROS_IMPORTACION!$A:$A,PARAMETROS_IMPORTACION!$C:$C,0),0)</f>
        <v>0</v>
      </c>
      <c r="L95" s="2">
        <f t="shared" si="3"/>
        <v>0</v>
      </c>
    </row>
    <row r="96" spans="5:12" x14ac:dyDescent="0.35">
      <c r="E96" s="2"/>
      <c r="F96" s="2">
        <f>_xlfn.XLOOKUP(D96,TIPOS_CAMBIO!A:A,TIPOS_CAMBIO!B:B,"",0)</f>
        <v>0</v>
      </c>
      <c r="G96" s="3">
        <f t="shared" si="2"/>
        <v>0</v>
      </c>
      <c r="H96" s="3"/>
      <c r="I96" s="3">
        <f ca="1">IFERROR(_xludf.XLOOKUP("Seguro",PARAMETROS_IMPORTACION!$A:$A,PARAMETROS_IMPORTACION!$C:$C,0),0)</f>
        <v>0</v>
      </c>
      <c r="J96" s="3">
        <f ca="1">IFERROR(_xludf.XLOOKUP("Arancel",PARAMETROS_IMPORTACION!$A:$A,PARAMETROS_IMPORTACION!$C:$C,0),0)</f>
        <v>0</v>
      </c>
      <c r="K96" s="2">
        <f ca="1">IFERROR(_xludf.XLOOKUP("Gastos_Aduana",PARAMETROS_IMPORTACION!$A:$A,PARAMETROS_IMPORTACION!$C:$C,0),0)</f>
        <v>0</v>
      </c>
      <c r="L96" s="2">
        <f t="shared" si="3"/>
        <v>0</v>
      </c>
    </row>
    <row r="97" spans="5:12" x14ac:dyDescent="0.35">
      <c r="E97" s="2"/>
      <c r="F97" s="2">
        <f>_xlfn.XLOOKUP(D97,TIPOS_CAMBIO!A:A,TIPOS_CAMBIO!B:B,"",0)</f>
        <v>0</v>
      </c>
      <c r="G97" s="3">
        <f t="shared" si="2"/>
        <v>0</v>
      </c>
      <c r="H97" s="3"/>
      <c r="I97" s="3">
        <f ca="1">IFERROR(_xludf.XLOOKUP("Seguro",PARAMETROS_IMPORTACION!$A:$A,PARAMETROS_IMPORTACION!$C:$C,0),0)</f>
        <v>0</v>
      </c>
      <c r="J97" s="3">
        <f ca="1">IFERROR(_xludf.XLOOKUP("Arancel",PARAMETROS_IMPORTACION!$A:$A,PARAMETROS_IMPORTACION!$C:$C,0),0)</f>
        <v>0</v>
      </c>
      <c r="K97" s="2">
        <f ca="1">IFERROR(_xludf.XLOOKUP("Gastos_Aduana",PARAMETROS_IMPORTACION!$A:$A,PARAMETROS_IMPORTACION!$C:$C,0),0)</f>
        <v>0</v>
      </c>
      <c r="L97" s="2">
        <f t="shared" si="3"/>
        <v>0</v>
      </c>
    </row>
    <row r="98" spans="5:12" x14ac:dyDescent="0.35">
      <c r="E98" s="2"/>
      <c r="F98" s="2">
        <f>_xlfn.XLOOKUP(D98,TIPOS_CAMBIO!A:A,TIPOS_CAMBIO!B:B,"",0)</f>
        <v>0</v>
      </c>
      <c r="G98" s="3">
        <f t="shared" si="2"/>
        <v>0</v>
      </c>
      <c r="H98" s="3"/>
      <c r="I98" s="3">
        <f ca="1">IFERROR(_xludf.XLOOKUP("Seguro",PARAMETROS_IMPORTACION!$A:$A,PARAMETROS_IMPORTACION!$C:$C,0),0)</f>
        <v>0</v>
      </c>
      <c r="J98" s="3">
        <f ca="1">IFERROR(_xludf.XLOOKUP("Arancel",PARAMETROS_IMPORTACION!$A:$A,PARAMETROS_IMPORTACION!$C:$C,0),0)</f>
        <v>0</v>
      </c>
      <c r="K98" s="2">
        <f ca="1">IFERROR(_xludf.XLOOKUP("Gastos_Aduana",PARAMETROS_IMPORTACION!$A:$A,PARAMETROS_IMPORTACION!$C:$C,0),0)</f>
        <v>0</v>
      </c>
      <c r="L98" s="2">
        <f t="shared" si="3"/>
        <v>0</v>
      </c>
    </row>
    <row r="99" spans="5:12" x14ac:dyDescent="0.35">
      <c r="E99" s="2"/>
      <c r="F99" s="2">
        <f>_xlfn.XLOOKUP(D99,TIPOS_CAMBIO!A:A,TIPOS_CAMBIO!B:B,"",0)</f>
        <v>0</v>
      </c>
      <c r="G99" s="3">
        <f t="shared" si="2"/>
        <v>0</v>
      </c>
      <c r="H99" s="3"/>
      <c r="I99" s="3">
        <f ca="1">IFERROR(_xludf.XLOOKUP("Seguro",PARAMETROS_IMPORTACION!$A:$A,PARAMETROS_IMPORTACION!$C:$C,0),0)</f>
        <v>0</v>
      </c>
      <c r="J99" s="3">
        <f ca="1">IFERROR(_xludf.XLOOKUP("Arancel",PARAMETROS_IMPORTACION!$A:$A,PARAMETROS_IMPORTACION!$C:$C,0),0)</f>
        <v>0</v>
      </c>
      <c r="K99" s="2">
        <f ca="1">IFERROR(_xludf.XLOOKUP("Gastos_Aduana",PARAMETROS_IMPORTACION!$A:$A,PARAMETROS_IMPORTACION!$C:$C,0),0)</f>
        <v>0</v>
      </c>
      <c r="L99" s="2">
        <f t="shared" si="3"/>
        <v>0</v>
      </c>
    </row>
    <row r="100" spans="5:12" x14ac:dyDescent="0.35">
      <c r="E100" s="2"/>
      <c r="F100" s="2">
        <f>_xlfn.XLOOKUP(D100,TIPOS_CAMBIO!A:A,TIPOS_CAMBIO!B:B,"",0)</f>
        <v>0</v>
      </c>
      <c r="G100" s="3">
        <f t="shared" si="2"/>
        <v>0</v>
      </c>
      <c r="H100" s="3"/>
      <c r="I100" s="3">
        <f ca="1">IFERROR(_xludf.XLOOKUP("Seguro",PARAMETROS_IMPORTACION!$A:$A,PARAMETROS_IMPORTACION!$C:$C,0),0)</f>
        <v>0</v>
      </c>
      <c r="J100" s="3">
        <f ca="1">IFERROR(_xludf.XLOOKUP("Arancel",PARAMETROS_IMPORTACION!$A:$A,PARAMETROS_IMPORTACION!$C:$C,0),0)</f>
        <v>0</v>
      </c>
      <c r="K100" s="2">
        <f ca="1">IFERROR(_xludf.XLOOKUP("Gastos_Aduana",PARAMETROS_IMPORTACION!$A:$A,PARAMETROS_IMPORTACION!$C:$C,0),0)</f>
        <v>0</v>
      </c>
      <c r="L100" s="2">
        <f t="shared" si="3"/>
        <v>0</v>
      </c>
    </row>
    <row r="101" spans="5:12" x14ac:dyDescent="0.35">
      <c r="E101" s="2"/>
      <c r="F101" s="2">
        <f>_xlfn.XLOOKUP(D101,TIPOS_CAMBIO!A:A,TIPOS_CAMBIO!B:B,"",0)</f>
        <v>0</v>
      </c>
      <c r="G101" s="3">
        <f t="shared" si="2"/>
        <v>0</v>
      </c>
      <c r="H101" s="3"/>
      <c r="I101" s="3">
        <f ca="1">IFERROR(_xludf.XLOOKUP("Seguro",PARAMETROS_IMPORTACION!$A:$A,PARAMETROS_IMPORTACION!$C:$C,0),0)</f>
        <v>0</v>
      </c>
      <c r="J101" s="3">
        <f ca="1">IFERROR(_xludf.XLOOKUP("Arancel",PARAMETROS_IMPORTACION!$A:$A,PARAMETROS_IMPORTACION!$C:$C,0),0)</f>
        <v>0</v>
      </c>
      <c r="K101" s="2">
        <f ca="1">IFERROR(_xludf.XLOOKUP("Gastos_Aduana",PARAMETROS_IMPORTACION!$A:$A,PARAMETROS_IMPORTACION!$C:$C,0),0)</f>
        <v>0</v>
      </c>
      <c r="L101" s="2">
        <f t="shared" si="3"/>
        <v>0</v>
      </c>
    </row>
    <row r="102" spans="5:12" x14ac:dyDescent="0.35">
      <c r="E102" s="2"/>
      <c r="F102" s="2">
        <f>_xlfn.XLOOKUP(D102,TIPOS_CAMBIO!A:A,TIPOS_CAMBIO!B:B,"",0)</f>
        <v>0</v>
      </c>
      <c r="G102" s="3">
        <f t="shared" si="2"/>
        <v>0</v>
      </c>
      <c r="H102" s="3"/>
      <c r="I102" s="3">
        <f ca="1">IFERROR(_xludf.XLOOKUP("Seguro",PARAMETROS_IMPORTACION!$A:$A,PARAMETROS_IMPORTACION!$C:$C,0),0)</f>
        <v>0</v>
      </c>
      <c r="J102" s="3">
        <f ca="1">IFERROR(_xludf.XLOOKUP("Arancel",PARAMETROS_IMPORTACION!$A:$A,PARAMETROS_IMPORTACION!$C:$C,0),0)</f>
        <v>0</v>
      </c>
      <c r="K102" s="2">
        <f ca="1">IFERROR(_xludf.XLOOKUP("Gastos_Aduana",PARAMETROS_IMPORTACION!$A:$A,PARAMETROS_IMPORTACION!$C:$C,0),0)</f>
        <v>0</v>
      </c>
      <c r="L102" s="2">
        <f t="shared" si="3"/>
        <v>0</v>
      </c>
    </row>
    <row r="103" spans="5:12" x14ac:dyDescent="0.35">
      <c r="E103" s="2"/>
      <c r="F103" s="2">
        <f>_xlfn.XLOOKUP(D103,TIPOS_CAMBIO!A:A,TIPOS_CAMBIO!B:B,"",0)</f>
        <v>0</v>
      </c>
      <c r="G103" s="3">
        <f t="shared" si="2"/>
        <v>0</v>
      </c>
      <c r="H103" s="3"/>
      <c r="I103" s="3">
        <f ca="1">IFERROR(_xludf.XLOOKUP("Seguro",PARAMETROS_IMPORTACION!$A:$A,PARAMETROS_IMPORTACION!$C:$C,0),0)</f>
        <v>0</v>
      </c>
      <c r="J103" s="3">
        <f ca="1">IFERROR(_xludf.XLOOKUP("Arancel",PARAMETROS_IMPORTACION!$A:$A,PARAMETROS_IMPORTACION!$C:$C,0),0)</f>
        <v>0</v>
      </c>
      <c r="K103" s="2">
        <f ca="1">IFERROR(_xludf.XLOOKUP("Gastos_Aduana",PARAMETROS_IMPORTACION!$A:$A,PARAMETROS_IMPORTACION!$C:$C,0),0)</f>
        <v>0</v>
      </c>
      <c r="L103" s="2">
        <f t="shared" si="3"/>
        <v>0</v>
      </c>
    </row>
    <row r="104" spans="5:12" x14ac:dyDescent="0.35">
      <c r="E104" s="2"/>
      <c r="F104" s="2">
        <f>_xlfn.XLOOKUP(D104,TIPOS_CAMBIO!A:A,TIPOS_CAMBIO!B:B,"",0)</f>
        <v>0</v>
      </c>
      <c r="G104" s="3">
        <f t="shared" si="2"/>
        <v>0</v>
      </c>
      <c r="H104" s="3"/>
      <c r="I104" s="3">
        <f ca="1">IFERROR(_xludf.XLOOKUP("Seguro",PARAMETROS_IMPORTACION!$A:$A,PARAMETROS_IMPORTACION!$C:$C,0),0)</f>
        <v>0</v>
      </c>
      <c r="J104" s="3">
        <f ca="1">IFERROR(_xludf.XLOOKUP("Arancel",PARAMETROS_IMPORTACION!$A:$A,PARAMETROS_IMPORTACION!$C:$C,0),0)</f>
        <v>0</v>
      </c>
      <c r="K104" s="2">
        <f ca="1">IFERROR(_xludf.XLOOKUP("Gastos_Aduana",PARAMETROS_IMPORTACION!$A:$A,PARAMETROS_IMPORTACION!$C:$C,0),0)</f>
        <v>0</v>
      </c>
      <c r="L104" s="2">
        <f t="shared" si="3"/>
        <v>0</v>
      </c>
    </row>
    <row r="105" spans="5:12" x14ac:dyDescent="0.35">
      <c r="E105" s="2"/>
      <c r="F105" s="2">
        <f>_xlfn.XLOOKUP(D105,TIPOS_CAMBIO!A:A,TIPOS_CAMBIO!B:B,"",0)</f>
        <v>0</v>
      </c>
      <c r="G105" s="3">
        <f t="shared" si="2"/>
        <v>0</v>
      </c>
      <c r="H105" s="3"/>
      <c r="I105" s="3">
        <f ca="1">IFERROR(_xludf.XLOOKUP("Seguro",PARAMETROS_IMPORTACION!$A:$A,PARAMETROS_IMPORTACION!$C:$C,0),0)</f>
        <v>0</v>
      </c>
      <c r="J105" s="3">
        <f ca="1">IFERROR(_xludf.XLOOKUP("Arancel",PARAMETROS_IMPORTACION!$A:$A,PARAMETROS_IMPORTACION!$C:$C,0),0)</f>
        <v>0</v>
      </c>
      <c r="K105" s="2">
        <f ca="1">IFERROR(_xludf.XLOOKUP("Gastos_Aduana",PARAMETROS_IMPORTACION!$A:$A,PARAMETROS_IMPORTACION!$C:$C,0),0)</f>
        <v>0</v>
      </c>
      <c r="L105" s="2">
        <f t="shared" si="3"/>
        <v>0</v>
      </c>
    </row>
    <row r="106" spans="5:12" x14ac:dyDescent="0.35">
      <c r="E106" s="2"/>
      <c r="F106" s="2">
        <f>_xlfn.XLOOKUP(D106,TIPOS_CAMBIO!A:A,TIPOS_CAMBIO!B:B,"",0)</f>
        <v>0</v>
      </c>
      <c r="G106" s="3">
        <f t="shared" si="2"/>
        <v>0</v>
      </c>
      <c r="H106" s="3"/>
      <c r="I106" s="3">
        <f ca="1">IFERROR(_xludf.XLOOKUP("Seguro",PARAMETROS_IMPORTACION!$A:$A,PARAMETROS_IMPORTACION!$C:$C,0),0)</f>
        <v>0</v>
      </c>
      <c r="J106" s="3">
        <f ca="1">IFERROR(_xludf.XLOOKUP("Arancel",PARAMETROS_IMPORTACION!$A:$A,PARAMETROS_IMPORTACION!$C:$C,0),0)</f>
        <v>0</v>
      </c>
      <c r="K106" s="2">
        <f ca="1">IFERROR(_xludf.XLOOKUP("Gastos_Aduana",PARAMETROS_IMPORTACION!$A:$A,PARAMETROS_IMPORTACION!$C:$C,0),0)</f>
        <v>0</v>
      </c>
      <c r="L106" s="2">
        <f t="shared" si="3"/>
        <v>0</v>
      </c>
    </row>
    <row r="107" spans="5:12" x14ac:dyDescent="0.35">
      <c r="E107" s="2"/>
      <c r="F107" s="2">
        <f>_xlfn.XLOOKUP(D107,TIPOS_CAMBIO!A:A,TIPOS_CAMBIO!B:B,"",0)</f>
        <v>0</v>
      </c>
      <c r="G107" s="3">
        <f t="shared" si="2"/>
        <v>0</v>
      </c>
      <c r="H107" s="3"/>
      <c r="I107" s="3">
        <f ca="1">IFERROR(_xludf.XLOOKUP("Seguro",PARAMETROS_IMPORTACION!$A:$A,PARAMETROS_IMPORTACION!$C:$C,0),0)</f>
        <v>0</v>
      </c>
      <c r="J107" s="3">
        <f ca="1">IFERROR(_xludf.XLOOKUP("Arancel",PARAMETROS_IMPORTACION!$A:$A,PARAMETROS_IMPORTACION!$C:$C,0),0)</f>
        <v>0</v>
      </c>
      <c r="K107" s="2">
        <f ca="1">IFERROR(_xludf.XLOOKUP("Gastos_Aduana",PARAMETROS_IMPORTACION!$A:$A,PARAMETROS_IMPORTACION!$C:$C,0),0)</f>
        <v>0</v>
      </c>
      <c r="L107" s="2">
        <f t="shared" si="3"/>
        <v>0</v>
      </c>
    </row>
    <row r="108" spans="5:12" x14ac:dyDescent="0.35">
      <c r="E108" s="2"/>
      <c r="F108" s="2">
        <f>_xlfn.XLOOKUP(D108,TIPOS_CAMBIO!A:A,TIPOS_CAMBIO!B:B,"",0)</f>
        <v>0</v>
      </c>
      <c r="G108" s="3">
        <f t="shared" si="2"/>
        <v>0</v>
      </c>
      <c r="H108" s="3"/>
      <c r="I108" s="3">
        <f ca="1">IFERROR(_xludf.XLOOKUP("Seguro",PARAMETROS_IMPORTACION!$A:$A,PARAMETROS_IMPORTACION!$C:$C,0),0)</f>
        <v>0</v>
      </c>
      <c r="J108" s="3">
        <f ca="1">IFERROR(_xludf.XLOOKUP("Arancel",PARAMETROS_IMPORTACION!$A:$A,PARAMETROS_IMPORTACION!$C:$C,0),0)</f>
        <v>0</v>
      </c>
      <c r="K108" s="2">
        <f ca="1">IFERROR(_xludf.XLOOKUP("Gastos_Aduana",PARAMETROS_IMPORTACION!$A:$A,PARAMETROS_IMPORTACION!$C:$C,0),0)</f>
        <v>0</v>
      </c>
      <c r="L108" s="2">
        <f t="shared" si="3"/>
        <v>0</v>
      </c>
    </row>
    <row r="109" spans="5:12" x14ac:dyDescent="0.35">
      <c r="E109" s="2"/>
      <c r="F109" s="2">
        <f>_xlfn.XLOOKUP(D109,TIPOS_CAMBIO!A:A,TIPOS_CAMBIO!B:B,"",0)</f>
        <v>0</v>
      </c>
      <c r="G109" s="3">
        <f t="shared" si="2"/>
        <v>0</v>
      </c>
      <c r="H109" s="3"/>
      <c r="I109" s="3">
        <f ca="1">IFERROR(_xludf.XLOOKUP("Seguro",PARAMETROS_IMPORTACION!$A:$A,PARAMETROS_IMPORTACION!$C:$C,0),0)</f>
        <v>0</v>
      </c>
      <c r="J109" s="3">
        <f ca="1">IFERROR(_xludf.XLOOKUP("Arancel",PARAMETROS_IMPORTACION!$A:$A,PARAMETROS_IMPORTACION!$C:$C,0),0)</f>
        <v>0</v>
      </c>
      <c r="K109" s="2">
        <f ca="1">IFERROR(_xludf.XLOOKUP("Gastos_Aduana",PARAMETROS_IMPORTACION!$A:$A,PARAMETROS_IMPORTACION!$C:$C,0),0)</f>
        <v>0</v>
      </c>
      <c r="L109" s="2">
        <f t="shared" si="3"/>
        <v>0</v>
      </c>
    </row>
    <row r="110" spans="5:12" x14ac:dyDescent="0.35">
      <c r="E110" s="2"/>
      <c r="F110" s="2">
        <f>_xlfn.XLOOKUP(D110,TIPOS_CAMBIO!A:A,TIPOS_CAMBIO!B:B,"",0)</f>
        <v>0</v>
      </c>
      <c r="G110" s="3">
        <f t="shared" si="2"/>
        <v>0</v>
      </c>
      <c r="H110" s="3"/>
      <c r="I110" s="3">
        <f ca="1">IFERROR(_xludf.XLOOKUP("Seguro",PARAMETROS_IMPORTACION!$A:$A,PARAMETROS_IMPORTACION!$C:$C,0),0)</f>
        <v>0</v>
      </c>
      <c r="J110" s="3">
        <f ca="1">IFERROR(_xludf.XLOOKUP("Arancel",PARAMETROS_IMPORTACION!$A:$A,PARAMETROS_IMPORTACION!$C:$C,0),0)</f>
        <v>0</v>
      </c>
      <c r="K110" s="2">
        <f ca="1">IFERROR(_xludf.XLOOKUP("Gastos_Aduana",PARAMETROS_IMPORTACION!$A:$A,PARAMETROS_IMPORTACION!$C:$C,0),0)</f>
        <v>0</v>
      </c>
      <c r="L110" s="2">
        <f t="shared" si="3"/>
        <v>0</v>
      </c>
    </row>
    <row r="111" spans="5:12" x14ac:dyDescent="0.35">
      <c r="E111" s="2"/>
      <c r="F111" s="2">
        <f>_xlfn.XLOOKUP(D111,TIPOS_CAMBIO!A:A,TIPOS_CAMBIO!B:B,"",0)</f>
        <v>0</v>
      </c>
      <c r="G111" s="3">
        <f t="shared" si="2"/>
        <v>0</v>
      </c>
      <c r="H111" s="3"/>
      <c r="I111" s="3">
        <f ca="1">IFERROR(_xludf.XLOOKUP("Seguro",PARAMETROS_IMPORTACION!$A:$A,PARAMETROS_IMPORTACION!$C:$C,0),0)</f>
        <v>0</v>
      </c>
      <c r="J111" s="3">
        <f ca="1">IFERROR(_xludf.XLOOKUP("Arancel",PARAMETROS_IMPORTACION!$A:$A,PARAMETROS_IMPORTACION!$C:$C,0),0)</f>
        <v>0</v>
      </c>
      <c r="K111" s="2">
        <f ca="1">IFERROR(_xludf.XLOOKUP("Gastos_Aduana",PARAMETROS_IMPORTACION!$A:$A,PARAMETROS_IMPORTACION!$C:$C,0),0)</f>
        <v>0</v>
      </c>
      <c r="L111" s="2">
        <f t="shared" si="3"/>
        <v>0</v>
      </c>
    </row>
    <row r="112" spans="5:12" x14ac:dyDescent="0.35">
      <c r="E112" s="2"/>
      <c r="F112" s="2">
        <f>_xlfn.XLOOKUP(D112,TIPOS_CAMBIO!A:A,TIPOS_CAMBIO!B:B,"",0)</f>
        <v>0</v>
      </c>
      <c r="G112" s="3">
        <f t="shared" si="2"/>
        <v>0</v>
      </c>
      <c r="H112" s="3"/>
      <c r="I112" s="3">
        <f ca="1">IFERROR(_xludf.XLOOKUP("Seguro",PARAMETROS_IMPORTACION!$A:$A,PARAMETROS_IMPORTACION!$C:$C,0),0)</f>
        <v>0</v>
      </c>
      <c r="J112" s="3">
        <f ca="1">IFERROR(_xludf.XLOOKUP("Arancel",PARAMETROS_IMPORTACION!$A:$A,PARAMETROS_IMPORTACION!$C:$C,0),0)</f>
        <v>0</v>
      </c>
      <c r="K112" s="2">
        <f ca="1">IFERROR(_xludf.XLOOKUP("Gastos_Aduana",PARAMETROS_IMPORTACION!$A:$A,PARAMETROS_IMPORTACION!$C:$C,0),0)</f>
        <v>0</v>
      </c>
      <c r="L112" s="2">
        <f t="shared" si="3"/>
        <v>0</v>
      </c>
    </row>
    <row r="113" spans="5:12" x14ac:dyDescent="0.35">
      <c r="E113" s="2"/>
      <c r="F113" s="2">
        <f>_xlfn.XLOOKUP(D113,TIPOS_CAMBIO!A:A,TIPOS_CAMBIO!B:B,"",0)</f>
        <v>0</v>
      </c>
      <c r="G113" s="3">
        <f t="shared" si="2"/>
        <v>0</v>
      </c>
      <c r="H113" s="3"/>
      <c r="I113" s="3">
        <f ca="1">IFERROR(_xludf.XLOOKUP("Seguro",PARAMETROS_IMPORTACION!$A:$A,PARAMETROS_IMPORTACION!$C:$C,0),0)</f>
        <v>0</v>
      </c>
      <c r="J113" s="3">
        <f ca="1">IFERROR(_xludf.XLOOKUP("Arancel",PARAMETROS_IMPORTACION!$A:$A,PARAMETROS_IMPORTACION!$C:$C,0),0)</f>
        <v>0</v>
      </c>
      <c r="K113" s="2">
        <f ca="1">IFERROR(_xludf.XLOOKUP("Gastos_Aduana",PARAMETROS_IMPORTACION!$A:$A,PARAMETROS_IMPORTACION!$C:$C,0),0)</f>
        <v>0</v>
      </c>
      <c r="L113" s="2">
        <f t="shared" si="3"/>
        <v>0</v>
      </c>
    </row>
    <row r="114" spans="5:12" x14ac:dyDescent="0.35">
      <c r="E114" s="2"/>
      <c r="F114" s="2">
        <f>_xlfn.XLOOKUP(D114,TIPOS_CAMBIO!A:A,TIPOS_CAMBIO!B:B,"",0)</f>
        <v>0</v>
      </c>
      <c r="G114" s="3">
        <f t="shared" si="2"/>
        <v>0</v>
      </c>
      <c r="H114" s="3"/>
      <c r="I114" s="3">
        <f ca="1">IFERROR(_xludf.XLOOKUP("Seguro",PARAMETROS_IMPORTACION!$A:$A,PARAMETROS_IMPORTACION!$C:$C,0),0)</f>
        <v>0</v>
      </c>
      <c r="J114" s="3">
        <f ca="1">IFERROR(_xludf.XLOOKUP("Arancel",PARAMETROS_IMPORTACION!$A:$A,PARAMETROS_IMPORTACION!$C:$C,0),0)</f>
        <v>0</v>
      </c>
      <c r="K114" s="2">
        <f ca="1">IFERROR(_xludf.XLOOKUP("Gastos_Aduana",PARAMETROS_IMPORTACION!$A:$A,PARAMETROS_IMPORTACION!$C:$C,0),0)</f>
        <v>0</v>
      </c>
      <c r="L114" s="2">
        <f t="shared" si="3"/>
        <v>0</v>
      </c>
    </row>
    <row r="115" spans="5:12" x14ac:dyDescent="0.35">
      <c r="E115" s="2"/>
      <c r="F115" s="2">
        <f>_xlfn.XLOOKUP(D115,TIPOS_CAMBIO!A:A,TIPOS_CAMBIO!B:B,"",0)</f>
        <v>0</v>
      </c>
      <c r="G115" s="3">
        <f t="shared" si="2"/>
        <v>0</v>
      </c>
      <c r="H115" s="3"/>
      <c r="I115" s="3">
        <f ca="1">IFERROR(_xludf.XLOOKUP("Seguro",PARAMETROS_IMPORTACION!$A:$A,PARAMETROS_IMPORTACION!$C:$C,0),0)</f>
        <v>0</v>
      </c>
      <c r="J115" s="3">
        <f ca="1">IFERROR(_xludf.XLOOKUP("Arancel",PARAMETROS_IMPORTACION!$A:$A,PARAMETROS_IMPORTACION!$C:$C,0),0)</f>
        <v>0</v>
      </c>
      <c r="K115" s="2">
        <f ca="1">IFERROR(_xludf.XLOOKUP("Gastos_Aduana",PARAMETROS_IMPORTACION!$A:$A,PARAMETROS_IMPORTACION!$C:$C,0),0)</f>
        <v>0</v>
      </c>
      <c r="L115" s="2">
        <f t="shared" si="3"/>
        <v>0</v>
      </c>
    </row>
    <row r="116" spans="5:12" x14ac:dyDescent="0.35">
      <c r="E116" s="2"/>
      <c r="F116" s="2">
        <f>_xlfn.XLOOKUP(D116,TIPOS_CAMBIO!A:A,TIPOS_CAMBIO!B:B,"",0)</f>
        <v>0</v>
      </c>
      <c r="G116" s="3">
        <f t="shared" si="2"/>
        <v>0</v>
      </c>
      <c r="H116" s="3"/>
      <c r="I116" s="3">
        <f ca="1">IFERROR(_xludf.XLOOKUP("Seguro",PARAMETROS_IMPORTACION!$A:$A,PARAMETROS_IMPORTACION!$C:$C,0),0)</f>
        <v>0</v>
      </c>
      <c r="J116" s="3">
        <f ca="1">IFERROR(_xludf.XLOOKUP("Arancel",PARAMETROS_IMPORTACION!$A:$A,PARAMETROS_IMPORTACION!$C:$C,0),0)</f>
        <v>0</v>
      </c>
      <c r="K116" s="2">
        <f ca="1">IFERROR(_xludf.XLOOKUP("Gastos_Aduana",PARAMETROS_IMPORTACION!$A:$A,PARAMETROS_IMPORTACION!$C:$C,0),0)</f>
        <v>0</v>
      </c>
      <c r="L116" s="2">
        <f t="shared" si="3"/>
        <v>0</v>
      </c>
    </row>
    <row r="117" spans="5:12" x14ac:dyDescent="0.35">
      <c r="E117" s="2"/>
      <c r="F117" s="2">
        <f>_xlfn.XLOOKUP(D117,TIPOS_CAMBIO!A:A,TIPOS_CAMBIO!B:B,"",0)</f>
        <v>0</v>
      </c>
      <c r="G117" s="3">
        <f t="shared" si="2"/>
        <v>0</v>
      </c>
      <c r="H117" s="3"/>
      <c r="I117" s="3">
        <f ca="1">IFERROR(_xludf.XLOOKUP("Seguro",PARAMETROS_IMPORTACION!$A:$A,PARAMETROS_IMPORTACION!$C:$C,0),0)</f>
        <v>0</v>
      </c>
      <c r="J117" s="3">
        <f ca="1">IFERROR(_xludf.XLOOKUP("Arancel",PARAMETROS_IMPORTACION!$A:$A,PARAMETROS_IMPORTACION!$C:$C,0),0)</f>
        <v>0</v>
      </c>
      <c r="K117" s="2">
        <f ca="1">IFERROR(_xludf.XLOOKUP("Gastos_Aduana",PARAMETROS_IMPORTACION!$A:$A,PARAMETROS_IMPORTACION!$C:$C,0),0)</f>
        <v>0</v>
      </c>
      <c r="L117" s="2">
        <f t="shared" si="3"/>
        <v>0</v>
      </c>
    </row>
    <row r="118" spans="5:12" x14ac:dyDescent="0.35">
      <c r="E118" s="2"/>
      <c r="F118" s="2">
        <f>_xlfn.XLOOKUP(D118,TIPOS_CAMBIO!A:A,TIPOS_CAMBIO!B:B,"",0)</f>
        <v>0</v>
      </c>
      <c r="G118" s="3">
        <f t="shared" si="2"/>
        <v>0</v>
      </c>
      <c r="H118" s="3"/>
      <c r="I118" s="3">
        <f ca="1">IFERROR(_xludf.XLOOKUP("Seguro",PARAMETROS_IMPORTACION!$A:$A,PARAMETROS_IMPORTACION!$C:$C,0),0)</f>
        <v>0</v>
      </c>
      <c r="J118" s="3">
        <f ca="1">IFERROR(_xludf.XLOOKUP("Arancel",PARAMETROS_IMPORTACION!$A:$A,PARAMETROS_IMPORTACION!$C:$C,0),0)</f>
        <v>0</v>
      </c>
      <c r="K118" s="2">
        <f ca="1">IFERROR(_xludf.XLOOKUP("Gastos_Aduana",PARAMETROS_IMPORTACION!$A:$A,PARAMETROS_IMPORTACION!$C:$C,0),0)</f>
        <v>0</v>
      </c>
      <c r="L118" s="2">
        <f t="shared" si="3"/>
        <v>0</v>
      </c>
    </row>
    <row r="119" spans="5:12" x14ac:dyDescent="0.35">
      <c r="E119" s="2"/>
      <c r="F119" s="2">
        <f>_xlfn.XLOOKUP(D119,TIPOS_CAMBIO!A:A,TIPOS_CAMBIO!B:B,"",0)</f>
        <v>0</v>
      </c>
      <c r="G119" s="3">
        <f t="shared" si="2"/>
        <v>0</v>
      </c>
      <c r="H119" s="3"/>
      <c r="I119" s="3">
        <f ca="1">IFERROR(_xludf.XLOOKUP("Seguro",PARAMETROS_IMPORTACION!$A:$A,PARAMETROS_IMPORTACION!$C:$C,0),0)</f>
        <v>0</v>
      </c>
      <c r="J119" s="3">
        <f ca="1">IFERROR(_xludf.XLOOKUP("Arancel",PARAMETROS_IMPORTACION!$A:$A,PARAMETROS_IMPORTACION!$C:$C,0),0)</f>
        <v>0</v>
      </c>
      <c r="K119" s="2">
        <f ca="1">IFERROR(_xludf.XLOOKUP("Gastos_Aduana",PARAMETROS_IMPORTACION!$A:$A,PARAMETROS_IMPORTACION!$C:$C,0),0)</f>
        <v>0</v>
      </c>
      <c r="L119" s="2">
        <f t="shared" si="3"/>
        <v>0</v>
      </c>
    </row>
    <row r="120" spans="5:12" x14ac:dyDescent="0.35">
      <c r="E120" s="2"/>
      <c r="F120" s="2">
        <f>_xlfn.XLOOKUP(D120,TIPOS_CAMBIO!A:A,TIPOS_CAMBIO!B:B,"",0)</f>
        <v>0</v>
      </c>
      <c r="G120" s="3">
        <f t="shared" si="2"/>
        <v>0</v>
      </c>
      <c r="H120" s="3"/>
      <c r="I120" s="3">
        <f ca="1">IFERROR(_xludf.XLOOKUP("Seguro",PARAMETROS_IMPORTACION!$A:$A,PARAMETROS_IMPORTACION!$C:$C,0),0)</f>
        <v>0</v>
      </c>
      <c r="J120" s="3">
        <f ca="1">IFERROR(_xludf.XLOOKUP("Arancel",PARAMETROS_IMPORTACION!$A:$A,PARAMETROS_IMPORTACION!$C:$C,0),0)</f>
        <v>0</v>
      </c>
      <c r="K120" s="2">
        <f ca="1">IFERROR(_xludf.XLOOKUP("Gastos_Aduana",PARAMETROS_IMPORTACION!$A:$A,PARAMETROS_IMPORTACION!$C:$C,0),0)</f>
        <v>0</v>
      </c>
      <c r="L120" s="2">
        <f t="shared" si="3"/>
        <v>0</v>
      </c>
    </row>
    <row r="121" spans="5:12" x14ac:dyDescent="0.35">
      <c r="E121" s="2"/>
      <c r="F121" s="2">
        <f>_xlfn.XLOOKUP(D121,TIPOS_CAMBIO!A:A,TIPOS_CAMBIO!B:B,"",0)</f>
        <v>0</v>
      </c>
      <c r="G121" s="3">
        <f t="shared" si="2"/>
        <v>0</v>
      </c>
      <c r="H121" s="3"/>
      <c r="I121" s="3">
        <f ca="1">IFERROR(_xludf.XLOOKUP("Seguro",PARAMETROS_IMPORTACION!$A:$A,PARAMETROS_IMPORTACION!$C:$C,0),0)</f>
        <v>0</v>
      </c>
      <c r="J121" s="3">
        <f ca="1">IFERROR(_xludf.XLOOKUP("Arancel",PARAMETROS_IMPORTACION!$A:$A,PARAMETROS_IMPORTACION!$C:$C,0),0)</f>
        <v>0</v>
      </c>
      <c r="K121" s="2">
        <f ca="1">IFERROR(_xludf.XLOOKUP("Gastos_Aduana",PARAMETROS_IMPORTACION!$A:$A,PARAMETROS_IMPORTACION!$C:$C,0),0)</f>
        <v>0</v>
      </c>
      <c r="L121" s="2">
        <f t="shared" si="3"/>
        <v>0</v>
      </c>
    </row>
    <row r="122" spans="5:12" x14ac:dyDescent="0.35">
      <c r="E122" s="2"/>
      <c r="F122" s="2">
        <f>_xlfn.XLOOKUP(D122,TIPOS_CAMBIO!A:A,TIPOS_CAMBIO!B:B,"",0)</f>
        <v>0</v>
      </c>
      <c r="G122" s="3">
        <f t="shared" si="2"/>
        <v>0</v>
      </c>
      <c r="H122" s="3"/>
      <c r="I122" s="3">
        <f ca="1">IFERROR(_xludf.XLOOKUP("Seguro",PARAMETROS_IMPORTACION!$A:$A,PARAMETROS_IMPORTACION!$C:$C,0),0)</f>
        <v>0</v>
      </c>
      <c r="J122" s="3">
        <f ca="1">IFERROR(_xludf.XLOOKUP("Arancel",PARAMETROS_IMPORTACION!$A:$A,PARAMETROS_IMPORTACION!$C:$C,0),0)</f>
        <v>0</v>
      </c>
      <c r="K122" s="2">
        <f ca="1">IFERROR(_xludf.XLOOKUP("Gastos_Aduana",PARAMETROS_IMPORTACION!$A:$A,PARAMETROS_IMPORTACION!$C:$C,0),0)</f>
        <v>0</v>
      </c>
      <c r="L122" s="2">
        <f t="shared" si="3"/>
        <v>0</v>
      </c>
    </row>
    <row r="123" spans="5:12" x14ac:dyDescent="0.35">
      <c r="E123" s="2"/>
      <c r="F123" s="2">
        <f>_xlfn.XLOOKUP(D123,TIPOS_CAMBIO!A:A,TIPOS_CAMBIO!B:B,"",0)</f>
        <v>0</v>
      </c>
      <c r="G123" s="3">
        <f t="shared" si="2"/>
        <v>0</v>
      </c>
      <c r="H123" s="3"/>
      <c r="I123" s="3">
        <f ca="1">IFERROR(_xludf.XLOOKUP("Seguro",PARAMETROS_IMPORTACION!$A:$A,PARAMETROS_IMPORTACION!$C:$C,0),0)</f>
        <v>0</v>
      </c>
      <c r="J123" s="3">
        <f ca="1">IFERROR(_xludf.XLOOKUP("Arancel",PARAMETROS_IMPORTACION!$A:$A,PARAMETROS_IMPORTACION!$C:$C,0),0)</f>
        <v>0</v>
      </c>
      <c r="K123" s="2">
        <f ca="1">IFERROR(_xludf.XLOOKUP("Gastos_Aduana",PARAMETROS_IMPORTACION!$A:$A,PARAMETROS_IMPORTACION!$C:$C,0),0)</f>
        <v>0</v>
      </c>
      <c r="L123" s="2">
        <f t="shared" si="3"/>
        <v>0</v>
      </c>
    </row>
    <row r="124" spans="5:12" x14ac:dyDescent="0.35">
      <c r="E124" s="2"/>
      <c r="F124" s="2">
        <f>_xlfn.XLOOKUP(D124,TIPOS_CAMBIO!A:A,TIPOS_CAMBIO!B:B,"",0)</f>
        <v>0</v>
      </c>
      <c r="G124" s="3">
        <f t="shared" si="2"/>
        <v>0</v>
      </c>
      <c r="H124" s="3"/>
      <c r="I124" s="3">
        <f ca="1">IFERROR(_xludf.XLOOKUP("Seguro",PARAMETROS_IMPORTACION!$A:$A,PARAMETROS_IMPORTACION!$C:$C,0),0)</f>
        <v>0</v>
      </c>
      <c r="J124" s="3">
        <f ca="1">IFERROR(_xludf.XLOOKUP("Arancel",PARAMETROS_IMPORTACION!$A:$A,PARAMETROS_IMPORTACION!$C:$C,0),0)</f>
        <v>0</v>
      </c>
      <c r="K124" s="2">
        <f ca="1">IFERROR(_xludf.XLOOKUP("Gastos_Aduana",PARAMETROS_IMPORTACION!$A:$A,PARAMETROS_IMPORTACION!$C:$C,0),0)</f>
        <v>0</v>
      </c>
      <c r="L124" s="2">
        <f t="shared" si="3"/>
        <v>0</v>
      </c>
    </row>
    <row r="125" spans="5:12" x14ac:dyDescent="0.35">
      <c r="E125" s="2"/>
      <c r="F125" s="2">
        <f>_xlfn.XLOOKUP(D125,TIPOS_CAMBIO!A:A,TIPOS_CAMBIO!B:B,"",0)</f>
        <v>0</v>
      </c>
      <c r="G125" s="3">
        <f t="shared" si="2"/>
        <v>0</v>
      </c>
      <c r="H125" s="3"/>
      <c r="I125" s="3">
        <f ca="1">IFERROR(_xludf.XLOOKUP("Seguro",PARAMETROS_IMPORTACION!$A:$A,PARAMETROS_IMPORTACION!$C:$C,0),0)</f>
        <v>0</v>
      </c>
      <c r="J125" s="3">
        <f ca="1">IFERROR(_xludf.XLOOKUP("Arancel",PARAMETROS_IMPORTACION!$A:$A,PARAMETROS_IMPORTACION!$C:$C,0),0)</f>
        <v>0</v>
      </c>
      <c r="K125" s="2">
        <f ca="1">IFERROR(_xludf.XLOOKUP("Gastos_Aduana",PARAMETROS_IMPORTACION!$A:$A,PARAMETROS_IMPORTACION!$C:$C,0),0)</f>
        <v>0</v>
      </c>
      <c r="L125" s="2">
        <f t="shared" si="3"/>
        <v>0</v>
      </c>
    </row>
    <row r="126" spans="5:12" x14ac:dyDescent="0.35">
      <c r="E126" s="2"/>
      <c r="F126" s="2">
        <f>_xlfn.XLOOKUP(D126,TIPOS_CAMBIO!A:A,TIPOS_CAMBIO!B:B,"",0)</f>
        <v>0</v>
      </c>
      <c r="G126" s="3">
        <f t="shared" si="2"/>
        <v>0</v>
      </c>
      <c r="H126" s="3"/>
      <c r="I126" s="3">
        <f ca="1">IFERROR(_xludf.XLOOKUP("Seguro",PARAMETROS_IMPORTACION!$A:$A,PARAMETROS_IMPORTACION!$C:$C,0),0)</f>
        <v>0</v>
      </c>
      <c r="J126" s="3">
        <f ca="1">IFERROR(_xludf.XLOOKUP("Arancel",PARAMETROS_IMPORTACION!$A:$A,PARAMETROS_IMPORTACION!$C:$C,0),0)</f>
        <v>0</v>
      </c>
      <c r="K126" s="2">
        <f ca="1">IFERROR(_xludf.XLOOKUP("Gastos_Aduana",PARAMETROS_IMPORTACION!$A:$A,PARAMETROS_IMPORTACION!$C:$C,0),0)</f>
        <v>0</v>
      </c>
      <c r="L126" s="2">
        <f t="shared" si="3"/>
        <v>0</v>
      </c>
    </row>
    <row r="127" spans="5:12" x14ac:dyDescent="0.35">
      <c r="E127" s="2"/>
      <c r="F127" s="2">
        <f>_xlfn.XLOOKUP(D127,TIPOS_CAMBIO!A:A,TIPOS_CAMBIO!B:B,"",0)</f>
        <v>0</v>
      </c>
      <c r="G127" s="3">
        <f t="shared" si="2"/>
        <v>0</v>
      </c>
      <c r="H127" s="3"/>
      <c r="I127" s="3">
        <f ca="1">IFERROR(_xludf.XLOOKUP("Seguro",PARAMETROS_IMPORTACION!$A:$A,PARAMETROS_IMPORTACION!$C:$C,0),0)</f>
        <v>0</v>
      </c>
      <c r="J127" s="3">
        <f ca="1">IFERROR(_xludf.XLOOKUP("Arancel",PARAMETROS_IMPORTACION!$A:$A,PARAMETROS_IMPORTACION!$C:$C,0),0)</f>
        <v>0</v>
      </c>
      <c r="K127" s="2">
        <f ca="1">IFERROR(_xludf.XLOOKUP("Gastos_Aduana",PARAMETROS_IMPORTACION!$A:$A,PARAMETROS_IMPORTACION!$C:$C,0),0)</f>
        <v>0</v>
      </c>
      <c r="L127" s="2">
        <f t="shared" si="3"/>
        <v>0</v>
      </c>
    </row>
    <row r="128" spans="5:12" x14ac:dyDescent="0.35">
      <c r="E128" s="2"/>
      <c r="F128" s="2">
        <f>_xlfn.XLOOKUP(D128,TIPOS_CAMBIO!A:A,TIPOS_CAMBIO!B:B,"",0)</f>
        <v>0</v>
      </c>
      <c r="G128" s="3">
        <f t="shared" si="2"/>
        <v>0</v>
      </c>
      <c r="H128" s="3"/>
      <c r="I128" s="3">
        <f ca="1">IFERROR(_xludf.XLOOKUP("Seguro",PARAMETROS_IMPORTACION!$A:$A,PARAMETROS_IMPORTACION!$C:$C,0),0)</f>
        <v>0</v>
      </c>
      <c r="J128" s="3">
        <f ca="1">IFERROR(_xludf.XLOOKUP("Arancel",PARAMETROS_IMPORTACION!$A:$A,PARAMETROS_IMPORTACION!$C:$C,0),0)</f>
        <v>0</v>
      </c>
      <c r="K128" s="2">
        <f ca="1">IFERROR(_xludf.XLOOKUP("Gastos_Aduana",PARAMETROS_IMPORTACION!$A:$A,PARAMETROS_IMPORTACION!$C:$C,0),0)</f>
        <v>0</v>
      </c>
      <c r="L128" s="2">
        <f t="shared" si="3"/>
        <v>0</v>
      </c>
    </row>
    <row r="129" spans="5:12" x14ac:dyDescent="0.35">
      <c r="E129" s="2"/>
      <c r="F129" s="2">
        <f>_xlfn.XLOOKUP(D129,TIPOS_CAMBIO!A:A,TIPOS_CAMBIO!B:B,"",0)</f>
        <v>0</v>
      </c>
      <c r="G129" s="3">
        <f t="shared" si="2"/>
        <v>0</v>
      </c>
      <c r="H129" s="3"/>
      <c r="I129" s="3">
        <f ca="1">IFERROR(_xludf.XLOOKUP("Seguro",PARAMETROS_IMPORTACION!$A:$A,PARAMETROS_IMPORTACION!$C:$C,0),0)</f>
        <v>0</v>
      </c>
      <c r="J129" s="3">
        <f ca="1">IFERROR(_xludf.XLOOKUP("Arancel",PARAMETROS_IMPORTACION!$A:$A,PARAMETROS_IMPORTACION!$C:$C,0),0)</f>
        <v>0</v>
      </c>
      <c r="K129" s="2">
        <f ca="1">IFERROR(_xludf.XLOOKUP("Gastos_Aduana",PARAMETROS_IMPORTACION!$A:$A,PARAMETROS_IMPORTACION!$C:$C,0),0)</f>
        <v>0</v>
      </c>
      <c r="L129" s="2">
        <f t="shared" si="3"/>
        <v>0</v>
      </c>
    </row>
    <row r="130" spans="5:12" x14ac:dyDescent="0.35">
      <c r="E130" s="2"/>
      <c r="F130" s="2">
        <f>_xlfn.XLOOKUP(D130,TIPOS_CAMBIO!A:A,TIPOS_CAMBIO!B:B,"",0)</f>
        <v>0</v>
      </c>
      <c r="G130" s="3">
        <f t="shared" ref="G130:G193" si="4">$E130*$F130</f>
        <v>0</v>
      </c>
      <c r="H130" s="3"/>
      <c r="I130" s="3">
        <f ca="1">IFERROR(_xludf.XLOOKUP("Seguro",PARAMETROS_IMPORTACION!$A:$A,PARAMETROS_IMPORTACION!$C:$C,0),0)</f>
        <v>0</v>
      </c>
      <c r="J130" s="3">
        <f ca="1">IFERROR(_xludf.XLOOKUP("Arancel",PARAMETROS_IMPORTACION!$A:$A,PARAMETROS_IMPORTACION!$C:$C,0),0)</f>
        <v>0</v>
      </c>
      <c r="K130" s="2">
        <f ca="1">IFERROR(_xludf.XLOOKUP("Gastos_Aduana",PARAMETROS_IMPORTACION!$A:$A,PARAMETROS_IMPORTACION!$C:$C,0),0)</f>
        <v>0</v>
      </c>
      <c r="L130" s="2">
        <f t="shared" si="3"/>
        <v>0</v>
      </c>
    </row>
    <row r="131" spans="5:12" x14ac:dyDescent="0.35">
      <c r="E131" s="2"/>
      <c r="F131" s="2">
        <f>_xlfn.XLOOKUP(D131,TIPOS_CAMBIO!A:A,TIPOS_CAMBIO!B:B,"",0)</f>
        <v>0</v>
      </c>
      <c r="G131" s="3">
        <f t="shared" si="4"/>
        <v>0</v>
      </c>
      <c r="H131" s="3"/>
      <c r="I131" s="3">
        <f ca="1">IFERROR(_xludf.XLOOKUP("Seguro",PARAMETROS_IMPORTACION!$A:$A,PARAMETROS_IMPORTACION!$C:$C,0),0)</f>
        <v>0</v>
      </c>
      <c r="J131" s="3">
        <f ca="1">IFERROR(_xludf.XLOOKUP("Arancel",PARAMETROS_IMPORTACION!$A:$A,PARAMETROS_IMPORTACION!$C:$C,0),0)</f>
        <v>0</v>
      </c>
      <c r="K131" s="2">
        <f ca="1">IFERROR(_xludf.XLOOKUP("Gastos_Aduana",PARAMETROS_IMPORTACION!$A:$A,PARAMETROS_IMPORTACION!$C:$C,0),0)</f>
        <v>0</v>
      </c>
      <c r="L131" s="2">
        <f t="shared" ref="L131:L194" si="5">IF($C131="Importado",$G131*(1+$H131+$I131+$J131)+$K131,$G131)</f>
        <v>0</v>
      </c>
    </row>
    <row r="132" spans="5:12" x14ac:dyDescent="0.35">
      <c r="E132" s="2"/>
      <c r="F132" s="2">
        <f>_xlfn.XLOOKUP(D132,TIPOS_CAMBIO!A:A,TIPOS_CAMBIO!B:B,"",0)</f>
        <v>0</v>
      </c>
      <c r="G132" s="3">
        <f t="shared" si="4"/>
        <v>0</v>
      </c>
      <c r="H132" s="3"/>
      <c r="I132" s="3">
        <f ca="1">IFERROR(_xludf.XLOOKUP("Seguro",PARAMETROS_IMPORTACION!$A:$A,PARAMETROS_IMPORTACION!$C:$C,0),0)</f>
        <v>0</v>
      </c>
      <c r="J132" s="3">
        <f ca="1">IFERROR(_xludf.XLOOKUP("Arancel",PARAMETROS_IMPORTACION!$A:$A,PARAMETROS_IMPORTACION!$C:$C,0),0)</f>
        <v>0</v>
      </c>
      <c r="K132" s="2">
        <f ca="1">IFERROR(_xludf.XLOOKUP("Gastos_Aduana",PARAMETROS_IMPORTACION!$A:$A,PARAMETROS_IMPORTACION!$C:$C,0),0)</f>
        <v>0</v>
      </c>
      <c r="L132" s="2">
        <f t="shared" si="5"/>
        <v>0</v>
      </c>
    </row>
    <row r="133" spans="5:12" x14ac:dyDescent="0.35">
      <c r="E133" s="2"/>
      <c r="F133" s="2">
        <f>_xlfn.XLOOKUP(D133,TIPOS_CAMBIO!A:A,TIPOS_CAMBIO!B:B,"",0)</f>
        <v>0</v>
      </c>
      <c r="G133" s="3">
        <f t="shared" si="4"/>
        <v>0</v>
      </c>
      <c r="H133" s="3"/>
      <c r="I133" s="3">
        <f ca="1">IFERROR(_xludf.XLOOKUP("Seguro",PARAMETROS_IMPORTACION!$A:$A,PARAMETROS_IMPORTACION!$C:$C,0),0)</f>
        <v>0</v>
      </c>
      <c r="J133" s="3">
        <f ca="1">IFERROR(_xludf.XLOOKUP("Arancel",PARAMETROS_IMPORTACION!$A:$A,PARAMETROS_IMPORTACION!$C:$C,0),0)</f>
        <v>0</v>
      </c>
      <c r="K133" s="2">
        <f ca="1">IFERROR(_xludf.XLOOKUP("Gastos_Aduana",PARAMETROS_IMPORTACION!$A:$A,PARAMETROS_IMPORTACION!$C:$C,0),0)</f>
        <v>0</v>
      </c>
      <c r="L133" s="2">
        <f t="shared" si="5"/>
        <v>0</v>
      </c>
    </row>
    <row r="134" spans="5:12" x14ac:dyDescent="0.35">
      <c r="E134" s="2"/>
      <c r="F134" s="2">
        <f>_xlfn.XLOOKUP(D134,TIPOS_CAMBIO!A:A,TIPOS_CAMBIO!B:B,"",0)</f>
        <v>0</v>
      </c>
      <c r="G134" s="3">
        <f t="shared" si="4"/>
        <v>0</v>
      </c>
      <c r="H134" s="3"/>
      <c r="I134" s="3">
        <f ca="1">IFERROR(_xludf.XLOOKUP("Seguro",PARAMETROS_IMPORTACION!$A:$A,PARAMETROS_IMPORTACION!$C:$C,0),0)</f>
        <v>0</v>
      </c>
      <c r="J134" s="3">
        <f ca="1">IFERROR(_xludf.XLOOKUP("Arancel",PARAMETROS_IMPORTACION!$A:$A,PARAMETROS_IMPORTACION!$C:$C,0),0)</f>
        <v>0</v>
      </c>
      <c r="K134" s="2">
        <f ca="1">IFERROR(_xludf.XLOOKUP("Gastos_Aduana",PARAMETROS_IMPORTACION!$A:$A,PARAMETROS_IMPORTACION!$C:$C,0),0)</f>
        <v>0</v>
      </c>
      <c r="L134" s="2">
        <f t="shared" si="5"/>
        <v>0</v>
      </c>
    </row>
    <row r="135" spans="5:12" x14ac:dyDescent="0.35">
      <c r="E135" s="2"/>
      <c r="F135" s="2">
        <f>_xlfn.XLOOKUP(D135,TIPOS_CAMBIO!A:A,TIPOS_CAMBIO!B:B,"",0)</f>
        <v>0</v>
      </c>
      <c r="G135" s="3">
        <f t="shared" si="4"/>
        <v>0</v>
      </c>
      <c r="H135" s="3"/>
      <c r="I135" s="3">
        <f ca="1">IFERROR(_xludf.XLOOKUP("Seguro",PARAMETROS_IMPORTACION!$A:$A,PARAMETROS_IMPORTACION!$C:$C,0),0)</f>
        <v>0</v>
      </c>
      <c r="J135" s="3">
        <f ca="1">IFERROR(_xludf.XLOOKUP("Arancel",PARAMETROS_IMPORTACION!$A:$A,PARAMETROS_IMPORTACION!$C:$C,0),0)</f>
        <v>0</v>
      </c>
      <c r="K135" s="2">
        <f ca="1">IFERROR(_xludf.XLOOKUP("Gastos_Aduana",PARAMETROS_IMPORTACION!$A:$A,PARAMETROS_IMPORTACION!$C:$C,0),0)</f>
        <v>0</v>
      </c>
      <c r="L135" s="2">
        <f t="shared" si="5"/>
        <v>0</v>
      </c>
    </row>
    <row r="136" spans="5:12" x14ac:dyDescent="0.35">
      <c r="E136" s="2"/>
      <c r="F136" s="2">
        <f>_xlfn.XLOOKUP(D136,TIPOS_CAMBIO!A:A,TIPOS_CAMBIO!B:B,"",0)</f>
        <v>0</v>
      </c>
      <c r="G136" s="3">
        <f t="shared" si="4"/>
        <v>0</v>
      </c>
      <c r="H136" s="3"/>
      <c r="I136" s="3">
        <f ca="1">IFERROR(_xludf.XLOOKUP("Seguro",PARAMETROS_IMPORTACION!$A:$A,PARAMETROS_IMPORTACION!$C:$C,0),0)</f>
        <v>0</v>
      </c>
      <c r="J136" s="3">
        <f ca="1">IFERROR(_xludf.XLOOKUP("Arancel",PARAMETROS_IMPORTACION!$A:$A,PARAMETROS_IMPORTACION!$C:$C,0),0)</f>
        <v>0</v>
      </c>
      <c r="K136" s="2">
        <f ca="1">IFERROR(_xludf.XLOOKUP("Gastos_Aduana",PARAMETROS_IMPORTACION!$A:$A,PARAMETROS_IMPORTACION!$C:$C,0),0)</f>
        <v>0</v>
      </c>
      <c r="L136" s="2">
        <f t="shared" si="5"/>
        <v>0</v>
      </c>
    </row>
    <row r="137" spans="5:12" x14ac:dyDescent="0.35">
      <c r="E137" s="2"/>
      <c r="F137" s="2">
        <f>_xlfn.XLOOKUP(D137,TIPOS_CAMBIO!A:A,TIPOS_CAMBIO!B:B,"",0)</f>
        <v>0</v>
      </c>
      <c r="G137" s="3">
        <f t="shared" si="4"/>
        <v>0</v>
      </c>
      <c r="H137" s="3"/>
      <c r="I137" s="3">
        <f ca="1">IFERROR(_xludf.XLOOKUP("Seguro",PARAMETROS_IMPORTACION!$A:$A,PARAMETROS_IMPORTACION!$C:$C,0),0)</f>
        <v>0</v>
      </c>
      <c r="J137" s="3">
        <f ca="1">IFERROR(_xludf.XLOOKUP("Arancel",PARAMETROS_IMPORTACION!$A:$A,PARAMETROS_IMPORTACION!$C:$C,0),0)</f>
        <v>0</v>
      </c>
      <c r="K137" s="2">
        <f ca="1">IFERROR(_xludf.XLOOKUP("Gastos_Aduana",PARAMETROS_IMPORTACION!$A:$A,PARAMETROS_IMPORTACION!$C:$C,0),0)</f>
        <v>0</v>
      </c>
      <c r="L137" s="2">
        <f t="shared" si="5"/>
        <v>0</v>
      </c>
    </row>
    <row r="138" spans="5:12" x14ac:dyDescent="0.35">
      <c r="E138" s="2"/>
      <c r="F138" s="2">
        <f>_xlfn.XLOOKUP(D138,TIPOS_CAMBIO!A:A,TIPOS_CAMBIO!B:B,"",0)</f>
        <v>0</v>
      </c>
      <c r="G138" s="3">
        <f t="shared" si="4"/>
        <v>0</v>
      </c>
      <c r="H138" s="3"/>
      <c r="I138" s="3">
        <f ca="1">IFERROR(_xludf.XLOOKUP("Seguro",PARAMETROS_IMPORTACION!$A:$A,PARAMETROS_IMPORTACION!$C:$C,0),0)</f>
        <v>0</v>
      </c>
      <c r="J138" s="3">
        <f ca="1">IFERROR(_xludf.XLOOKUP("Arancel",PARAMETROS_IMPORTACION!$A:$A,PARAMETROS_IMPORTACION!$C:$C,0),0)</f>
        <v>0</v>
      </c>
      <c r="K138" s="2">
        <f ca="1">IFERROR(_xludf.XLOOKUP("Gastos_Aduana",PARAMETROS_IMPORTACION!$A:$A,PARAMETROS_IMPORTACION!$C:$C,0),0)</f>
        <v>0</v>
      </c>
      <c r="L138" s="2">
        <f t="shared" si="5"/>
        <v>0</v>
      </c>
    </row>
    <row r="139" spans="5:12" x14ac:dyDescent="0.35">
      <c r="E139" s="2"/>
      <c r="F139" s="2">
        <f>_xlfn.XLOOKUP(D139,TIPOS_CAMBIO!A:A,TIPOS_CAMBIO!B:B,"",0)</f>
        <v>0</v>
      </c>
      <c r="G139" s="3">
        <f t="shared" si="4"/>
        <v>0</v>
      </c>
      <c r="H139" s="3"/>
      <c r="I139" s="3">
        <f ca="1">IFERROR(_xludf.XLOOKUP("Seguro",PARAMETROS_IMPORTACION!$A:$A,PARAMETROS_IMPORTACION!$C:$C,0),0)</f>
        <v>0</v>
      </c>
      <c r="J139" s="3">
        <f ca="1">IFERROR(_xludf.XLOOKUP("Arancel",PARAMETROS_IMPORTACION!$A:$A,PARAMETROS_IMPORTACION!$C:$C,0),0)</f>
        <v>0</v>
      </c>
      <c r="K139" s="2">
        <f ca="1">IFERROR(_xludf.XLOOKUP("Gastos_Aduana",PARAMETROS_IMPORTACION!$A:$A,PARAMETROS_IMPORTACION!$C:$C,0),0)</f>
        <v>0</v>
      </c>
      <c r="L139" s="2">
        <f t="shared" si="5"/>
        <v>0</v>
      </c>
    </row>
    <row r="140" spans="5:12" x14ac:dyDescent="0.35">
      <c r="E140" s="2"/>
      <c r="F140" s="2">
        <f>_xlfn.XLOOKUP(D140,TIPOS_CAMBIO!A:A,TIPOS_CAMBIO!B:B,"",0)</f>
        <v>0</v>
      </c>
      <c r="G140" s="3">
        <f t="shared" si="4"/>
        <v>0</v>
      </c>
      <c r="H140" s="3"/>
      <c r="I140" s="3">
        <f ca="1">IFERROR(_xludf.XLOOKUP("Seguro",PARAMETROS_IMPORTACION!$A:$A,PARAMETROS_IMPORTACION!$C:$C,0),0)</f>
        <v>0</v>
      </c>
      <c r="J140" s="3">
        <f ca="1">IFERROR(_xludf.XLOOKUP("Arancel",PARAMETROS_IMPORTACION!$A:$A,PARAMETROS_IMPORTACION!$C:$C,0),0)</f>
        <v>0</v>
      </c>
      <c r="K140" s="2">
        <f ca="1">IFERROR(_xludf.XLOOKUP("Gastos_Aduana",PARAMETROS_IMPORTACION!$A:$A,PARAMETROS_IMPORTACION!$C:$C,0),0)</f>
        <v>0</v>
      </c>
      <c r="L140" s="2">
        <f t="shared" si="5"/>
        <v>0</v>
      </c>
    </row>
    <row r="141" spans="5:12" x14ac:dyDescent="0.35">
      <c r="E141" s="2"/>
      <c r="F141" s="2">
        <f>_xlfn.XLOOKUP(D141,TIPOS_CAMBIO!A:A,TIPOS_CAMBIO!B:B,"",0)</f>
        <v>0</v>
      </c>
      <c r="G141" s="3">
        <f t="shared" si="4"/>
        <v>0</v>
      </c>
      <c r="H141" s="3"/>
      <c r="I141" s="3">
        <f ca="1">IFERROR(_xludf.XLOOKUP("Seguro",PARAMETROS_IMPORTACION!$A:$A,PARAMETROS_IMPORTACION!$C:$C,0),0)</f>
        <v>0</v>
      </c>
      <c r="J141" s="3">
        <f ca="1">IFERROR(_xludf.XLOOKUP("Arancel",PARAMETROS_IMPORTACION!$A:$A,PARAMETROS_IMPORTACION!$C:$C,0),0)</f>
        <v>0</v>
      </c>
      <c r="K141" s="2">
        <f ca="1">IFERROR(_xludf.XLOOKUP("Gastos_Aduana",PARAMETROS_IMPORTACION!$A:$A,PARAMETROS_IMPORTACION!$C:$C,0),0)</f>
        <v>0</v>
      </c>
      <c r="L141" s="2">
        <f t="shared" si="5"/>
        <v>0</v>
      </c>
    </row>
    <row r="142" spans="5:12" x14ac:dyDescent="0.35">
      <c r="E142" s="2"/>
      <c r="F142" s="2">
        <f>_xlfn.XLOOKUP(D142,TIPOS_CAMBIO!A:A,TIPOS_CAMBIO!B:B,"",0)</f>
        <v>0</v>
      </c>
      <c r="G142" s="3">
        <f t="shared" si="4"/>
        <v>0</v>
      </c>
      <c r="H142" s="3"/>
      <c r="I142" s="3">
        <f ca="1">IFERROR(_xludf.XLOOKUP("Seguro",PARAMETROS_IMPORTACION!$A:$A,PARAMETROS_IMPORTACION!$C:$C,0),0)</f>
        <v>0</v>
      </c>
      <c r="J142" s="3">
        <f ca="1">IFERROR(_xludf.XLOOKUP("Arancel",PARAMETROS_IMPORTACION!$A:$A,PARAMETROS_IMPORTACION!$C:$C,0),0)</f>
        <v>0</v>
      </c>
      <c r="K142" s="2">
        <f ca="1">IFERROR(_xludf.XLOOKUP("Gastos_Aduana",PARAMETROS_IMPORTACION!$A:$A,PARAMETROS_IMPORTACION!$C:$C,0),0)</f>
        <v>0</v>
      </c>
      <c r="L142" s="2">
        <f t="shared" si="5"/>
        <v>0</v>
      </c>
    </row>
    <row r="143" spans="5:12" x14ac:dyDescent="0.35">
      <c r="E143" s="2"/>
      <c r="F143" s="2">
        <f>_xlfn.XLOOKUP(D143,TIPOS_CAMBIO!A:A,TIPOS_CAMBIO!B:B,"",0)</f>
        <v>0</v>
      </c>
      <c r="G143" s="3">
        <f t="shared" si="4"/>
        <v>0</v>
      </c>
      <c r="H143" s="3"/>
      <c r="I143" s="3">
        <f ca="1">IFERROR(_xludf.XLOOKUP("Seguro",PARAMETROS_IMPORTACION!$A:$A,PARAMETROS_IMPORTACION!$C:$C,0),0)</f>
        <v>0</v>
      </c>
      <c r="J143" s="3">
        <f ca="1">IFERROR(_xludf.XLOOKUP("Arancel",PARAMETROS_IMPORTACION!$A:$A,PARAMETROS_IMPORTACION!$C:$C,0),0)</f>
        <v>0</v>
      </c>
      <c r="K143" s="2">
        <f ca="1">IFERROR(_xludf.XLOOKUP("Gastos_Aduana",PARAMETROS_IMPORTACION!$A:$A,PARAMETROS_IMPORTACION!$C:$C,0),0)</f>
        <v>0</v>
      </c>
      <c r="L143" s="2">
        <f t="shared" si="5"/>
        <v>0</v>
      </c>
    </row>
    <row r="144" spans="5:12" x14ac:dyDescent="0.35">
      <c r="E144" s="2"/>
      <c r="F144" s="2">
        <f>_xlfn.XLOOKUP(D144,TIPOS_CAMBIO!A:A,TIPOS_CAMBIO!B:B,"",0)</f>
        <v>0</v>
      </c>
      <c r="G144" s="3">
        <f t="shared" si="4"/>
        <v>0</v>
      </c>
      <c r="H144" s="3"/>
      <c r="I144" s="3">
        <f ca="1">IFERROR(_xludf.XLOOKUP("Seguro",PARAMETROS_IMPORTACION!$A:$A,PARAMETROS_IMPORTACION!$C:$C,0),0)</f>
        <v>0</v>
      </c>
      <c r="J144" s="3">
        <f ca="1">IFERROR(_xludf.XLOOKUP("Arancel",PARAMETROS_IMPORTACION!$A:$A,PARAMETROS_IMPORTACION!$C:$C,0),0)</f>
        <v>0</v>
      </c>
      <c r="K144" s="2">
        <f ca="1">IFERROR(_xludf.XLOOKUP("Gastos_Aduana",PARAMETROS_IMPORTACION!$A:$A,PARAMETROS_IMPORTACION!$C:$C,0),0)</f>
        <v>0</v>
      </c>
      <c r="L144" s="2">
        <f t="shared" si="5"/>
        <v>0</v>
      </c>
    </row>
    <row r="145" spans="5:12" x14ac:dyDescent="0.35">
      <c r="E145" s="2"/>
      <c r="F145" s="2">
        <f>_xlfn.XLOOKUP(D145,TIPOS_CAMBIO!A:A,TIPOS_CAMBIO!B:B,"",0)</f>
        <v>0</v>
      </c>
      <c r="G145" s="3">
        <f t="shared" si="4"/>
        <v>0</v>
      </c>
      <c r="H145" s="3"/>
      <c r="I145" s="3">
        <f ca="1">IFERROR(_xludf.XLOOKUP("Seguro",PARAMETROS_IMPORTACION!$A:$A,PARAMETROS_IMPORTACION!$C:$C,0),0)</f>
        <v>0</v>
      </c>
      <c r="J145" s="3">
        <f ca="1">IFERROR(_xludf.XLOOKUP("Arancel",PARAMETROS_IMPORTACION!$A:$A,PARAMETROS_IMPORTACION!$C:$C,0),0)</f>
        <v>0</v>
      </c>
      <c r="K145" s="2">
        <f ca="1">IFERROR(_xludf.XLOOKUP("Gastos_Aduana",PARAMETROS_IMPORTACION!$A:$A,PARAMETROS_IMPORTACION!$C:$C,0),0)</f>
        <v>0</v>
      </c>
      <c r="L145" s="2">
        <f t="shared" si="5"/>
        <v>0</v>
      </c>
    </row>
    <row r="146" spans="5:12" x14ac:dyDescent="0.35">
      <c r="E146" s="2"/>
      <c r="F146" s="2">
        <f>_xlfn.XLOOKUP(D146,TIPOS_CAMBIO!A:A,TIPOS_CAMBIO!B:B,"",0)</f>
        <v>0</v>
      </c>
      <c r="G146" s="3">
        <f t="shared" si="4"/>
        <v>0</v>
      </c>
      <c r="H146" s="3"/>
      <c r="I146" s="3">
        <f ca="1">IFERROR(_xludf.XLOOKUP("Seguro",PARAMETROS_IMPORTACION!$A:$A,PARAMETROS_IMPORTACION!$C:$C,0),0)</f>
        <v>0</v>
      </c>
      <c r="J146" s="3">
        <f ca="1">IFERROR(_xludf.XLOOKUP("Arancel",PARAMETROS_IMPORTACION!$A:$A,PARAMETROS_IMPORTACION!$C:$C,0),0)</f>
        <v>0</v>
      </c>
      <c r="K146" s="2">
        <f ca="1">IFERROR(_xludf.XLOOKUP("Gastos_Aduana",PARAMETROS_IMPORTACION!$A:$A,PARAMETROS_IMPORTACION!$C:$C,0),0)</f>
        <v>0</v>
      </c>
      <c r="L146" s="2">
        <f t="shared" si="5"/>
        <v>0</v>
      </c>
    </row>
    <row r="147" spans="5:12" x14ac:dyDescent="0.35">
      <c r="E147" s="2"/>
      <c r="F147" s="2">
        <f>_xlfn.XLOOKUP(D147,TIPOS_CAMBIO!A:A,TIPOS_CAMBIO!B:B,"",0)</f>
        <v>0</v>
      </c>
      <c r="G147" s="3">
        <f t="shared" si="4"/>
        <v>0</v>
      </c>
      <c r="H147" s="3"/>
      <c r="I147" s="3">
        <f ca="1">IFERROR(_xludf.XLOOKUP("Seguro",PARAMETROS_IMPORTACION!$A:$A,PARAMETROS_IMPORTACION!$C:$C,0),0)</f>
        <v>0</v>
      </c>
      <c r="J147" s="3">
        <f ca="1">IFERROR(_xludf.XLOOKUP("Arancel",PARAMETROS_IMPORTACION!$A:$A,PARAMETROS_IMPORTACION!$C:$C,0),0)</f>
        <v>0</v>
      </c>
      <c r="K147" s="2">
        <f ca="1">IFERROR(_xludf.XLOOKUP("Gastos_Aduana",PARAMETROS_IMPORTACION!$A:$A,PARAMETROS_IMPORTACION!$C:$C,0),0)</f>
        <v>0</v>
      </c>
      <c r="L147" s="2">
        <f t="shared" si="5"/>
        <v>0</v>
      </c>
    </row>
    <row r="148" spans="5:12" x14ac:dyDescent="0.35">
      <c r="E148" s="2"/>
      <c r="F148" s="2">
        <f>_xlfn.XLOOKUP(D148,TIPOS_CAMBIO!A:A,TIPOS_CAMBIO!B:B,"",0)</f>
        <v>0</v>
      </c>
      <c r="G148" s="3">
        <f t="shared" si="4"/>
        <v>0</v>
      </c>
      <c r="H148" s="3"/>
      <c r="I148" s="3">
        <f ca="1">IFERROR(_xludf.XLOOKUP("Seguro",PARAMETROS_IMPORTACION!$A:$A,PARAMETROS_IMPORTACION!$C:$C,0),0)</f>
        <v>0</v>
      </c>
      <c r="J148" s="3">
        <f ca="1">IFERROR(_xludf.XLOOKUP("Arancel",PARAMETROS_IMPORTACION!$A:$A,PARAMETROS_IMPORTACION!$C:$C,0),0)</f>
        <v>0</v>
      </c>
      <c r="K148" s="2">
        <f ca="1">IFERROR(_xludf.XLOOKUP("Gastos_Aduana",PARAMETROS_IMPORTACION!$A:$A,PARAMETROS_IMPORTACION!$C:$C,0),0)</f>
        <v>0</v>
      </c>
      <c r="L148" s="2">
        <f t="shared" si="5"/>
        <v>0</v>
      </c>
    </row>
    <row r="149" spans="5:12" x14ac:dyDescent="0.35">
      <c r="E149" s="2"/>
      <c r="F149" s="2">
        <f>_xlfn.XLOOKUP(D149,TIPOS_CAMBIO!A:A,TIPOS_CAMBIO!B:B,"",0)</f>
        <v>0</v>
      </c>
      <c r="G149" s="3">
        <f t="shared" si="4"/>
        <v>0</v>
      </c>
      <c r="H149" s="3"/>
      <c r="I149" s="3">
        <f ca="1">IFERROR(_xludf.XLOOKUP("Seguro",PARAMETROS_IMPORTACION!$A:$A,PARAMETROS_IMPORTACION!$C:$C,0),0)</f>
        <v>0</v>
      </c>
      <c r="J149" s="3">
        <f ca="1">IFERROR(_xludf.XLOOKUP("Arancel",PARAMETROS_IMPORTACION!$A:$A,PARAMETROS_IMPORTACION!$C:$C,0),0)</f>
        <v>0</v>
      </c>
      <c r="K149" s="2">
        <f ca="1">IFERROR(_xludf.XLOOKUP("Gastos_Aduana",PARAMETROS_IMPORTACION!$A:$A,PARAMETROS_IMPORTACION!$C:$C,0),0)</f>
        <v>0</v>
      </c>
      <c r="L149" s="2">
        <f t="shared" si="5"/>
        <v>0</v>
      </c>
    </row>
    <row r="150" spans="5:12" x14ac:dyDescent="0.35">
      <c r="E150" s="2"/>
      <c r="F150" s="2">
        <f>_xlfn.XLOOKUP(D150,TIPOS_CAMBIO!A:A,TIPOS_CAMBIO!B:B,"",0)</f>
        <v>0</v>
      </c>
      <c r="G150" s="3">
        <f t="shared" si="4"/>
        <v>0</v>
      </c>
      <c r="H150" s="3"/>
      <c r="I150" s="3">
        <f ca="1">IFERROR(_xludf.XLOOKUP("Seguro",PARAMETROS_IMPORTACION!$A:$A,PARAMETROS_IMPORTACION!$C:$C,0),0)</f>
        <v>0</v>
      </c>
      <c r="J150" s="3">
        <f ca="1">IFERROR(_xludf.XLOOKUP("Arancel",PARAMETROS_IMPORTACION!$A:$A,PARAMETROS_IMPORTACION!$C:$C,0),0)</f>
        <v>0</v>
      </c>
      <c r="K150" s="2">
        <f ca="1">IFERROR(_xludf.XLOOKUP("Gastos_Aduana",PARAMETROS_IMPORTACION!$A:$A,PARAMETROS_IMPORTACION!$C:$C,0),0)</f>
        <v>0</v>
      </c>
      <c r="L150" s="2">
        <f t="shared" si="5"/>
        <v>0</v>
      </c>
    </row>
    <row r="151" spans="5:12" x14ac:dyDescent="0.35">
      <c r="E151" s="2"/>
      <c r="F151" s="2">
        <f>_xlfn.XLOOKUP(D151,TIPOS_CAMBIO!A:A,TIPOS_CAMBIO!B:B,"",0)</f>
        <v>0</v>
      </c>
      <c r="G151" s="3">
        <f t="shared" si="4"/>
        <v>0</v>
      </c>
      <c r="H151" s="3"/>
      <c r="I151" s="3">
        <f ca="1">IFERROR(_xludf.XLOOKUP("Seguro",PARAMETROS_IMPORTACION!$A:$A,PARAMETROS_IMPORTACION!$C:$C,0),0)</f>
        <v>0</v>
      </c>
      <c r="J151" s="3">
        <f ca="1">IFERROR(_xludf.XLOOKUP("Arancel",PARAMETROS_IMPORTACION!$A:$A,PARAMETROS_IMPORTACION!$C:$C,0),0)</f>
        <v>0</v>
      </c>
      <c r="K151" s="2">
        <f ca="1">IFERROR(_xludf.XLOOKUP("Gastos_Aduana",PARAMETROS_IMPORTACION!$A:$A,PARAMETROS_IMPORTACION!$C:$C,0),0)</f>
        <v>0</v>
      </c>
      <c r="L151" s="2">
        <f t="shared" si="5"/>
        <v>0</v>
      </c>
    </row>
    <row r="152" spans="5:12" x14ac:dyDescent="0.35">
      <c r="E152" s="2"/>
      <c r="F152" s="2">
        <f>_xlfn.XLOOKUP(D152,TIPOS_CAMBIO!A:A,TIPOS_CAMBIO!B:B,"",0)</f>
        <v>0</v>
      </c>
      <c r="G152" s="3">
        <f t="shared" si="4"/>
        <v>0</v>
      </c>
      <c r="H152" s="3"/>
      <c r="I152" s="3">
        <f ca="1">IFERROR(_xludf.XLOOKUP("Seguro",PARAMETROS_IMPORTACION!$A:$A,PARAMETROS_IMPORTACION!$C:$C,0),0)</f>
        <v>0</v>
      </c>
      <c r="J152" s="3">
        <f ca="1">IFERROR(_xludf.XLOOKUP("Arancel",PARAMETROS_IMPORTACION!$A:$A,PARAMETROS_IMPORTACION!$C:$C,0),0)</f>
        <v>0</v>
      </c>
      <c r="K152" s="2">
        <f ca="1">IFERROR(_xludf.XLOOKUP("Gastos_Aduana",PARAMETROS_IMPORTACION!$A:$A,PARAMETROS_IMPORTACION!$C:$C,0),0)</f>
        <v>0</v>
      </c>
      <c r="L152" s="2">
        <f t="shared" si="5"/>
        <v>0</v>
      </c>
    </row>
    <row r="153" spans="5:12" x14ac:dyDescent="0.35">
      <c r="E153" s="2"/>
      <c r="F153" s="2">
        <f>_xlfn.XLOOKUP(D153,TIPOS_CAMBIO!A:A,TIPOS_CAMBIO!B:B,"",0)</f>
        <v>0</v>
      </c>
      <c r="G153" s="3">
        <f t="shared" si="4"/>
        <v>0</v>
      </c>
      <c r="H153" s="3"/>
      <c r="I153" s="3">
        <f ca="1">IFERROR(_xludf.XLOOKUP("Seguro",PARAMETROS_IMPORTACION!$A:$A,PARAMETROS_IMPORTACION!$C:$C,0),0)</f>
        <v>0</v>
      </c>
      <c r="J153" s="3">
        <f ca="1">IFERROR(_xludf.XLOOKUP("Arancel",PARAMETROS_IMPORTACION!$A:$A,PARAMETROS_IMPORTACION!$C:$C,0),0)</f>
        <v>0</v>
      </c>
      <c r="K153" s="2">
        <f ca="1">IFERROR(_xludf.XLOOKUP("Gastos_Aduana",PARAMETROS_IMPORTACION!$A:$A,PARAMETROS_IMPORTACION!$C:$C,0),0)</f>
        <v>0</v>
      </c>
      <c r="L153" s="2">
        <f t="shared" si="5"/>
        <v>0</v>
      </c>
    </row>
    <row r="154" spans="5:12" x14ac:dyDescent="0.35">
      <c r="E154" s="2"/>
      <c r="F154" s="2">
        <f>_xlfn.XLOOKUP(D154,TIPOS_CAMBIO!A:A,TIPOS_CAMBIO!B:B,"",0)</f>
        <v>0</v>
      </c>
      <c r="G154" s="3">
        <f t="shared" si="4"/>
        <v>0</v>
      </c>
      <c r="H154" s="3"/>
      <c r="I154" s="3">
        <f ca="1">IFERROR(_xludf.XLOOKUP("Seguro",PARAMETROS_IMPORTACION!$A:$A,PARAMETROS_IMPORTACION!$C:$C,0),0)</f>
        <v>0</v>
      </c>
      <c r="J154" s="3">
        <f ca="1">IFERROR(_xludf.XLOOKUP("Arancel",PARAMETROS_IMPORTACION!$A:$A,PARAMETROS_IMPORTACION!$C:$C,0),0)</f>
        <v>0</v>
      </c>
      <c r="K154" s="2">
        <f ca="1">IFERROR(_xludf.XLOOKUP("Gastos_Aduana",PARAMETROS_IMPORTACION!$A:$A,PARAMETROS_IMPORTACION!$C:$C,0),0)</f>
        <v>0</v>
      </c>
      <c r="L154" s="2">
        <f t="shared" si="5"/>
        <v>0</v>
      </c>
    </row>
    <row r="155" spans="5:12" x14ac:dyDescent="0.35">
      <c r="E155" s="2"/>
      <c r="F155" s="2">
        <f>_xlfn.XLOOKUP(D155,TIPOS_CAMBIO!A:A,TIPOS_CAMBIO!B:B,"",0)</f>
        <v>0</v>
      </c>
      <c r="G155" s="3">
        <f t="shared" si="4"/>
        <v>0</v>
      </c>
      <c r="H155" s="3"/>
      <c r="I155" s="3">
        <f ca="1">IFERROR(_xludf.XLOOKUP("Seguro",PARAMETROS_IMPORTACION!$A:$A,PARAMETROS_IMPORTACION!$C:$C,0),0)</f>
        <v>0</v>
      </c>
      <c r="J155" s="3">
        <f ca="1">IFERROR(_xludf.XLOOKUP("Arancel",PARAMETROS_IMPORTACION!$A:$A,PARAMETROS_IMPORTACION!$C:$C,0),0)</f>
        <v>0</v>
      </c>
      <c r="K155" s="2">
        <f ca="1">IFERROR(_xludf.XLOOKUP("Gastos_Aduana",PARAMETROS_IMPORTACION!$A:$A,PARAMETROS_IMPORTACION!$C:$C,0),0)</f>
        <v>0</v>
      </c>
      <c r="L155" s="2">
        <f t="shared" si="5"/>
        <v>0</v>
      </c>
    </row>
    <row r="156" spans="5:12" x14ac:dyDescent="0.35">
      <c r="E156" s="2"/>
      <c r="F156" s="2">
        <f>_xlfn.XLOOKUP(D156,TIPOS_CAMBIO!A:A,TIPOS_CAMBIO!B:B,"",0)</f>
        <v>0</v>
      </c>
      <c r="G156" s="3">
        <f t="shared" si="4"/>
        <v>0</v>
      </c>
      <c r="H156" s="3"/>
      <c r="I156" s="3">
        <f ca="1">IFERROR(_xludf.XLOOKUP("Seguro",PARAMETROS_IMPORTACION!$A:$A,PARAMETROS_IMPORTACION!$C:$C,0),0)</f>
        <v>0</v>
      </c>
      <c r="J156" s="3">
        <f ca="1">IFERROR(_xludf.XLOOKUP("Arancel",PARAMETROS_IMPORTACION!$A:$A,PARAMETROS_IMPORTACION!$C:$C,0),0)</f>
        <v>0</v>
      </c>
      <c r="K156" s="2">
        <f ca="1">IFERROR(_xludf.XLOOKUP("Gastos_Aduana",PARAMETROS_IMPORTACION!$A:$A,PARAMETROS_IMPORTACION!$C:$C,0),0)</f>
        <v>0</v>
      </c>
      <c r="L156" s="2">
        <f t="shared" si="5"/>
        <v>0</v>
      </c>
    </row>
    <row r="157" spans="5:12" x14ac:dyDescent="0.35">
      <c r="E157" s="2"/>
      <c r="F157" s="2">
        <f>_xlfn.XLOOKUP(D157,TIPOS_CAMBIO!A:A,TIPOS_CAMBIO!B:B,"",0)</f>
        <v>0</v>
      </c>
      <c r="G157" s="3">
        <f t="shared" si="4"/>
        <v>0</v>
      </c>
      <c r="H157" s="3"/>
      <c r="I157" s="3">
        <f ca="1">IFERROR(_xludf.XLOOKUP("Seguro",PARAMETROS_IMPORTACION!$A:$A,PARAMETROS_IMPORTACION!$C:$C,0),0)</f>
        <v>0</v>
      </c>
      <c r="J157" s="3">
        <f ca="1">IFERROR(_xludf.XLOOKUP("Arancel",PARAMETROS_IMPORTACION!$A:$A,PARAMETROS_IMPORTACION!$C:$C,0),0)</f>
        <v>0</v>
      </c>
      <c r="K157" s="2">
        <f ca="1">IFERROR(_xludf.XLOOKUP("Gastos_Aduana",PARAMETROS_IMPORTACION!$A:$A,PARAMETROS_IMPORTACION!$C:$C,0),0)</f>
        <v>0</v>
      </c>
      <c r="L157" s="2">
        <f t="shared" si="5"/>
        <v>0</v>
      </c>
    </row>
    <row r="158" spans="5:12" x14ac:dyDescent="0.35">
      <c r="E158" s="2"/>
      <c r="F158" s="2">
        <f>_xlfn.XLOOKUP(D158,TIPOS_CAMBIO!A:A,TIPOS_CAMBIO!B:B,"",0)</f>
        <v>0</v>
      </c>
      <c r="G158" s="3">
        <f t="shared" si="4"/>
        <v>0</v>
      </c>
      <c r="H158" s="3"/>
      <c r="I158" s="3">
        <f ca="1">IFERROR(_xludf.XLOOKUP("Seguro",PARAMETROS_IMPORTACION!$A:$A,PARAMETROS_IMPORTACION!$C:$C,0),0)</f>
        <v>0</v>
      </c>
      <c r="J158" s="3">
        <f ca="1">IFERROR(_xludf.XLOOKUP("Arancel",PARAMETROS_IMPORTACION!$A:$A,PARAMETROS_IMPORTACION!$C:$C,0),0)</f>
        <v>0</v>
      </c>
      <c r="K158" s="2">
        <f ca="1">IFERROR(_xludf.XLOOKUP("Gastos_Aduana",PARAMETROS_IMPORTACION!$A:$A,PARAMETROS_IMPORTACION!$C:$C,0),0)</f>
        <v>0</v>
      </c>
      <c r="L158" s="2">
        <f t="shared" si="5"/>
        <v>0</v>
      </c>
    </row>
    <row r="159" spans="5:12" x14ac:dyDescent="0.35">
      <c r="E159" s="2"/>
      <c r="F159" s="2">
        <f>_xlfn.XLOOKUP(D159,TIPOS_CAMBIO!A:A,TIPOS_CAMBIO!B:B,"",0)</f>
        <v>0</v>
      </c>
      <c r="G159" s="3">
        <f t="shared" si="4"/>
        <v>0</v>
      </c>
      <c r="H159" s="3"/>
      <c r="I159" s="3">
        <f ca="1">IFERROR(_xludf.XLOOKUP("Seguro",PARAMETROS_IMPORTACION!$A:$A,PARAMETROS_IMPORTACION!$C:$C,0),0)</f>
        <v>0</v>
      </c>
      <c r="J159" s="3">
        <f ca="1">IFERROR(_xludf.XLOOKUP("Arancel",PARAMETROS_IMPORTACION!$A:$A,PARAMETROS_IMPORTACION!$C:$C,0),0)</f>
        <v>0</v>
      </c>
      <c r="K159" s="2">
        <f ca="1">IFERROR(_xludf.XLOOKUP("Gastos_Aduana",PARAMETROS_IMPORTACION!$A:$A,PARAMETROS_IMPORTACION!$C:$C,0),0)</f>
        <v>0</v>
      </c>
      <c r="L159" s="2">
        <f t="shared" si="5"/>
        <v>0</v>
      </c>
    </row>
    <row r="160" spans="5:12" x14ac:dyDescent="0.35">
      <c r="E160" s="2"/>
      <c r="F160" s="2">
        <f>_xlfn.XLOOKUP(D160,TIPOS_CAMBIO!A:A,TIPOS_CAMBIO!B:B,"",0)</f>
        <v>0</v>
      </c>
      <c r="G160" s="3">
        <f t="shared" si="4"/>
        <v>0</v>
      </c>
      <c r="H160" s="3"/>
      <c r="I160" s="3">
        <f ca="1">IFERROR(_xludf.XLOOKUP("Seguro",PARAMETROS_IMPORTACION!$A:$A,PARAMETROS_IMPORTACION!$C:$C,0),0)</f>
        <v>0</v>
      </c>
      <c r="J160" s="3">
        <f ca="1">IFERROR(_xludf.XLOOKUP("Arancel",PARAMETROS_IMPORTACION!$A:$A,PARAMETROS_IMPORTACION!$C:$C,0),0)</f>
        <v>0</v>
      </c>
      <c r="K160" s="2">
        <f ca="1">IFERROR(_xludf.XLOOKUP("Gastos_Aduana",PARAMETROS_IMPORTACION!$A:$A,PARAMETROS_IMPORTACION!$C:$C,0),0)</f>
        <v>0</v>
      </c>
      <c r="L160" s="2">
        <f t="shared" si="5"/>
        <v>0</v>
      </c>
    </row>
    <row r="161" spans="5:12" x14ac:dyDescent="0.35">
      <c r="E161" s="2"/>
      <c r="F161" s="2">
        <f>_xlfn.XLOOKUP(D161,TIPOS_CAMBIO!A:A,TIPOS_CAMBIO!B:B,"",0)</f>
        <v>0</v>
      </c>
      <c r="G161" s="3">
        <f t="shared" si="4"/>
        <v>0</v>
      </c>
      <c r="H161" s="3"/>
      <c r="I161" s="3">
        <f ca="1">IFERROR(_xludf.XLOOKUP("Seguro",PARAMETROS_IMPORTACION!$A:$A,PARAMETROS_IMPORTACION!$C:$C,0),0)</f>
        <v>0</v>
      </c>
      <c r="J161" s="3">
        <f ca="1">IFERROR(_xludf.XLOOKUP("Arancel",PARAMETROS_IMPORTACION!$A:$A,PARAMETROS_IMPORTACION!$C:$C,0),0)</f>
        <v>0</v>
      </c>
      <c r="K161" s="2">
        <f ca="1">IFERROR(_xludf.XLOOKUP("Gastos_Aduana",PARAMETROS_IMPORTACION!$A:$A,PARAMETROS_IMPORTACION!$C:$C,0),0)</f>
        <v>0</v>
      </c>
      <c r="L161" s="2">
        <f t="shared" si="5"/>
        <v>0</v>
      </c>
    </row>
    <row r="162" spans="5:12" x14ac:dyDescent="0.35">
      <c r="E162" s="2"/>
      <c r="F162" s="2">
        <f>_xlfn.XLOOKUP(D162,TIPOS_CAMBIO!A:A,TIPOS_CAMBIO!B:B,"",0)</f>
        <v>0</v>
      </c>
      <c r="G162" s="3">
        <f t="shared" si="4"/>
        <v>0</v>
      </c>
      <c r="H162" s="3"/>
      <c r="I162" s="3">
        <f ca="1">IFERROR(_xludf.XLOOKUP("Seguro",PARAMETROS_IMPORTACION!$A:$A,PARAMETROS_IMPORTACION!$C:$C,0),0)</f>
        <v>0</v>
      </c>
      <c r="J162" s="3">
        <f ca="1">IFERROR(_xludf.XLOOKUP("Arancel",PARAMETROS_IMPORTACION!$A:$A,PARAMETROS_IMPORTACION!$C:$C,0),0)</f>
        <v>0</v>
      </c>
      <c r="K162" s="2">
        <f ca="1">IFERROR(_xludf.XLOOKUP("Gastos_Aduana",PARAMETROS_IMPORTACION!$A:$A,PARAMETROS_IMPORTACION!$C:$C,0),0)</f>
        <v>0</v>
      </c>
      <c r="L162" s="2">
        <f t="shared" si="5"/>
        <v>0</v>
      </c>
    </row>
    <row r="163" spans="5:12" x14ac:dyDescent="0.35">
      <c r="E163" s="2"/>
      <c r="F163" s="2">
        <f>_xlfn.XLOOKUP(D163,TIPOS_CAMBIO!A:A,TIPOS_CAMBIO!B:B,"",0)</f>
        <v>0</v>
      </c>
      <c r="G163" s="3">
        <f t="shared" si="4"/>
        <v>0</v>
      </c>
      <c r="H163" s="3"/>
      <c r="I163" s="3">
        <f ca="1">IFERROR(_xludf.XLOOKUP("Seguro",PARAMETROS_IMPORTACION!$A:$A,PARAMETROS_IMPORTACION!$C:$C,0),0)</f>
        <v>0</v>
      </c>
      <c r="J163" s="3">
        <f ca="1">IFERROR(_xludf.XLOOKUP("Arancel",PARAMETROS_IMPORTACION!$A:$A,PARAMETROS_IMPORTACION!$C:$C,0),0)</f>
        <v>0</v>
      </c>
      <c r="K163" s="2">
        <f ca="1">IFERROR(_xludf.XLOOKUP("Gastos_Aduana",PARAMETROS_IMPORTACION!$A:$A,PARAMETROS_IMPORTACION!$C:$C,0),0)</f>
        <v>0</v>
      </c>
      <c r="L163" s="2">
        <f t="shared" si="5"/>
        <v>0</v>
      </c>
    </row>
    <row r="164" spans="5:12" x14ac:dyDescent="0.35">
      <c r="E164" s="2"/>
      <c r="F164" s="2">
        <f>_xlfn.XLOOKUP(D164,TIPOS_CAMBIO!A:A,TIPOS_CAMBIO!B:B,"",0)</f>
        <v>0</v>
      </c>
      <c r="G164" s="3">
        <f t="shared" si="4"/>
        <v>0</v>
      </c>
      <c r="H164" s="3"/>
      <c r="I164" s="3">
        <f ca="1">IFERROR(_xludf.XLOOKUP("Seguro",PARAMETROS_IMPORTACION!$A:$A,PARAMETROS_IMPORTACION!$C:$C,0),0)</f>
        <v>0</v>
      </c>
      <c r="J164" s="3">
        <f ca="1">IFERROR(_xludf.XLOOKUP("Arancel",PARAMETROS_IMPORTACION!$A:$A,PARAMETROS_IMPORTACION!$C:$C,0),0)</f>
        <v>0</v>
      </c>
      <c r="K164" s="2">
        <f ca="1">IFERROR(_xludf.XLOOKUP("Gastos_Aduana",PARAMETROS_IMPORTACION!$A:$A,PARAMETROS_IMPORTACION!$C:$C,0),0)</f>
        <v>0</v>
      </c>
      <c r="L164" s="2">
        <f t="shared" si="5"/>
        <v>0</v>
      </c>
    </row>
    <row r="165" spans="5:12" x14ac:dyDescent="0.35">
      <c r="E165" s="2"/>
      <c r="F165" s="2">
        <f>_xlfn.XLOOKUP(D165,TIPOS_CAMBIO!A:A,TIPOS_CAMBIO!B:B,"",0)</f>
        <v>0</v>
      </c>
      <c r="G165" s="3">
        <f t="shared" si="4"/>
        <v>0</v>
      </c>
      <c r="H165" s="3"/>
      <c r="I165" s="3">
        <f ca="1">IFERROR(_xludf.XLOOKUP("Seguro",PARAMETROS_IMPORTACION!$A:$A,PARAMETROS_IMPORTACION!$C:$C,0),0)</f>
        <v>0</v>
      </c>
      <c r="J165" s="3">
        <f ca="1">IFERROR(_xludf.XLOOKUP("Arancel",PARAMETROS_IMPORTACION!$A:$A,PARAMETROS_IMPORTACION!$C:$C,0),0)</f>
        <v>0</v>
      </c>
      <c r="K165" s="2">
        <f ca="1">IFERROR(_xludf.XLOOKUP("Gastos_Aduana",PARAMETROS_IMPORTACION!$A:$A,PARAMETROS_IMPORTACION!$C:$C,0),0)</f>
        <v>0</v>
      </c>
      <c r="L165" s="2">
        <f t="shared" si="5"/>
        <v>0</v>
      </c>
    </row>
    <row r="166" spans="5:12" x14ac:dyDescent="0.35">
      <c r="E166" s="2"/>
      <c r="F166" s="2">
        <f>_xlfn.XLOOKUP(D166,TIPOS_CAMBIO!A:A,TIPOS_CAMBIO!B:B,"",0)</f>
        <v>0</v>
      </c>
      <c r="G166" s="3">
        <f t="shared" si="4"/>
        <v>0</v>
      </c>
      <c r="H166" s="3"/>
      <c r="I166" s="3">
        <f ca="1">IFERROR(_xludf.XLOOKUP("Seguro",PARAMETROS_IMPORTACION!$A:$A,PARAMETROS_IMPORTACION!$C:$C,0),0)</f>
        <v>0</v>
      </c>
      <c r="J166" s="3">
        <f ca="1">IFERROR(_xludf.XLOOKUP("Arancel",PARAMETROS_IMPORTACION!$A:$A,PARAMETROS_IMPORTACION!$C:$C,0),0)</f>
        <v>0</v>
      </c>
      <c r="K166" s="2">
        <f ca="1">IFERROR(_xludf.XLOOKUP("Gastos_Aduana",PARAMETROS_IMPORTACION!$A:$A,PARAMETROS_IMPORTACION!$C:$C,0),0)</f>
        <v>0</v>
      </c>
      <c r="L166" s="2">
        <f t="shared" si="5"/>
        <v>0</v>
      </c>
    </row>
    <row r="167" spans="5:12" x14ac:dyDescent="0.35">
      <c r="E167" s="2"/>
      <c r="F167" s="2">
        <f>_xlfn.XLOOKUP(D167,TIPOS_CAMBIO!A:A,TIPOS_CAMBIO!B:B,"",0)</f>
        <v>0</v>
      </c>
      <c r="G167" s="3">
        <f t="shared" si="4"/>
        <v>0</v>
      </c>
      <c r="H167" s="3"/>
      <c r="I167" s="3">
        <f ca="1">IFERROR(_xludf.XLOOKUP("Seguro",PARAMETROS_IMPORTACION!$A:$A,PARAMETROS_IMPORTACION!$C:$C,0),0)</f>
        <v>0</v>
      </c>
      <c r="J167" s="3">
        <f ca="1">IFERROR(_xludf.XLOOKUP("Arancel",PARAMETROS_IMPORTACION!$A:$A,PARAMETROS_IMPORTACION!$C:$C,0),0)</f>
        <v>0</v>
      </c>
      <c r="K167" s="2">
        <f ca="1">IFERROR(_xludf.XLOOKUP("Gastos_Aduana",PARAMETROS_IMPORTACION!$A:$A,PARAMETROS_IMPORTACION!$C:$C,0),0)</f>
        <v>0</v>
      </c>
      <c r="L167" s="2">
        <f t="shared" si="5"/>
        <v>0</v>
      </c>
    </row>
    <row r="168" spans="5:12" x14ac:dyDescent="0.35">
      <c r="E168" s="2"/>
      <c r="F168" s="2">
        <f>_xlfn.XLOOKUP(D168,TIPOS_CAMBIO!A:A,TIPOS_CAMBIO!B:B,"",0)</f>
        <v>0</v>
      </c>
      <c r="G168" s="3">
        <f t="shared" si="4"/>
        <v>0</v>
      </c>
      <c r="H168" s="3"/>
      <c r="I168" s="3">
        <f ca="1">IFERROR(_xludf.XLOOKUP("Seguro",PARAMETROS_IMPORTACION!$A:$A,PARAMETROS_IMPORTACION!$C:$C,0),0)</f>
        <v>0</v>
      </c>
      <c r="J168" s="3">
        <f ca="1">IFERROR(_xludf.XLOOKUP("Arancel",PARAMETROS_IMPORTACION!$A:$A,PARAMETROS_IMPORTACION!$C:$C,0),0)</f>
        <v>0</v>
      </c>
      <c r="K168" s="2">
        <f ca="1">IFERROR(_xludf.XLOOKUP("Gastos_Aduana",PARAMETROS_IMPORTACION!$A:$A,PARAMETROS_IMPORTACION!$C:$C,0),0)</f>
        <v>0</v>
      </c>
      <c r="L168" s="2">
        <f t="shared" si="5"/>
        <v>0</v>
      </c>
    </row>
    <row r="169" spans="5:12" x14ac:dyDescent="0.35">
      <c r="E169" s="2"/>
      <c r="F169" s="2">
        <f>_xlfn.XLOOKUP(D169,TIPOS_CAMBIO!A:A,TIPOS_CAMBIO!B:B,"",0)</f>
        <v>0</v>
      </c>
      <c r="G169" s="3">
        <f t="shared" si="4"/>
        <v>0</v>
      </c>
      <c r="H169" s="3"/>
      <c r="I169" s="3">
        <f ca="1">IFERROR(_xludf.XLOOKUP("Seguro",PARAMETROS_IMPORTACION!$A:$A,PARAMETROS_IMPORTACION!$C:$C,0),0)</f>
        <v>0</v>
      </c>
      <c r="J169" s="3">
        <f ca="1">IFERROR(_xludf.XLOOKUP("Arancel",PARAMETROS_IMPORTACION!$A:$A,PARAMETROS_IMPORTACION!$C:$C,0),0)</f>
        <v>0</v>
      </c>
      <c r="K169" s="2">
        <f ca="1">IFERROR(_xludf.XLOOKUP("Gastos_Aduana",PARAMETROS_IMPORTACION!$A:$A,PARAMETROS_IMPORTACION!$C:$C,0),0)</f>
        <v>0</v>
      </c>
      <c r="L169" s="2">
        <f t="shared" si="5"/>
        <v>0</v>
      </c>
    </row>
    <row r="170" spans="5:12" x14ac:dyDescent="0.35">
      <c r="E170" s="2"/>
      <c r="F170" s="2">
        <f>_xlfn.XLOOKUP(D170,TIPOS_CAMBIO!A:A,TIPOS_CAMBIO!B:B,"",0)</f>
        <v>0</v>
      </c>
      <c r="G170" s="3">
        <f t="shared" si="4"/>
        <v>0</v>
      </c>
      <c r="H170" s="3"/>
      <c r="I170" s="3">
        <f ca="1">IFERROR(_xludf.XLOOKUP("Seguro",PARAMETROS_IMPORTACION!$A:$A,PARAMETROS_IMPORTACION!$C:$C,0),0)</f>
        <v>0</v>
      </c>
      <c r="J170" s="3">
        <f ca="1">IFERROR(_xludf.XLOOKUP("Arancel",PARAMETROS_IMPORTACION!$A:$A,PARAMETROS_IMPORTACION!$C:$C,0),0)</f>
        <v>0</v>
      </c>
      <c r="K170" s="2">
        <f ca="1">IFERROR(_xludf.XLOOKUP("Gastos_Aduana",PARAMETROS_IMPORTACION!$A:$A,PARAMETROS_IMPORTACION!$C:$C,0),0)</f>
        <v>0</v>
      </c>
      <c r="L170" s="2">
        <f t="shared" si="5"/>
        <v>0</v>
      </c>
    </row>
    <row r="171" spans="5:12" x14ac:dyDescent="0.35">
      <c r="E171" s="2"/>
      <c r="F171" s="2">
        <f>_xlfn.XLOOKUP(D171,TIPOS_CAMBIO!A:A,TIPOS_CAMBIO!B:B,"",0)</f>
        <v>0</v>
      </c>
      <c r="G171" s="3">
        <f t="shared" si="4"/>
        <v>0</v>
      </c>
      <c r="H171" s="3"/>
      <c r="I171" s="3">
        <f ca="1">IFERROR(_xludf.XLOOKUP("Seguro",PARAMETROS_IMPORTACION!$A:$A,PARAMETROS_IMPORTACION!$C:$C,0),0)</f>
        <v>0</v>
      </c>
      <c r="J171" s="3">
        <f ca="1">IFERROR(_xludf.XLOOKUP("Arancel",PARAMETROS_IMPORTACION!$A:$A,PARAMETROS_IMPORTACION!$C:$C,0),0)</f>
        <v>0</v>
      </c>
      <c r="K171" s="2">
        <f ca="1">IFERROR(_xludf.XLOOKUP("Gastos_Aduana",PARAMETROS_IMPORTACION!$A:$A,PARAMETROS_IMPORTACION!$C:$C,0),0)</f>
        <v>0</v>
      </c>
      <c r="L171" s="2">
        <f t="shared" si="5"/>
        <v>0</v>
      </c>
    </row>
    <row r="172" spans="5:12" x14ac:dyDescent="0.35">
      <c r="E172" s="2"/>
      <c r="F172" s="2">
        <f>_xlfn.XLOOKUP(D172,TIPOS_CAMBIO!A:A,TIPOS_CAMBIO!B:B,"",0)</f>
        <v>0</v>
      </c>
      <c r="G172" s="3">
        <f t="shared" si="4"/>
        <v>0</v>
      </c>
      <c r="H172" s="3"/>
      <c r="I172" s="3">
        <f ca="1">IFERROR(_xludf.XLOOKUP("Seguro",PARAMETROS_IMPORTACION!$A:$A,PARAMETROS_IMPORTACION!$C:$C,0),0)</f>
        <v>0</v>
      </c>
      <c r="J172" s="3">
        <f ca="1">IFERROR(_xludf.XLOOKUP("Arancel",PARAMETROS_IMPORTACION!$A:$A,PARAMETROS_IMPORTACION!$C:$C,0),0)</f>
        <v>0</v>
      </c>
      <c r="K172" s="2">
        <f ca="1">IFERROR(_xludf.XLOOKUP("Gastos_Aduana",PARAMETROS_IMPORTACION!$A:$A,PARAMETROS_IMPORTACION!$C:$C,0),0)</f>
        <v>0</v>
      </c>
      <c r="L172" s="2">
        <f t="shared" si="5"/>
        <v>0</v>
      </c>
    </row>
    <row r="173" spans="5:12" x14ac:dyDescent="0.35">
      <c r="E173" s="2"/>
      <c r="F173" s="2">
        <f>_xlfn.XLOOKUP(D173,TIPOS_CAMBIO!A:A,TIPOS_CAMBIO!B:B,"",0)</f>
        <v>0</v>
      </c>
      <c r="G173" s="3">
        <f t="shared" si="4"/>
        <v>0</v>
      </c>
      <c r="H173" s="3"/>
      <c r="I173" s="3">
        <f ca="1">IFERROR(_xludf.XLOOKUP("Seguro",PARAMETROS_IMPORTACION!$A:$A,PARAMETROS_IMPORTACION!$C:$C,0),0)</f>
        <v>0</v>
      </c>
      <c r="J173" s="3">
        <f ca="1">IFERROR(_xludf.XLOOKUP("Arancel",PARAMETROS_IMPORTACION!$A:$A,PARAMETROS_IMPORTACION!$C:$C,0),0)</f>
        <v>0</v>
      </c>
      <c r="K173" s="2">
        <f ca="1">IFERROR(_xludf.XLOOKUP("Gastos_Aduana",PARAMETROS_IMPORTACION!$A:$A,PARAMETROS_IMPORTACION!$C:$C,0),0)</f>
        <v>0</v>
      </c>
      <c r="L173" s="2">
        <f t="shared" si="5"/>
        <v>0</v>
      </c>
    </row>
    <row r="174" spans="5:12" x14ac:dyDescent="0.35">
      <c r="E174" s="2"/>
      <c r="F174" s="2">
        <f>_xlfn.XLOOKUP(D174,TIPOS_CAMBIO!A:A,TIPOS_CAMBIO!B:B,"",0)</f>
        <v>0</v>
      </c>
      <c r="G174" s="3">
        <f t="shared" si="4"/>
        <v>0</v>
      </c>
      <c r="H174" s="3"/>
      <c r="I174" s="3">
        <f ca="1">IFERROR(_xludf.XLOOKUP("Seguro",PARAMETROS_IMPORTACION!$A:$A,PARAMETROS_IMPORTACION!$C:$C,0),0)</f>
        <v>0</v>
      </c>
      <c r="J174" s="3">
        <f ca="1">IFERROR(_xludf.XLOOKUP("Arancel",PARAMETROS_IMPORTACION!$A:$A,PARAMETROS_IMPORTACION!$C:$C,0),0)</f>
        <v>0</v>
      </c>
      <c r="K174" s="2">
        <f ca="1">IFERROR(_xludf.XLOOKUP("Gastos_Aduana",PARAMETROS_IMPORTACION!$A:$A,PARAMETROS_IMPORTACION!$C:$C,0),0)</f>
        <v>0</v>
      </c>
      <c r="L174" s="2">
        <f t="shared" si="5"/>
        <v>0</v>
      </c>
    </row>
    <row r="175" spans="5:12" x14ac:dyDescent="0.35">
      <c r="E175" s="2"/>
      <c r="F175" s="2">
        <f>_xlfn.XLOOKUP(D175,TIPOS_CAMBIO!A:A,TIPOS_CAMBIO!B:B,"",0)</f>
        <v>0</v>
      </c>
      <c r="G175" s="3">
        <f t="shared" si="4"/>
        <v>0</v>
      </c>
      <c r="H175" s="3"/>
      <c r="I175" s="3">
        <f ca="1">IFERROR(_xludf.XLOOKUP("Seguro",PARAMETROS_IMPORTACION!$A:$A,PARAMETROS_IMPORTACION!$C:$C,0),0)</f>
        <v>0</v>
      </c>
      <c r="J175" s="3">
        <f ca="1">IFERROR(_xludf.XLOOKUP("Arancel",PARAMETROS_IMPORTACION!$A:$A,PARAMETROS_IMPORTACION!$C:$C,0),0)</f>
        <v>0</v>
      </c>
      <c r="K175" s="2">
        <f ca="1">IFERROR(_xludf.XLOOKUP("Gastos_Aduana",PARAMETROS_IMPORTACION!$A:$A,PARAMETROS_IMPORTACION!$C:$C,0),0)</f>
        <v>0</v>
      </c>
      <c r="L175" s="2">
        <f t="shared" si="5"/>
        <v>0</v>
      </c>
    </row>
    <row r="176" spans="5:12" x14ac:dyDescent="0.35">
      <c r="E176" s="2"/>
      <c r="F176" s="2">
        <f>_xlfn.XLOOKUP(D176,TIPOS_CAMBIO!A:A,TIPOS_CAMBIO!B:B,"",0)</f>
        <v>0</v>
      </c>
      <c r="G176" s="3">
        <f t="shared" si="4"/>
        <v>0</v>
      </c>
      <c r="H176" s="3"/>
      <c r="I176" s="3">
        <f ca="1">IFERROR(_xludf.XLOOKUP("Seguro",PARAMETROS_IMPORTACION!$A:$A,PARAMETROS_IMPORTACION!$C:$C,0),0)</f>
        <v>0</v>
      </c>
      <c r="J176" s="3">
        <f ca="1">IFERROR(_xludf.XLOOKUP("Arancel",PARAMETROS_IMPORTACION!$A:$A,PARAMETROS_IMPORTACION!$C:$C,0),0)</f>
        <v>0</v>
      </c>
      <c r="K176" s="2">
        <f ca="1">IFERROR(_xludf.XLOOKUP("Gastos_Aduana",PARAMETROS_IMPORTACION!$A:$A,PARAMETROS_IMPORTACION!$C:$C,0),0)</f>
        <v>0</v>
      </c>
      <c r="L176" s="2">
        <f t="shared" si="5"/>
        <v>0</v>
      </c>
    </row>
    <row r="177" spans="5:12" x14ac:dyDescent="0.35">
      <c r="E177" s="2"/>
      <c r="F177" s="2">
        <f>_xlfn.XLOOKUP(D177,TIPOS_CAMBIO!A:A,TIPOS_CAMBIO!B:B,"",0)</f>
        <v>0</v>
      </c>
      <c r="G177" s="3">
        <f t="shared" si="4"/>
        <v>0</v>
      </c>
      <c r="H177" s="3"/>
      <c r="I177" s="3">
        <f ca="1">IFERROR(_xludf.XLOOKUP("Seguro",PARAMETROS_IMPORTACION!$A:$A,PARAMETROS_IMPORTACION!$C:$C,0),0)</f>
        <v>0</v>
      </c>
      <c r="J177" s="3">
        <f ca="1">IFERROR(_xludf.XLOOKUP("Arancel",PARAMETROS_IMPORTACION!$A:$A,PARAMETROS_IMPORTACION!$C:$C,0),0)</f>
        <v>0</v>
      </c>
      <c r="K177" s="2">
        <f ca="1">IFERROR(_xludf.XLOOKUP("Gastos_Aduana",PARAMETROS_IMPORTACION!$A:$A,PARAMETROS_IMPORTACION!$C:$C,0),0)</f>
        <v>0</v>
      </c>
      <c r="L177" s="2">
        <f t="shared" si="5"/>
        <v>0</v>
      </c>
    </row>
    <row r="178" spans="5:12" x14ac:dyDescent="0.35">
      <c r="E178" s="2"/>
      <c r="F178" s="2">
        <f>_xlfn.XLOOKUP(D178,TIPOS_CAMBIO!A:A,TIPOS_CAMBIO!B:B,"",0)</f>
        <v>0</v>
      </c>
      <c r="G178" s="3">
        <f t="shared" si="4"/>
        <v>0</v>
      </c>
      <c r="H178" s="3"/>
      <c r="I178" s="3">
        <f ca="1">IFERROR(_xludf.XLOOKUP("Seguro",PARAMETROS_IMPORTACION!$A:$A,PARAMETROS_IMPORTACION!$C:$C,0),0)</f>
        <v>0</v>
      </c>
      <c r="J178" s="3">
        <f ca="1">IFERROR(_xludf.XLOOKUP("Arancel",PARAMETROS_IMPORTACION!$A:$A,PARAMETROS_IMPORTACION!$C:$C,0),0)</f>
        <v>0</v>
      </c>
      <c r="K178" s="2">
        <f ca="1">IFERROR(_xludf.XLOOKUP("Gastos_Aduana",PARAMETROS_IMPORTACION!$A:$A,PARAMETROS_IMPORTACION!$C:$C,0),0)</f>
        <v>0</v>
      </c>
      <c r="L178" s="2">
        <f t="shared" si="5"/>
        <v>0</v>
      </c>
    </row>
    <row r="179" spans="5:12" x14ac:dyDescent="0.35">
      <c r="E179" s="2"/>
      <c r="F179" s="2">
        <f>_xlfn.XLOOKUP(D179,TIPOS_CAMBIO!A:A,TIPOS_CAMBIO!B:B,"",0)</f>
        <v>0</v>
      </c>
      <c r="G179" s="3">
        <f t="shared" si="4"/>
        <v>0</v>
      </c>
      <c r="H179" s="3"/>
      <c r="I179" s="3">
        <f ca="1">IFERROR(_xludf.XLOOKUP("Seguro",PARAMETROS_IMPORTACION!$A:$A,PARAMETROS_IMPORTACION!$C:$C,0),0)</f>
        <v>0</v>
      </c>
      <c r="J179" s="3">
        <f ca="1">IFERROR(_xludf.XLOOKUP("Arancel",PARAMETROS_IMPORTACION!$A:$A,PARAMETROS_IMPORTACION!$C:$C,0),0)</f>
        <v>0</v>
      </c>
      <c r="K179" s="2">
        <f ca="1">IFERROR(_xludf.XLOOKUP("Gastos_Aduana",PARAMETROS_IMPORTACION!$A:$A,PARAMETROS_IMPORTACION!$C:$C,0),0)</f>
        <v>0</v>
      </c>
      <c r="L179" s="2">
        <f t="shared" si="5"/>
        <v>0</v>
      </c>
    </row>
    <row r="180" spans="5:12" x14ac:dyDescent="0.35">
      <c r="E180" s="2"/>
      <c r="F180" s="2">
        <f>_xlfn.XLOOKUP(D180,TIPOS_CAMBIO!A:A,TIPOS_CAMBIO!B:B,"",0)</f>
        <v>0</v>
      </c>
      <c r="G180" s="3">
        <f t="shared" si="4"/>
        <v>0</v>
      </c>
      <c r="H180" s="3"/>
      <c r="I180" s="3">
        <f ca="1">IFERROR(_xludf.XLOOKUP("Seguro",PARAMETROS_IMPORTACION!$A:$A,PARAMETROS_IMPORTACION!$C:$C,0),0)</f>
        <v>0</v>
      </c>
      <c r="J180" s="3">
        <f ca="1">IFERROR(_xludf.XLOOKUP("Arancel",PARAMETROS_IMPORTACION!$A:$A,PARAMETROS_IMPORTACION!$C:$C,0),0)</f>
        <v>0</v>
      </c>
      <c r="K180" s="2">
        <f ca="1">IFERROR(_xludf.XLOOKUP("Gastos_Aduana",PARAMETROS_IMPORTACION!$A:$A,PARAMETROS_IMPORTACION!$C:$C,0),0)</f>
        <v>0</v>
      </c>
      <c r="L180" s="2">
        <f t="shared" si="5"/>
        <v>0</v>
      </c>
    </row>
    <row r="181" spans="5:12" x14ac:dyDescent="0.35">
      <c r="E181" s="2"/>
      <c r="F181" s="2">
        <f>_xlfn.XLOOKUP(D181,TIPOS_CAMBIO!A:A,TIPOS_CAMBIO!B:B,"",0)</f>
        <v>0</v>
      </c>
      <c r="G181" s="3">
        <f t="shared" si="4"/>
        <v>0</v>
      </c>
      <c r="H181" s="3"/>
      <c r="I181" s="3">
        <f ca="1">IFERROR(_xludf.XLOOKUP("Seguro",PARAMETROS_IMPORTACION!$A:$A,PARAMETROS_IMPORTACION!$C:$C,0),0)</f>
        <v>0</v>
      </c>
      <c r="J181" s="3">
        <f ca="1">IFERROR(_xludf.XLOOKUP("Arancel",PARAMETROS_IMPORTACION!$A:$A,PARAMETROS_IMPORTACION!$C:$C,0),0)</f>
        <v>0</v>
      </c>
      <c r="K181" s="2">
        <f ca="1">IFERROR(_xludf.XLOOKUP("Gastos_Aduana",PARAMETROS_IMPORTACION!$A:$A,PARAMETROS_IMPORTACION!$C:$C,0),0)</f>
        <v>0</v>
      </c>
      <c r="L181" s="2">
        <f t="shared" si="5"/>
        <v>0</v>
      </c>
    </row>
    <row r="182" spans="5:12" x14ac:dyDescent="0.35">
      <c r="E182" s="2"/>
      <c r="F182" s="2">
        <f>_xlfn.XLOOKUP(D182,TIPOS_CAMBIO!A:A,TIPOS_CAMBIO!B:B,"",0)</f>
        <v>0</v>
      </c>
      <c r="G182" s="3">
        <f t="shared" si="4"/>
        <v>0</v>
      </c>
      <c r="H182" s="3"/>
      <c r="I182" s="3">
        <f ca="1">IFERROR(_xludf.XLOOKUP("Seguro",PARAMETROS_IMPORTACION!$A:$A,PARAMETROS_IMPORTACION!$C:$C,0),0)</f>
        <v>0</v>
      </c>
      <c r="J182" s="3">
        <f ca="1">IFERROR(_xludf.XLOOKUP("Arancel",PARAMETROS_IMPORTACION!$A:$A,PARAMETROS_IMPORTACION!$C:$C,0),0)</f>
        <v>0</v>
      </c>
      <c r="K182" s="2">
        <f ca="1">IFERROR(_xludf.XLOOKUP("Gastos_Aduana",PARAMETROS_IMPORTACION!$A:$A,PARAMETROS_IMPORTACION!$C:$C,0),0)</f>
        <v>0</v>
      </c>
      <c r="L182" s="2">
        <f t="shared" si="5"/>
        <v>0</v>
      </c>
    </row>
    <row r="183" spans="5:12" x14ac:dyDescent="0.35">
      <c r="E183" s="2"/>
      <c r="F183" s="2">
        <f>_xlfn.XLOOKUP(D183,TIPOS_CAMBIO!A:A,TIPOS_CAMBIO!B:B,"",0)</f>
        <v>0</v>
      </c>
      <c r="G183" s="3">
        <f t="shared" si="4"/>
        <v>0</v>
      </c>
      <c r="H183" s="3"/>
      <c r="I183" s="3">
        <f ca="1">IFERROR(_xludf.XLOOKUP("Seguro",PARAMETROS_IMPORTACION!$A:$A,PARAMETROS_IMPORTACION!$C:$C,0),0)</f>
        <v>0</v>
      </c>
      <c r="J183" s="3">
        <f ca="1">IFERROR(_xludf.XLOOKUP("Arancel",PARAMETROS_IMPORTACION!$A:$A,PARAMETROS_IMPORTACION!$C:$C,0),0)</f>
        <v>0</v>
      </c>
      <c r="K183" s="2">
        <f ca="1">IFERROR(_xludf.XLOOKUP("Gastos_Aduana",PARAMETROS_IMPORTACION!$A:$A,PARAMETROS_IMPORTACION!$C:$C,0),0)</f>
        <v>0</v>
      </c>
      <c r="L183" s="2">
        <f t="shared" si="5"/>
        <v>0</v>
      </c>
    </row>
    <row r="184" spans="5:12" x14ac:dyDescent="0.35">
      <c r="E184" s="2"/>
      <c r="F184" s="2">
        <f>_xlfn.XLOOKUP(D184,TIPOS_CAMBIO!A:A,TIPOS_CAMBIO!B:B,"",0)</f>
        <v>0</v>
      </c>
      <c r="G184" s="3">
        <f t="shared" si="4"/>
        <v>0</v>
      </c>
      <c r="H184" s="3"/>
      <c r="I184" s="3">
        <f ca="1">IFERROR(_xludf.XLOOKUP("Seguro",PARAMETROS_IMPORTACION!$A:$A,PARAMETROS_IMPORTACION!$C:$C,0),0)</f>
        <v>0</v>
      </c>
      <c r="J184" s="3">
        <f ca="1">IFERROR(_xludf.XLOOKUP("Arancel",PARAMETROS_IMPORTACION!$A:$A,PARAMETROS_IMPORTACION!$C:$C,0),0)</f>
        <v>0</v>
      </c>
      <c r="K184" s="2">
        <f ca="1">IFERROR(_xludf.XLOOKUP("Gastos_Aduana",PARAMETROS_IMPORTACION!$A:$A,PARAMETROS_IMPORTACION!$C:$C,0),0)</f>
        <v>0</v>
      </c>
      <c r="L184" s="2">
        <f t="shared" si="5"/>
        <v>0</v>
      </c>
    </row>
    <row r="185" spans="5:12" x14ac:dyDescent="0.35">
      <c r="E185" s="2"/>
      <c r="F185" s="2">
        <f>_xlfn.XLOOKUP(D185,TIPOS_CAMBIO!A:A,TIPOS_CAMBIO!B:B,"",0)</f>
        <v>0</v>
      </c>
      <c r="G185" s="3">
        <f t="shared" si="4"/>
        <v>0</v>
      </c>
      <c r="H185" s="3"/>
      <c r="I185" s="3">
        <f ca="1">IFERROR(_xludf.XLOOKUP("Seguro",PARAMETROS_IMPORTACION!$A:$A,PARAMETROS_IMPORTACION!$C:$C,0),0)</f>
        <v>0</v>
      </c>
      <c r="J185" s="3">
        <f ca="1">IFERROR(_xludf.XLOOKUP("Arancel",PARAMETROS_IMPORTACION!$A:$A,PARAMETROS_IMPORTACION!$C:$C,0),0)</f>
        <v>0</v>
      </c>
      <c r="K185" s="2">
        <f ca="1">IFERROR(_xludf.XLOOKUP("Gastos_Aduana",PARAMETROS_IMPORTACION!$A:$A,PARAMETROS_IMPORTACION!$C:$C,0),0)</f>
        <v>0</v>
      </c>
      <c r="L185" s="2">
        <f t="shared" si="5"/>
        <v>0</v>
      </c>
    </row>
    <row r="186" spans="5:12" x14ac:dyDescent="0.35">
      <c r="E186" s="2"/>
      <c r="F186" s="2">
        <f>_xlfn.XLOOKUP(D186,TIPOS_CAMBIO!A:A,TIPOS_CAMBIO!B:B,"",0)</f>
        <v>0</v>
      </c>
      <c r="G186" s="3">
        <f t="shared" si="4"/>
        <v>0</v>
      </c>
      <c r="H186" s="3"/>
      <c r="I186" s="3">
        <f ca="1">IFERROR(_xludf.XLOOKUP("Seguro",PARAMETROS_IMPORTACION!$A:$A,PARAMETROS_IMPORTACION!$C:$C,0),0)</f>
        <v>0</v>
      </c>
      <c r="J186" s="3">
        <f ca="1">IFERROR(_xludf.XLOOKUP("Arancel",PARAMETROS_IMPORTACION!$A:$A,PARAMETROS_IMPORTACION!$C:$C,0),0)</f>
        <v>0</v>
      </c>
      <c r="K186" s="2">
        <f ca="1">IFERROR(_xludf.XLOOKUP("Gastos_Aduana",PARAMETROS_IMPORTACION!$A:$A,PARAMETROS_IMPORTACION!$C:$C,0),0)</f>
        <v>0</v>
      </c>
      <c r="L186" s="2">
        <f t="shared" si="5"/>
        <v>0</v>
      </c>
    </row>
    <row r="187" spans="5:12" x14ac:dyDescent="0.35">
      <c r="E187" s="2"/>
      <c r="F187" s="2">
        <f>_xlfn.XLOOKUP(D187,TIPOS_CAMBIO!A:A,TIPOS_CAMBIO!B:B,"",0)</f>
        <v>0</v>
      </c>
      <c r="G187" s="3">
        <f t="shared" si="4"/>
        <v>0</v>
      </c>
      <c r="H187" s="3"/>
      <c r="I187" s="3">
        <f ca="1">IFERROR(_xludf.XLOOKUP("Seguro",PARAMETROS_IMPORTACION!$A:$A,PARAMETROS_IMPORTACION!$C:$C,0),0)</f>
        <v>0</v>
      </c>
      <c r="J187" s="3">
        <f ca="1">IFERROR(_xludf.XLOOKUP("Arancel",PARAMETROS_IMPORTACION!$A:$A,PARAMETROS_IMPORTACION!$C:$C,0),0)</f>
        <v>0</v>
      </c>
      <c r="K187" s="2">
        <f ca="1">IFERROR(_xludf.XLOOKUP("Gastos_Aduana",PARAMETROS_IMPORTACION!$A:$A,PARAMETROS_IMPORTACION!$C:$C,0),0)</f>
        <v>0</v>
      </c>
      <c r="L187" s="2">
        <f t="shared" si="5"/>
        <v>0</v>
      </c>
    </row>
    <row r="188" spans="5:12" x14ac:dyDescent="0.35">
      <c r="E188" s="2"/>
      <c r="F188" s="2">
        <f>_xlfn.XLOOKUP(D188,TIPOS_CAMBIO!A:A,TIPOS_CAMBIO!B:B,"",0)</f>
        <v>0</v>
      </c>
      <c r="G188" s="3">
        <f t="shared" si="4"/>
        <v>0</v>
      </c>
      <c r="H188" s="3"/>
      <c r="I188" s="3">
        <f ca="1">IFERROR(_xludf.XLOOKUP("Seguro",PARAMETROS_IMPORTACION!$A:$A,PARAMETROS_IMPORTACION!$C:$C,0),0)</f>
        <v>0</v>
      </c>
      <c r="J188" s="3">
        <f ca="1">IFERROR(_xludf.XLOOKUP("Arancel",PARAMETROS_IMPORTACION!$A:$A,PARAMETROS_IMPORTACION!$C:$C,0),0)</f>
        <v>0</v>
      </c>
      <c r="K188" s="2">
        <f ca="1">IFERROR(_xludf.XLOOKUP("Gastos_Aduana",PARAMETROS_IMPORTACION!$A:$A,PARAMETROS_IMPORTACION!$C:$C,0),0)</f>
        <v>0</v>
      </c>
      <c r="L188" s="2">
        <f t="shared" si="5"/>
        <v>0</v>
      </c>
    </row>
    <row r="189" spans="5:12" x14ac:dyDescent="0.35">
      <c r="E189" s="2"/>
      <c r="F189" s="2">
        <f>_xlfn.XLOOKUP(D189,TIPOS_CAMBIO!A:A,TIPOS_CAMBIO!B:B,"",0)</f>
        <v>0</v>
      </c>
      <c r="G189" s="3">
        <f t="shared" si="4"/>
        <v>0</v>
      </c>
      <c r="H189" s="3"/>
      <c r="I189" s="3">
        <f ca="1">IFERROR(_xludf.XLOOKUP("Seguro",PARAMETROS_IMPORTACION!$A:$A,PARAMETROS_IMPORTACION!$C:$C,0),0)</f>
        <v>0</v>
      </c>
      <c r="J189" s="3">
        <f ca="1">IFERROR(_xludf.XLOOKUP("Arancel",PARAMETROS_IMPORTACION!$A:$A,PARAMETROS_IMPORTACION!$C:$C,0),0)</f>
        <v>0</v>
      </c>
      <c r="K189" s="2">
        <f ca="1">IFERROR(_xludf.XLOOKUP("Gastos_Aduana",PARAMETROS_IMPORTACION!$A:$A,PARAMETROS_IMPORTACION!$C:$C,0),0)</f>
        <v>0</v>
      </c>
      <c r="L189" s="2">
        <f t="shared" si="5"/>
        <v>0</v>
      </c>
    </row>
    <row r="190" spans="5:12" x14ac:dyDescent="0.35">
      <c r="E190" s="2"/>
      <c r="F190" s="2">
        <f>_xlfn.XLOOKUP(D190,TIPOS_CAMBIO!A:A,TIPOS_CAMBIO!B:B,"",0)</f>
        <v>0</v>
      </c>
      <c r="G190" s="3">
        <f t="shared" si="4"/>
        <v>0</v>
      </c>
      <c r="H190" s="3"/>
      <c r="I190" s="3">
        <f ca="1">IFERROR(_xludf.XLOOKUP("Seguro",PARAMETROS_IMPORTACION!$A:$A,PARAMETROS_IMPORTACION!$C:$C,0),0)</f>
        <v>0</v>
      </c>
      <c r="J190" s="3">
        <f ca="1">IFERROR(_xludf.XLOOKUP("Arancel",PARAMETROS_IMPORTACION!$A:$A,PARAMETROS_IMPORTACION!$C:$C,0),0)</f>
        <v>0</v>
      </c>
      <c r="K190" s="2">
        <f ca="1">IFERROR(_xludf.XLOOKUP("Gastos_Aduana",PARAMETROS_IMPORTACION!$A:$A,PARAMETROS_IMPORTACION!$C:$C,0),0)</f>
        <v>0</v>
      </c>
      <c r="L190" s="2">
        <f t="shared" si="5"/>
        <v>0</v>
      </c>
    </row>
    <row r="191" spans="5:12" x14ac:dyDescent="0.35">
      <c r="E191" s="2"/>
      <c r="F191" s="2">
        <f>_xlfn.XLOOKUP(D191,TIPOS_CAMBIO!A:A,TIPOS_CAMBIO!B:B,"",0)</f>
        <v>0</v>
      </c>
      <c r="G191" s="3">
        <f t="shared" si="4"/>
        <v>0</v>
      </c>
      <c r="H191" s="3"/>
      <c r="I191" s="3">
        <f ca="1">IFERROR(_xludf.XLOOKUP("Seguro",PARAMETROS_IMPORTACION!$A:$A,PARAMETROS_IMPORTACION!$C:$C,0),0)</f>
        <v>0</v>
      </c>
      <c r="J191" s="3">
        <f ca="1">IFERROR(_xludf.XLOOKUP("Arancel",PARAMETROS_IMPORTACION!$A:$A,PARAMETROS_IMPORTACION!$C:$C,0),0)</f>
        <v>0</v>
      </c>
      <c r="K191" s="2">
        <f ca="1">IFERROR(_xludf.XLOOKUP("Gastos_Aduana",PARAMETROS_IMPORTACION!$A:$A,PARAMETROS_IMPORTACION!$C:$C,0),0)</f>
        <v>0</v>
      </c>
      <c r="L191" s="2">
        <f t="shared" si="5"/>
        <v>0</v>
      </c>
    </row>
    <row r="192" spans="5:12" x14ac:dyDescent="0.35">
      <c r="E192" s="2"/>
      <c r="F192" s="2">
        <f>_xlfn.XLOOKUP(D192,TIPOS_CAMBIO!A:A,TIPOS_CAMBIO!B:B,"",0)</f>
        <v>0</v>
      </c>
      <c r="G192" s="3">
        <f t="shared" si="4"/>
        <v>0</v>
      </c>
      <c r="H192" s="3"/>
      <c r="I192" s="3">
        <f ca="1">IFERROR(_xludf.XLOOKUP("Seguro",PARAMETROS_IMPORTACION!$A:$A,PARAMETROS_IMPORTACION!$C:$C,0),0)</f>
        <v>0</v>
      </c>
      <c r="J192" s="3">
        <f ca="1">IFERROR(_xludf.XLOOKUP("Arancel",PARAMETROS_IMPORTACION!$A:$A,PARAMETROS_IMPORTACION!$C:$C,0),0)</f>
        <v>0</v>
      </c>
      <c r="K192" s="2">
        <f ca="1">IFERROR(_xludf.XLOOKUP("Gastos_Aduana",PARAMETROS_IMPORTACION!$A:$A,PARAMETROS_IMPORTACION!$C:$C,0),0)</f>
        <v>0</v>
      </c>
      <c r="L192" s="2">
        <f t="shared" si="5"/>
        <v>0</v>
      </c>
    </row>
    <row r="193" spans="5:12" x14ac:dyDescent="0.35">
      <c r="E193" s="2"/>
      <c r="F193" s="2">
        <f>_xlfn.XLOOKUP(D193,TIPOS_CAMBIO!A:A,TIPOS_CAMBIO!B:B,"",0)</f>
        <v>0</v>
      </c>
      <c r="G193" s="3">
        <f t="shared" si="4"/>
        <v>0</v>
      </c>
      <c r="H193" s="3"/>
      <c r="I193" s="3">
        <f ca="1">IFERROR(_xludf.XLOOKUP("Seguro",PARAMETROS_IMPORTACION!$A:$A,PARAMETROS_IMPORTACION!$C:$C,0),0)</f>
        <v>0</v>
      </c>
      <c r="J193" s="3">
        <f ca="1">IFERROR(_xludf.XLOOKUP("Arancel",PARAMETROS_IMPORTACION!$A:$A,PARAMETROS_IMPORTACION!$C:$C,0),0)</f>
        <v>0</v>
      </c>
      <c r="K193" s="2">
        <f ca="1">IFERROR(_xludf.XLOOKUP("Gastos_Aduana",PARAMETROS_IMPORTACION!$A:$A,PARAMETROS_IMPORTACION!$C:$C,0),0)</f>
        <v>0</v>
      </c>
      <c r="L193" s="2">
        <f t="shared" si="5"/>
        <v>0</v>
      </c>
    </row>
    <row r="194" spans="5:12" x14ac:dyDescent="0.35">
      <c r="E194" s="2"/>
      <c r="F194" s="2">
        <f>_xlfn.XLOOKUP(D194,TIPOS_CAMBIO!A:A,TIPOS_CAMBIO!B:B,"",0)</f>
        <v>0</v>
      </c>
      <c r="G194" s="3">
        <f t="shared" ref="G194:G257" si="6">$E194*$F194</f>
        <v>0</v>
      </c>
      <c r="H194" s="3"/>
      <c r="I194" s="3">
        <f ca="1">IFERROR(_xludf.XLOOKUP("Seguro",PARAMETROS_IMPORTACION!$A:$A,PARAMETROS_IMPORTACION!$C:$C,0),0)</f>
        <v>0</v>
      </c>
      <c r="J194" s="3">
        <f ca="1">IFERROR(_xludf.XLOOKUP("Arancel",PARAMETROS_IMPORTACION!$A:$A,PARAMETROS_IMPORTACION!$C:$C,0),0)</f>
        <v>0</v>
      </c>
      <c r="K194" s="2">
        <f ca="1">IFERROR(_xludf.XLOOKUP("Gastos_Aduana",PARAMETROS_IMPORTACION!$A:$A,PARAMETROS_IMPORTACION!$C:$C,0),0)</f>
        <v>0</v>
      </c>
      <c r="L194" s="2">
        <f t="shared" si="5"/>
        <v>0</v>
      </c>
    </row>
    <row r="195" spans="5:12" x14ac:dyDescent="0.35">
      <c r="E195" s="2"/>
      <c r="F195" s="2">
        <f>_xlfn.XLOOKUP(D195,TIPOS_CAMBIO!A:A,TIPOS_CAMBIO!B:B,"",0)</f>
        <v>0</v>
      </c>
      <c r="G195" s="3">
        <f t="shared" si="6"/>
        <v>0</v>
      </c>
      <c r="H195" s="3"/>
      <c r="I195" s="3">
        <f ca="1">IFERROR(_xludf.XLOOKUP("Seguro",PARAMETROS_IMPORTACION!$A:$A,PARAMETROS_IMPORTACION!$C:$C,0),0)</f>
        <v>0</v>
      </c>
      <c r="J195" s="3">
        <f ca="1">IFERROR(_xludf.XLOOKUP("Arancel",PARAMETROS_IMPORTACION!$A:$A,PARAMETROS_IMPORTACION!$C:$C,0),0)</f>
        <v>0</v>
      </c>
      <c r="K195" s="2">
        <f ca="1">IFERROR(_xludf.XLOOKUP("Gastos_Aduana",PARAMETROS_IMPORTACION!$A:$A,PARAMETROS_IMPORTACION!$C:$C,0),0)</f>
        <v>0</v>
      </c>
      <c r="L195" s="2">
        <f t="shared" ref="L195:L258" si="7">IF($C195="Importado",$G195*(1+$H195+$I195+$J195)+$K195,$G195)</f>
        <v>0</v>
      </c>
    </row>
    <row r="196" spans="5:12" x14ac:dyDescent="0.35">
      <c r="E196" s="2"/>
      <c r="F196" s="2">
        <f>_xlfn.XLOOKUP(D196,TIPOS_CAMBIO!A:A,TIPOS_CAMBIO!B:B,"",0)</f>
        <v>0</v>
      </c>
      <c r="G196" s="3">
        <f t="shared" si="6"/>
        <v>0</v>
      </c>
      <c r="H196" s="3"/>
      <c r="I196" s="3">
        <f ca="1">IFERROR(_xludf.XLOOKUP("Seguro",PARAMETROS_IMPORTACION!$A:$A,PARAMETROS_IMPORTACION!$C:$C,0),0)</f>
        <v>0</v>
      </c>
      <c r="J196" s="3">
        <f ca="1">IFERROR(_xludf.XLOOKUP("Arancel",PARAMETROS_IMPORTACION!$A:$A,PARAMETROS_IMPORTACION!$C:$C,0),0)</f>
        <v>0</v>
      </c>
      <c r="K196" s="2">
        <f ca="1">IFERROR(_xludf.XLOOKUP("Gastos_Aduana",PARAMETROS_IMPORTACION!$A:$A,PARAMETROS_IMPORTACION!$C:$C,0),0)</f>
        <v>0</v>
      </c>
      <c r="L196" s="2">
        <f t="shared" si="7"/>
        <v>0</v>
      </c>
    </row>
    <row r="197" spans="5:12" x14ac:dyDescent="0.35">
      <c r="E197" s="2"/>
      <c r="F197" s="2">
        <f>_xlfn.XLOOKUP(D197,TIPOS_CAMBIO!A:A,TIPOS_CAMBIO!B:B,"",0)</f>
        <v>0</v>
      </c>
      <c r="G197" s="3">
        <f t="shared" si="6"/>
        <v>0</v>
      </c>
      <c r="H197" s="3"/>
      <c r="I197" s="3">
        <f ca="1">IFERROR(_xludf.XLOOKUP("Seguro",PARAMETROS_IMPORTACION!$A:$A,PARAMETROS_IMPORTACION!$C:$C,0),0)</f>
        <v>0</v>
      </c>
      <c r="J197" s="3">
        <f ca="1">IFERROR(_xludf.XLOOKUP("Arancel",PARAMETROS_IMPORTACION!$A:$A,PARAMETROS_IMPORTACION!$C:$C,0),0)</f>
        <v>0</v>
      </c>
      <c r="K197" s="2">
        <f ca="1">IFERROR(_xludf.XLOOKUP("Gastos_Aduana",PARAMETROS_IMPORTACION!$A:$A,PARAMETROS_IMPORTACION!$C:$C,0),0)</f>
        <v>0</v>
      </c>
      <c r="L197" s="2">
        <f t="shared" si="7"/>
        <v>0</v>
      </c>
    </row>
    <row r="198" spans="5:12" x14ac:dyDescent="0.35">
      <c r="E198" s="2"/>
      <c r="F198" s="2">
        <f>_xlfn.XLOOKUP(D198,TIPOS_CAMBIO!A:A,TIPOS_CAMBIO!B:B,"",0)</f>
        <v>0</v>
      </c>
      <c r="G198" s="3">
        <f t="shared" si="6"/>
        <v>0</v>
      </c>
      <c r="H198" s="3"/>
      <c r="I198" s="3">
        <f ca="1">IFERROR(_xludf.XLOOKUP("Seguro",PARAMETROS_IMPORTACION!$A:$A,PARAMETROS_IMPORTACION!$C:$C,0),0)</f>
        <v>0</v>
      </c>
      <c r="J198" s="3">
        <f ca="1">IFERROR(_xludf.XLOOKUP("Arancel",PARAMETROS_IMPORTACION!$A:$A,PARAMETROS_IMPORTACION!$C:$C,0),0)</f>
        <v>0</v>
      </c>
      <c r="K198" s="2">
        <f ca="1">IFERROR(_xludf.XLOOKUP("Gastos_Aduana",PARAMETROS_IMPORTACION!$A:$A,PARAMETROS_IMPORTACION!$C:$C,0),0)</f>
        <v>0</v>
      </c>
      <c r="L198" s="2">
        <f t="shared" si="7"/>
        <v>0</v>
      </c>
    </row>
    <row r="199" spans="5:12" x14ac:dyDescent="0.35">
      <c r="E199" s="2"/>
      <c r="F199" s="2">
        <f>_xlfn.XLOOKUP(D199,TIPOS_CAMBIO!A:A,TIPOS_CAMBIO!B:B,"",0)</f>
        <v>0</v>
      </c>
      <c r="G199" s="3">
        <f t="shared" si="6"/>
        <v>0</v>
      </c>
      <c r="H199" s="3"/>
      <c r="I199" s="3">
        <f ca="1">IFERROR(_xludf.XLOOKUP("Seguro",PARAMETROS_IMPORTACION!$A:$A,PARAMETROS_IMPORTACION!$C:$C,0),0)</f>
        <v>0</v>
      </c>
      <c r="J199" s="3">
        <f ca="1">IFERROR(_xludf.XLOOKUP("Arancel",PARAMETROS_IMPORTACION!$A:$A,PARAMETROS_IMPORTACION!$C:$C,0),0)</f>
        <v>0</v>
      </c>
      <c r="K199" s="2">
        <f ca="1">IFERROR(_xludf.XLOOKUP("Gastos_Aduana",PARAMETROS_IMPORTACION!$A:$A,PARAMETROS_IMPORTACION!$C:$C,0),0)</f>
        <v>0</v>
      </c>
      <c r="L199" s="2">
        <f t="shared" si="7"/>
        <v>0</v>
      </c>
    </row>
    <row r="200" spans="5:12" x14ac:dyDescent="0.35">
      <c r="E200" s="2"/>
      <c r="F200" s="2">
        <f>_xlfn.XLOOKUP(D200,TIPOS_CAMBIO!A:A,TIPOS_CAMBIO!B:B,"",0)</f>
        <v>0</v>
      </c>
      <c r="G200" s="3">
        <f t="shared" si="6"/>
        <v>0</v>
      </c>
      <c r="H200" s="3"/>
      <c r="I200" s="3">
        <f ca="1">IFERROR(_xludf.XLOOKUP("Seguro",PARAMETROS_IMPORTACION!$A:$A,PARAMETROS_IMPORTACION!$C:$C,0),0)</f>
        <v>0</v>
      </c>
      <c r="J200" s="3">
        <f ca="1">IFERROR(_xludf.XLOOKUP("Arancel",PARAMETROS_IMPORTACION!$A:$A,PARAMETROS_IMPORTACION!$C:$C,0),0)</f>
        <v>0</v>
      </c>
      <c r="K200" s="2">
        <f ca="1">IFERROR(_xludf.XLOOKUP("Gastos_Aduana",PARAMETROS_IMPORTACION!$A:$A,PARAMETROS_IMPORTACION!$C:$C,0),0)</f>
        <v>0</v>
      </c>
      <c r="L200" s="2">
        <f t="shared" si="7"/>
        <v>0</v>
      </c>
    </row>
    <row r="201" spans="5:12" x14ac:dyDescent="0.35">
      <c r="E201" s="2"/>
      <c r="F201" s="2">
        <f>_xlfn.XLOOKUP(D201,TIPOS_CAMBIO!A:A,TIPOS_CAMBIO!B:B,"",0)</f>
        <v>0</v>
      </c>
      <c r="G201" s="3">
        <f t="shared" si="6"/>
        <v>0</v>
      </c>
      <c r="H201" s="3"/>
      <c r="I201" s="3">
        <f ca="1">IFERROR(_xludf.XLOOKUP("Seguro",PARAMETROS_IMPORTACION!$A:$A,PARAMETROS_IMPORTACION!$C:$C,0),0)</f>
        <v>0</v>
      </c>
      <c r="J201" s="3">
        <f ca="1">IFERROR(_xludf.XLOOKUP("Arancel",PARAMETROS_IMPORTACION!$A:$A,PARAMETROS_IMPORTACION!$C:$C,0),0)</f>
        <v>0</v>
      </c>
      <c r="K201" s="2">
        <f ca="1">IFERROR(_xludf.XLOOKUP("Gastos_Aduana",PARAMETROS_IMPORTACION!$A:$A,PARAMETROS_IMPORTACION!$C:$C,0),0)</f>
        <v>0</v>
      </c>
      <c r="L201" s="2">
        <f t="shared" si="7"/>
        <v>0</v>
      </c>
    </row>
    <row r="202" spans="5:12" x14ac:dyDescent="0.35">
      <c r="E202" s="2"/>
      <c r="F202" s="2">
        <f>_xlfn.XLOOKUP(D202,TIPOS_CAMBIO!A:A,TIPOS_CAMBIO!B:B,"",0)</f>
        <v>0</v>
      </c>
      <c r="G202" s="3">
        <f t="shared" si="6"/>
        <v>0</v>
      </c>
      <c r="H202" s="3"/>
      <c r="I202" s="3">
        <f ca="1">IFERROR(_xludf.XLOOKUP("Seguro",PARAMETROS_IMPORTACION!$A:$A,PARAMETROS_IMPORTACION!$C:$C,0),0)</f>
        <v>0</v>
      </c>
      <c r="J202" s="3">
        <f ca="1">IFERROR(_xludf.XLOOKUP("Arancel",PARAMETROS_IMPORTACION!$A:$A,PARAMETROS_IMPORTACION!$C:$C,0),0)</f>
        <v>0</v>
      </c>
      <c r="K202" s="2">
        <f ca="1">IFERROR(_xludf.XLOOKUP("Gastos_Aduana",PARAMETROS_IMPORTACION!$A:$A,PARAMETROS_IMPORTACION!$C:$C,0),0)</f>
        <v>0</v>
      </c>
      <c r="L202" s="2">
        <f t="shared" si="7"/>
        <v>0</v>
      </c>
    </row>
    <row r="203" spans="5:12" x14ac:dyDescent="0.35">
      <c r="E203" s="2"/>
      <c r="F203" s="2">
        <f>_xlfn.XLOOKUP(D203,TIPOS_CAMBIO!A:A,TIPOS_CAMBIO!B:B,"",0)</f>
        <v>0</v>
      </c>
      <c r="G203" s="3">
        <f t="shared" si="6"/>
        <v>0</v>
      </c>
      <c r="H203" s="3"/>
      <c r="I203" s="3">
        <f ca="1">IFERROR(_xludf.XLOOKUP("Seguro",PARAMETROS_IMPORTACION!$A:$A,PARAMETROS_IMPORTACION!$C:$C,0),0)</f>
        <v>0</v>
      </c>
      <c r="J203" s="3">
        <f ca="1">IFERROR(_xludf.XLOOKUP("Arancel",PARAMETROS_IMPORTACION!$A:$A,PARAMETROS_IMPORTACION!$C:$C,0),0)</f>
        <v>0</v>
      </c>
      <c r="K203" s="2">
        <f ca="1">IFERROR(_xludf.XLOOKUP("Gastos_Aduana",PARAMETROS_IMPORTACION!$A:$A,PARAMETROS_IMPORTACION!$C:$C,0),0)</f>
        <v>0</v>
      </c>
      <c r="L203" s="2">
        <f t="shared" si="7"/>
        <v>0</v>
      </c>
    </row>
    <row r="204" spans="5:12" x14ac:dyDescent="0.35">
      <c r="E204" s="2"/>
      <c r="F204" s="2">
        <f>_xlfn.XLOOKUP(D204,TIPOS_CAMBIO!A:A,TIPOS_CAMBIO!B:B,"",0)</f>
        <v>0</v>
      </c>
      <c r="G204" s="3">
        <f t="shared" si="6"/>
        <v>0</v>
      </c>
      <c r="H204" s="3"/>
      <c r="I204" s="3">
        <f ca="1">IFERROR(_xludf.XLOOKUP("Seguro",PARAMETROS_IMPORTACION!$A:$A,PARAMETROS_IMPORTACION!$C:$C,0),0)</f>
        <v>0</v>
      </c>
      <c r="J204" s="3">
        <f ca="1">IFERROR(_xludf.XLOOKUP("Arancel",PARAMETROS_IMPORTACION!$A:$A,PARAMETROS_IMPORTACION!$C:$C,0),0)</f>
        <v>0</v>
      </c>
      <c r="K204" s="2">
        <f ca="1">IFERROR(_xludf.XLOOKUP("Gastos_Aduana",PARAMETROS_IMPORTACION!$A:$A,PARAMETROS_IMPORTACION!$C:$C,0),0)</f>
        <v>0</v>
      </c>
      <c r="L204" s="2">
        <f t="shared" si="7"/>
        <v>0</v>
      </c>
    </row>
    <row r="205" spans="5:12" x14ac:dyDescent="0.35">
      <c r="E205" s="2"/>
      <c r="F205" s="2">
        <f>_xlfn.XLOOKUP(D205,TIPOS_CAMBIO!A:A,TIPOS_CAMBIO!B:B,"",0)</f>
        <v>0</v>
      </c>
      <c r="G205" s="3">
        <f t="shared" si="6"/>
        <v>0</v>
      </c>
      <c r="H205" s="3"/>
      <c r="I205" s="3">
        <f ca="1">IFERROR(_xludf.XLOOKUP("Seguro",PARAMETROS_IMPORTACION!$A:$A,PARAMETROS_IMPORTACION!$C:$C,0),0)</f>
        <v>0</v>
      </c>
      <c r="J205" s="3">
        <f ca="1">IFERROR(_xludf.XLOOKUP("Arancel",PARAMETROS_IMPORTACION!$A:$A,PARAMETROS_IMPORTACION!$C:$C,0),0)</f>
        <v>0</v>
      </c>
      <c r="K205" s="2">
        <f ca="1">IFERROR(_xludf.XLOOKUP("Gastos_Aduana",PARAMETROS_IMPORTACION!$A:$A,PARAMETROS_IMPORTACION!$C:$C,0),0)</f>
        <v>0</v>
      </c>
      <c r="L205" s="2">
        <f t="shared" si="7"/>
        <v>0</v>
      </c>
    </row>
    <row r="206" spans="5:12" x14ac:dyDescent="0.35">
      <c r="E206" s="2"/>
      <c r="F206" s="2">
        <f>_xlfn.XLOOKUP(D206,TIPOS_CAMBIO!A:A,TIPOS_CAMBIO!B:B,"",0)</f>
        <v>0</v>
      </c>
      <c r="G206" s="3">
        <f t="shared" si="6"/>
        <v>0</v>
      </c>
      <c r="H206" s="3"/>
      <c r="I206" s="3">
        <f ca="1">IFERROR(_xludf.XLOOKUP("Seguro",PARAMETROS_IMPORTACION!$A:$A,PARAMETROS_IMPORTACION!$C:$C,0),0)</f>
        <v>0</v>
      </c>
      <c r="J206" s="3">
        <f ca="1">IFERROR(_xludf.XLOOKUP("Arancel",PARAMETROS_IMPORTACION!$A:$A,PARAMETROS_IMPORTACION!$C:$C,0),0)</f>
        <v>0</v>
      </c>
      <c r="K206" s="2">
        <f ca="1">IFERROR(_xludf.XLOOKUP("Gastos_Aduana",PARAMETROS_IMPORTACION!$A:$A,PARAMETROS_IMPORTACION!$C:$C,0),0)</f>
        <v>0</v>
      </c>
      <c r="L206" s="2">
        <f t="shared" si="7"/>
        <v>0</v>
      </c>
    </row>
    <row r="207" spans="5:12" x14ac:dyDescent="0.35">
      <c r="E207" s="2"/>
      <c r="F207" s="2">
        <f>_xlfn.XLOOKUP(D207,TIPOS_CAMBIO!A:A,TIPOS_CAMBIO!B:B,"",0)</f>
        <v>0</v>
      </c>
      <c r="G207" s="3">
        <f t="shared" si="6"/>
        <v>0</v>
      </c>
      <c r="H207" s="3"/>
      <c r="I207" s="3">
        <f ca="1">IFERROR(_xludf.XLOOKUP("Seguro",PARAMETROS_IMPORTACION!$A:$A,PARAMETROS_IMPORTACION!$C:$C,0),0)</f>
        <v>0</v>
      </c>
      <c r="J207" s="3">
        <f ca="1">IFERROR(_xludf.XLOOKUP("Arancel",PARAMETROS_IMPORTACION!$A:$A,PARAMETROS_IMPORTACION!$C:$C,0),0)</f>
        <v>0</v>
      </c>
      <c r="K207" s="2">
        <f ca="1">IFERROR(_xludf.XLOOKUP("Gastos_Aduana",PARAMETROS_IMPORTACION!$A:$A,PARAMETROS_IMPORTACION!$C:$C,0),0)</f>
        <v>0</v>
      </c>
      <c r="L207" s="2">
        <f t="shared" si="7"/>
        <v>0</v>
      </c>
    </row>
    <row r="208" spans="5:12" x14ac:dyDescent="0.35">
      <c r="E208" s="2"/>
      <c r="F208" s="2">
        <f>_xlfn.XLOOKUP(D208,TIPOS_CAMBIO!A:A,TIPOS_CAMBIO!B:B,"",0)</f>
        <v>0</v>
      </c>
      <c r="G208" s="3">
        <f t="shared" si="6"/>
        <v>0</v>
      </c>
      <c r="H208" s="3"/>
      <c r="I208" s="3">
        <f ca="1">IFERROR(_xludf.XLOOKUP("Seguro",PARAMETROS_IMPORTACION!$A:$A,PARAMETROS_IMPORTACION!$C:$C,0),0)</f>
        <v>0</v>
      </c>
      <c r="J208" s="3">
        <f ca="1">IFERROR(_xludf.XLOOKUP("Arancel",PARAMETROS_IMPORTACION!$A:$A,PARAMETROS_IMPORTACION!$C:$C,0),0)</f>
        <v>0</v>
      </c>
      <c r="K208" s="2">
        <f ca="1">IFERROR(_xludf.XLOOKUP("Gastos_Aduana",PARAMETROS_IMPORTACION!$A:$A,PARAMETROS_IMPORTACION!$C:$C,0),0)</f>
        <v>0</v>
      </c>
      <c r="L208" s="2">
        <f t="shared" si="7"/>
        <v>0</v>
      </c>
    </row>
    <row r="209" spans="5:12" x14ac:dyDescent="0.35">
      <c r="E209" s="2"/>
      <c r="F209" s="2">
        <f>_xlfn.XLOOKUP(D209,TIPOS_CAMBIO!A:A,TIPOS_CAMBIO!B:B,"",0)</f>
        <v>0</v>
      </c>
      <c r="G209" s="3">
        <f t="shared" si="6"/>
        <v>0</v>
      </c>
      <c r="H209" s="3"/>
      <c r="I209" s="3">
        <f ca="1">IFERROR(_xludf.XLOOKUP("Seguro",PARAMETROS_IMPORTACION!$A:$A,PARAMETROS_IMPORTACION!$C:$C,0),0)</f>
        <v>0</v>
      </c>
      <c r="J209" s="3">
        <f ca="1">IFERROR(_xludf.XLOOKUP("Arancel",PARAMETROS_IMPORTACION!$A:$A,PARAMETROS_IMPORTACION!$C:$C,0),0)</f>
        <v>0</v>
      </c>
      <c r="K209" s="2">
        <f ca="1">IFERROR(_xludf.XLOOKUP("Gastos_Aduana",PARAMETROS_IMPORTACION!$A:$A,PARAMETROS_IMPORTACION!$C:$C,0),0)</f>
        <v>0</v>
      </c>
      <c r="L209" s="2">
        <f t="shared" si="7"/>
        <v>0</v>
      </c>
    </row>
    <row r="210" spans="5:12" x14ac:dyDescent="0.35">
      <c r="E210" s="2"/>
      <c r="F210" s="2">
        <f>_xlfn.XLOOKUP(D210,TIPOS_CAMBIO!A:A,TIPOS_CAMBIO!B:B,"",0)</f>
        <v>0</v>
      </c>
      <c r="G210" s="3">
        <f t="shared" si="6"/>
        <v>0</v>
      </c>
      <c r="H210" s="3"/>
      <c r="I210" s="3">
        <f ca="1">IFERROR(_xludf.XLOOKUP("Seguro",PARAMETROS_IMPORTACION!$A:$A,PARAMETROS_IMPORTACION!$C:$C,0),0)</f>
        <v>0</v>
      </c>
      <c r="J210" s="3">
        <f ca="1">IFERROR(_xludf.XLOOKUP("Arancel",PARAMETROS_IMPORTACION!$A:$A,PARAMETROS_IMPORTACION!$C:$C,0),0)</f>
        <v>0</v>
      </c>
      <c r="K210" s="2">
        <f ca="1">IFERROR(_xludf.XLOOKUP("Gastos_Aduana",PARAMETROS_IMPORTACION!$A:$A,PARAMETROS_IMPORTACION!$C:$C,0),0)</f>
        <v>0</v>
      </c>
      <c r="L210" s="2">
        <f t="shared" si="7"/>
        <v>0</v>
      </c>
    </row>
    <row r="211" spans="5:12" x14ac:dyDescent="0.35">
      <c r="E211" s="2"/>
      <c r="F211" s="2">
        <f>_xlfn.XLOOKUP(D211,TIPOS_CAMBIO!A:A,TIPOS_CAMBIO!B:B,"",0)</f>
        <v>0</v>
      </c>
      <c r="G211" s="3">
        <f t="shared" si="6"/>
        <v>0</v>
      </c>
      <c r="H211" s="3"/>
      <c r="I211" s="3">
        <f ca="1">IFERROR(_xludf.XLOOKUP("Seguro",PARAMETROS_IMPORTACION!$A:$A,PARAMETROS_IMPORTACION!$C:$C,0),0)</f>
        <v>0</v>
      </c>
      <c r="J211" s="3">
        <f ca="1">IFERROR(_xludf.XLOOKUP("Arancel",PARAMETROS_IMPORTACION!$A:$A,PARAMETROS_IMPORTACION!$C:$C,0),0)</f>
        <v>0</v>
      </c>
      <c r="K211" s="2">
        <f ca="1">IFERROR(_xludf.XLOOKUP("Gastos_Aduana",PARAMETROS_IMPORTACION!$A:$A,PARAMETROS_IMPORTACION!$C:$C,0),0)</f>
        <v>0</v>
      </c>
      <c r="L211" s="2">
        <f t="shared" si="7"/>
        <v>0</v>
      </c>
    </row>
    <row r="212" spans="5:12" x14ac:dyDescent="0.35">
      <c r="E212" s="2"/>
      <c r="F212" s="2">
        <f>_xlfn.XLOOKUP(D212,TIPOS_CAMBIO!A:A,TIPOS_CAMBIO!B:B,"",0)</f>
        <v>0</v>
      </c>
      <c r="G212" s="3">
        <f t="shared" si="6"/>
        <v>0</v>
      </c>
      <c r="H212" s="3"/>
      <c r="I212" s="3">
        <f ca="1">IFERROR(_xludf.XLOOKUP("Seguro",PARAMETROS_IMPORTACION!$A:$A,PARAMETROS_IMPORTACION!$C:$C,0),0)</f>
        <v>0</v>
      </c>
      <c r="J212" s="3">
        <f ca="1">IFERROR(_xludf.XLOOKUP("Arancel",PARAMETROS_IMPORTACION!$A:$A,PARAMETROS_IMPORTACION!$C:$C,0),0)</f>
        <v>0</v>
      </c>
      <c r="K212" s="2">
        <f ca="1">IFERROR(_xludf.XLOOKUP("Gastos_Aduana",PARAMETROS_IMPORTACION!$A:$A,PARAMETROS_IMPORTACION!$C:$C,0),0)</f>
        <v>0</v>
      </c>
      <c r="L212" s="2">
        <f t="shared" si="7"/>
        <v>0</v>
      </c>
    </row>
    <row r="213" spans="5:12" x14ac:dyDescent="0.35">
      <c r="E213" s="2"/>
      <c r="F213" s="2">
        <f>_xlfn.XLOOKUP(D213,TIPOS_CAMBIO!A:A,TIPOS_CAMBIO!B:B,"",0)</f>
        <v>0</v>
      </c>
      <c r="G213" s="3">
        <f t="shared" si="6"/>
        <v>0</v>
      </c>
      <c r="H213" s="3"/>
      <c r="I213" s="3">
        <f ca="1">IFERROR(_xludf.XLOOKUP("Seguro",PARAMETROS_IMPORTACION!$A:$A,PARAMETROS_IMPORTACION!$C:$C,0),0)</f>
        <v>0</v>
      </c>
      <c r="J213" s="3">
        <f ca="1">IFERROR(_xludf.XLOOKUP("Arancel",PARAMETROS_IMPORTACION!$A:$A,PARAMETROS_IMPORTACION!$C:$C,0),0)</f>
        <v>0</v>
      </c>
      <c r="K213" s="2">
        <f ca="1">IFERROR(_xludf.XLOOKUP("Gastos_Aduana",PARAMETROS_IMPORTACION!$A:$A,PARAMETROS_IMPORTACION!$C:$C,0),0)</f>
        <v>0</v>
      </c>
      <c r="L213" s="2">
        <f t="shared" si="7"/>
        <v>0</v>
      </c>
    </row>
    <row r="214" spans="5:12" x14ac:dyDescent="0.35">
      <c r="E214" s="2"/>
      <c r="F214" s="2">
        <f>_xlfn.XLOOKUP(D214,TIPOS_CAMBIO!A:A,TIPOS_CAMBIO!B:B,"",0)</f>
        <v>0</v>
      </c>
      <c r="G214" s="3">
        <f t="shared" si="6"/>
        <v>0</v>
      </c>
      <c r="H214" s="3"/>
      <c r="I214" s="3">
        <f ca="1">IFERROR(_xludf.XLOOKUP("Seguro",PARAMETROS_IMPORTACION!$A:$A,PARAMETROS_IMPORTACION!$C:$C,0),0)</f>
        <v>0</v>
      </c>
      <c r="J214" s="3">
        <f ca="1">IFERROR(_xludf.XLOOKUP("Arancel",PARAMETROS_IMPORTACION!$A:$A,PARAMETROS_IMPORTACION!$C:$C,0),0)</f>
        <v>0</v>
      </c>
      <c r="K214" s="2">
        <f ca="1">IFERROR(_xludf.XLOOKUP("Gastos_Aduana",PARAMETROS_IMPORTACION!$A:$A,PARAMETROS_IMPORTACION!$C:$C,0),0)</f>
        <v>0</v>
      </c>
      <c r="L214" s="2">
        <f t="shared" si="7"/>
        <v>0</v>
      </c>
    </row>
    <row r="215" spans="5:12" x14ac:dyDescent="0.35">
      <c r="E215" s="2"/>
      <c r="F215" s="2">
        <f>_xlfn.XLOOKUP(D215,TIPOS_CAMBIO!A:A,TIPOS_CAMBIO!B:B,"",0)</f>
        <v>0</v>
      </c>
      <c r="G215" s="3">
        <f t="shared" si="6"/>
        <v>0</v>
      </c>
      <c r="H215" s="3"/>
      <c r="I215" s="3">
        <f ca="1">IFERROR(_xludf.XLOOKUP("Seguro",PARAMETROS_IMPORTACION!$A:$A,PARAMETROS_IMPORTACION!$C:$C,0),0)</f>
        <v>0</v>
      </c>
      <c r="J215" s="3">
        <f ca="1">IFERROR(_xludf.XLOOKUP("Arancel",PARAMETROS_IMPORTACION!$A:$A,PARAMETROS_IMPORTACION!$C:$C,0),0)</f>
        <v>0</v>
      </c>
      <c r="K215" s="2">
        <f ca="1">IFERROR(_xludf.XLOOKUP("Gastos_Aduana",PARAMETROS_IMPORTACION!$A:$A,PARAMETROS_IMPORTACION!$C:$C,0),0)</f>
        <v>0</v>
      </c>
      <c r="L215" s="2">
        <f t="shared" si="7"/>
        <v>0</v>
      </c>
    </row>
    <row r="216" spans="5:12" x14ac:dyDescent="0.35">
      <c r="E216" s="2"/>
      <c r="F216" s="2">
        <f>_xlfn.XLOOKUP(D216,TIPOS_CAMBIO!A:A,TIPOS_CAMBIO!B:B,"",0)</f>
        <v>0</v>
      </c>
      <c r="G216" s="3">
        <f t="shared" si="6"/>
        <v>0</v>
      </c>
      <c r="H216" s="3"/>
      <c r="I216" s="3">
        <f ca="1">IFERROR(_xludf.XLOOKUP("Seguro",PARAMETROS_IMPORTACION!$A:$A,PARAMETROS_IMPORTACION!$C:$C,0),0)</f>
        <v>0</v>
      </c>
      <c r="J216" s="3">
        <f ca="1">IFERROR(_xludf.XLOOKUP("Arancel",PARAMETROS_IMPORTACION!$A:$A,PARAMETROS_IMPORTACION!$C:$C,0),0)</f>
        <v>0</v>
      </c>
      <c r="K216" s="2">
        <f ca="1">IFERROR(_xludf.XLOOKUP("Gastos_Aduana",PARAMETROS_IMPORTACION!$A:$A,PARAMETROS_IMPORTACION!$C:$C,0),0)</f>
        <v>0</v>
      </c>
      <c r="L216" s="2">
        <f t="shared" si="7"/>
        <v>0</v>
      </c>
    </row>
    <row r="217" spans="5:12" x14ac:dyDescent="0.35">
      <c r="E217" s="2"/>
      <c r="F217" s="2">
        <f>_xlfn.XLOOKUP(D217,TIPOS_CAMBIO!A:A,TIPOS_CAMBIO!B:B,"",0)</f>
        <v>0</v>
      </c>
      <c r="G217" s="3">
        <f t="shared" si="6"/>
        <v>0</v>
      </c>
      <c r="H217" s="3"/>
      <c r="I217" s="3">
        <f ca="1">IFERROR(_xludf.XLOOKUP("Seguro",PARAMETROS_IMPORTACION!$A:$A,PARAMETROS_IMPORTACION!$C:$C,0),0)</f>
        <v>0</v>
      </c>
      <c r="J217" s="3">
        <f ca="1">IFERROR(_xludf.XLOOKUP("Arancel",PARAMETROS_IMPORTACION!$A:$A,PARAMETROS_IMPORTACION!$C:$C,0),0)</f>
        <v>0</v>
      </c>
      <c r="K217" s="2">
        <f ca="1">IFERROR(_xludf.XLOOKUP("Gastos_Aduana",PARAMETROS_IMPORTACION!$A:$A,PARAMETROS_IMPORTACION!$C:$C,0),0)</f>
        <v>0</v>
      </c>
      <c r="L217" s="2">
        <f t="shared" si="7"/>
        <v>0</v>
      </c>
    </row>
    <row r="218" spans="5:12" x14ac:dyDescent="0.35">
      <c r="E218" s="2"/>
      <c r="F218" s="2">
        <f>_xlfn.XLOOKUP(D218,TIPOS_CAMBIO!A:A,TIPOS_CAMBIO!B:B,"",0)</f>
        <v>0</v>
      </c>
      <c r="G218" s="3">
        <f t="shared" si="6"/>
        <v>0</v>
      </c>
      <c r="H218" s="3"/>
      <c r="I218" s="3">
        <f ca="1">IFERROR(_xludf.XLOOKUP("Seguro",PARAMETROS_IMPORTACION!$A:$A,PARAMETROS_IMPORTACION!$C:$C,0),0)</f>
        <v>0</v>
      </c>
      <c r="J218" s="3">
        <f ca="1">IFERROR(_xludf.XLOOKUP("Arancel",PARAMETROS_IMPORTACION!$A:$A,PARAMETROS_IMPORTACION!$C:$C,0),0)</f>
        <v>0</v>
      </c>
      <c r="K218" s="2">
        <f ca="1">IFERROR(_xludf.XLOOKUP("Gastos_Aduana",PARAMETROS_IMPORTACION!$A:$A,PARAMETROS_IMPORTACION!$C:$C,0),0)</f>
        <v>0</v>
      </c>
      <c r="L218" s="2">
        <f t="shared" si="7"/>
        <v>0</v>
      </c>
    </row>
    <row r="219" spans="5:12" x14ac:dyDescent="0.35">
      <c r="E219" s="2"/>
      <c r="F219" s="2">
        <f>_xlfn.XLOOKUP(D219,TIPOS_CAMBIO!A:A,TIPOS_CAMBIO!B:B,"",0)</f>
        <v>0</v>
      </c>
      <c r="G219" s="3">
        <f t="shared" si="6"/>
        <v>0</v>
      </c>
      <c r="H219" s="3"/>
      <c r="I219" s="3">
        <f ca="1">IFERROR(_xludf.XLOOKUP("Seguro",PARAMETROS_IMPORTACION!$A:$A,PARAMETROS_IMPORTACION!$C:$C,0),0)</f>
        <v>0</v>
      </c>
      <c r="J219" s="3">
        <f ca="1">IFERROR(_xludf.XLOOKUP("Arancel",PARAMETROS_IMPORTACION!$A:$A,PARAMETROS_IMPORTACION!$C:$C,0),0)</f>
        <v>0</v>
      </c>
      <c r="K219" s="2">
        <f ca="1">IFERROR(_xludf.XLOOKUP("Gastos_Aduana",PARAMETROS_IMPORTACION!$A:$A,PARAMETROS_IMPORTACION!$C:$C,0),0)</f>
        <v>0</v>
      </c>
      <c r="L219" s="2">
        <f t="shared" si="7"/>
        <v>0</v>
      </c>
    </row>
    <row r="220" spans="5:12" x14ac:dyDescent="0.35">
      <c r="E220" s="2"/>
      <c r="F220" s="2">
        <f>_xlfn.XLOOKUP(D220,TIPOS_CAMBIO!A:A,TIPOS_CAMBIO!B:B,"",0)</f>
        <v>0</v>
      </c>
      <c r="G220" s="3">
        <f t="shared" si="6"/>
        <v>0</v>
      </c>
      <c r="H220" s="3"/>
      <c r="I220" s="3">
        <f ca="1">IFERROR(_xludf.XLOOKUP("Seguro",PARAMETROS_IMPORTACION!$A:$A,PARAMETROS_IMPORTACION!$C:$C,0),0)</f>
        <v>0</v>
      </c>
      <c r="J220" s="3">
        <f ca="1">IFERROR(_xludf.XLOOKUP("Arancel",PARAMETROS_IMPORTACION!$A:$A,PARAMETROS_IMPORTACION!$C:$C,0),0)</f>
        <v>0</v>
      </c>
      <c r="K220" s="2">
        <f ca="1">IFERROR(_xludf.XLOOKUP("Gastos_Aduana",PARAMETROS_IMPORTACION!$A:$A,PARAMETROS_IMPORTACION!$C:$C,0),0)</f>
        <v>0</v>
      </c>
      <c r="L220" s="2">
        <f t="shared" si="7"/>
        <v>0</v>
      </c>
    </row>
    <row r="221" spans="5:12" x14ac:dyDescent="0.35">
      <c r="E221" s="2"/>
      <c r="F221" s="2">
        <f>_xlfn.XLOOKUP(D221,TIPOS_CAMBIO!A:A,TIPOS_CAMBIO!B:B,"",0)</f>
        <v>0</v>
      </c>
      <c r="G221" s="3">
        <f t="shared" si="6"/>
        <v>0</v>
      </c>
      <c r="H221" s="3"/>
      <c r="I221" s="3">
        <f ca="1">IFERROR(_xludf.XLOOKUP("Seguro",PARAMETROS_IMPORTACION!$A:$A,PARAMETROS_IMPORTACION!$C:$C,0),0)</f>
        <v>0</v>
      </c>
      <c r="J221" s="3">
        <f ca="1">IFERROR(_xludf.XLOOKUP("Arancel",PARAMETROS_IMPORTACION!$A:$A,PARAMETROS_IMPORTACION!$C:$C,0),0)</f>
        <v>0</v>
      </c>
      <c r="K221" s="2">
        <f ca="1">IFERROR(_xludf.XLOOKUP("Gastos_Aduana",PARAMETROS_IMPORTACION!$A:$A,PARAMETROS_IMPORTACION!$C:$C,0),0)</f>
        <v>0</v>
      </c>
      <c r="L221" s="2">
        <f t="shared" si="7"/>
        <v>0</v>
      </c>
    </row>
    <row r="222" spans="5:12" x14ac:dyDescent="0.35">
      <c r="E222" s="2"/>
      <c r="F222" s="2">
        <f>_xlfn.XLOOKUP(D222,TIPOS_CAMBIO!A:A,TIPOS_CAMBIO!B:B,"",0)</f>
        <v>0</v>
      </c>
      <c r="G222" s="3">
        <f t="shared" si="6"/>
        <v>0</v>
      </c>
      <c r="H222" s="3"/>
      <c r="I222" s="3">
        <f ca="1">IFERROR(_xludf.XLOOKUP("Seguro",PARAMETROS_IMPORTACION!$A:$A,PARAMETROS_IMPORTACION!$C:$C,0),0)</f>
        <v>0</v>
      </c>
      <c r="J222" s="3">
        <f ca="1">IFERROR(_xludf.XLOOKUP("Arancel",PARAMETROS_IMPORTACION!$A:$A,PARAMETROS_IMPORTACION!$C:$C,0),0)</f>
        <v>0</v>
      </c>
      <c r="K222" s="2">
        <f ca="1">IFERROR(_xludf.XLOOKUP("Gastos_Aduana",PARAMETROS_IMPORTACION!$A:$A,PARAMETROS_IMPORTACION!$C:$C,0),0)</f>
        <v>0</v>
      </c>
      <c r="L222" s="2">
        <f t="shared" si="7"/>
        <v>0</v>
      </c>
    </row>
    <row r="223" spans="5:12" x14ac:dyDescent="0.35">
      <c r="E223" s="2"/>
      <c r="F223" s="2">
        <f>_xlfn.XLOOKUP(D223,TIPOS_CAMBIO!A:A,TIPOS_CAMBIO!B:B,"",0)</f>
        <v>0</v>
      </c>
      <c r="G223" s="3">
        <f t="shared" si="6"/>
        <v>0</v>
      </c>
      <c r="H223" s="3"/>
      <c r="I223" s="3">
        <f ca="1">IFERROR(_xludf.XLOOKUP("Seguro",PARAMETROS_IMPORTACION!$A:$A,PARAMETROS_IMPORTACION!$C:$C,0),0)</f>
        <v>0</v>
      </c>
      <c r="J223" s="3">
        <f ca="1">IFERROR(_xludf.XLOOKUP("Arancel",PARAMETROS_IMPORTACION!$A:$A,PARAMETROS_IMPORTACION!$C:$C,0),0)</f>
        <v>0</v>
      </c>
      <c r="K223" s="2">
        <f ca="1">IFERROR(_xludf.XLOOKUP("Gastos_Aduana",PARAMETROS_IMPORTACION!$A:$A,PARAMETROS_IMPORTACION!$C:$C,0),0)</f>
        <v>0</v>
      </c>
      <c r="L223" s="2">
        <f t="shared" si="7"/>
        <v>0</v>
      </c>
    </row>
    <row r="224" spans="5:12" x14ac:dyDescent="0.35">
      <c r="E224" s="2"/>
      <c r="F224" s="2">
        <f>_xlfn.XLOOKUP(D224,TIPOS_CAMBIO!A:A,TIPOS_CAMBIO!B:B,"",0)</f>
        <v>0</v>
      </c>
      <c r="G224" s="3">
        <f t="shared" si="6"/>
        <v>0</v>
      </c>
      <c r="H224" s="3"/>
      <c r="I224" s="3">
        <f ca="1">IFERROR(_xludf.XLOOKUP("Seguro",PARAMETROS_IMPORTACION!$A:$A,PARAMETROS_IMPORTACION!$C:$C,0),0)</f>
        <v>0</v>
      </c>
      <c r="J224" s="3">
        <f ca="1">IFERROR(_xludf.XLOOKUP("Arancel",PARAMETROS_IMPORTACION!$A:$A,PARAMETROS_IMPORTACION!$C:$C,0),0)</f>
        <v>0</v>
      </c>
      <c r="K224" s="2">
        <f ca="1">IFERROR(_xludf.XLOOKUP("Gastos_Aduana",PARAMETROS_IMPORTACION!$A:$A,PARAMETROS_IMPORTACION!$C:$C,0),0)</f>
        <v>0</v>
      </c>
      <c r="L224" s="2">
        <f t="shared" si="7"/>
        <v>0</v>
      </c>
    </row>
    <row r="225" spans="5:12" x14ac:dyDescent="0.35">
      <c r="E225" s="2"/>
      <c r="F225" s="2">
        <f>_xlfn.XLOOKUP(D225,TIPOS_CAMBIO!A:A,TIPOS_CAMBIO!B:B,"",0)</f>
        <v>0</v>
      </c>
      <c r="G225" s="3">
        <f t="shared" si="6"/>
        <v>0</v>
      </c>
      <c r="H225" s="3"/>
      <c r="I225" s="3">
        <f ca="1">IFERROR(_xludf.XLOOKUP("Seguro",PARAMETROS_IMPORTACION!$A:$A,PARAMETROS_IMPORTACION!$C:$C,0),0)</f>
        <v>0</v>
      </c>
      <c r="J225" s="3">
        <f ca="1">IFERROR(_xludf.XLOOKUP("Arancel",PARAMETROS_IMPORTACION!$A:$A,PARAMETROS_IMPORTACION!$C:$C,0),0)</f>
        <v>0</v>
      </c>
      <c r="K225" s="2">
        <f ca="1">IFERROR(_xludf.XLOOKUP("Gastos_Aduana",PARAMETROS_IMPORTACION!$A:$A,PARAMETROS_IMPORTACION!$C:$C,0),0)</f>
        <v>0</v>
      </c>
      <c r="L225" s="2">
        <f t="shared" si="7"/>
        <v>0</v>
      </c>
    </row>
    <row r="226" spans="5:12" x14ac:dyDescent="0.35">
      <c r="E226" s="2"/>
      <c r="F226" s="2">
        <f>_xlfn.XLOOKUP(D226,TIPOS_CAMBIO!A:A,TIPOS_CAMBIO!B:B,"",0)</f>
        <v>0</v>
      </c>
      <c r="G226" s="3">
        <f t="shared" si="6"/>
        <v>0</v>
      </c>
      <c r="H226" s="3"/>
      <c r="I226" s="3">
        <f ca="1">IFERROR(_xludf.XLOOKUP("Seguro",PARAMETROS_IMPORTACION!$A:$A,PARAMETROS_IMPORTACION!$C:$C,0),0)</f>
        <v>0</v>
      </c>
      <c r="J226" s="3">
        <f ca="1">IFERROR(_xludf.XLOOKUP("Arancel",PARAMETROS_IMPORTACION!$A:$A,PARAMETROS_IMPORTACION!$C:$C,0),0)</f>
        <v>0</v>
      </c>
      <c r="K226" s="2">
        <f ca="1">IFERROR(_xludf.XLOOKUP("Gastos_Aduana",PARAMETROS_IMPORTACION!$A:$A,PARAMETROS_IMPORTACION!$C:$C,0),0)</f>
        <v>0</v>
      </c>
      <c r="L226" s="2">
        <f t="shared" si="7"/>
        <v>0</v>
      </c>
    </row>
    <row r="227" spans="5:12" x14ac:dyDescent="0.35">
      <c r="E227" s="2"/>
      <c r="F227" s="2">
        <f>_xlfn.XLOOKUP(D227,TIPOS_CAMBIO!A:A,TIPOS_CAMBIO!B:B,"",0)</f>
        <v>0</v>
      </c>
      <c r="G227" s="3">
        <f t="shared" si="6"/>
        <v>0</v>
      </c>
      <c r="H227" s="3"/>
      <c r="I227" s="3">
        <f ca="1">IFERROR(_xludf.XLOOKUP("Seguro",PARAMETROS_IMPORTACION!$A:$A,PARAMETROS_IMPORTACION!$C:$C,0),0)</f>
        <v>0</v>
      </c>
      <c r="J227" s="3">
        <f ca="1">IFERROR(_xludf.XLOOKUP("Arancel",PARAMETROS_IMPORTACION!$A:$A,PARAMETROS_IMPORTACION!$C:$C,0),0)</f>
        <v>0</v>
      </c>
      <c r="K227" s="2">
        <f ca="1">IFERROR(_xludf.XLOOKUP("Gastos_Aduana",PARAMETROS_IMPORTACION!$A:$A,PARAMETROS_IMPORTACION!$C:$C,0),0)</f>
        <v>0</v>
      </c>
      <c r="L227" s="2">
        <f t="shared" si="7"/>
        <v>0</v>
      </c>
    </row>
    <row r="228" spans="5:12" x14ac:dyDescent="0.35">
      <c r="E228" s="2"/>
      <c r="F228" s="2">
        <f>_xlfn.XLOOKUP(D228,TIPOS_CAMBIO!A:A,TIPOS_CAMBIO!B:B,"",0)</f>
        <v>0</v>
      </c>
      <c r="G228" s="3">
        <f t="shared" si="6"/>
        <v>0</v>
      </c>
      <c r="H228" s="3"/>
      <c r="I228" s="3">
        <f ca="1">IFERROR(_xludf.XLOOKUP("Seguro",PARAMETROS_IMPORTACION!$A:$A,PARAMETROS_IMPORTACION!$C:$C,0),0)</f>
        <v>0</v>
      </c>
      <c r="J228" s="3">
        <f ca="1">IFERROR(_xludf.XLOOKUP("Arancel",PARAMETROS_IMPORTACION!$A:$A,PARAMETROS_IMPORTACION!$C:$C,0),0)</f>
        <v>0</v>
      </c>
      <c r="K228" s="2">
        <f ca="1">IFERROR(_xludf.XLOOKUP("Gastos_Aduana",PARAMETROS_IMPORTACION!$A:$A,PARAMETROS_IMPORTACION!$C:$C,0),0)</f>
        <v>0</v>
      </c>
      <c r="L228" s="2">
        <f t="shared" si="7"/>
        <v>0</v>
      </c>
    </row>
    <row r="229" spans="5:12" x14ac:dyDescent="0.35">
      <c r="E229" s="2"/>
      <c r="F229" s="2">
        <f>_xlfn.XLOOKUP(D229,TIPOS_CAMBIO!A:A,TIPOS_CAMBIO!B:B,"",0)</f>
        <v>0</v>
      </c>
      <c r="G229" s="3">
        <f t="shared" si="6"/>
        <v>0</v>
      </c>
      <c r="H229" s="3"/>
      <c r="I229" s="3">
        <f ca="1">IFERROR(_xludf.XLOOKUP("Seguro",PARAMETROS_IMPORTACION!$A:$A,PARAMETROS_IMPORTACION!$C:$C,0),0)</f>
        <v>0</v>
      </c>
      <c r="J229" s="3">
        <f ca="1">IFERROR(_xludf.XLOOKUP("Arancel",PARAMETROS_IMPORTACION!$A:$A,PARAMETROS_IMPORTACION!$C:$C,0),0)</f>
        <v>0</v>
      </c>
      <c r="K229" s="2">
        <f ca="1">IFERROR(_xludf.XLOOKUP("Gastos_Aduana",PARAMETROS_IMPORTACION!$A:$A,PARAMETROS_IMPORTACION!$C:$C,0),0)</f>
        <v>0</v>
      </c>
      <c r="L229" s="2">
        <f t="shared" si="7"/>
        <v>0</v>
      </c>
    </row>
    <row r="230" spans="5:12" x14ac:dyDescent="0.35">
      <c r="E230" s="2"/>
      <c r="F230" s="2">
        <f>_xlfn.XLOOKUP(D230,TIPOS_CAMBIO!A:A,TIPOS_CAMBIO!B:B,"",0)</f>
        <v>0</v>
      </c>
      <c r="G230" s="3">
        <f t="shared" si="6"/>
        <v>0</v>
      </c>
      <c r="H230" s="3"/>
      <c r="I230" s="3">
        <f ca="1">IFERROR(_xludf.XLOOKUP("Seguro",PARAMETROS_IMPORTACION!$A:$A,PARAMETROS_IMPORTACION!$C:$C,0),0)</f>
        <v>0</v>
      </c>
      <c r="J230" s="3">
        <f ca="1">IFERROR(_xludf.XLOOKUP("Arancel",PARAMETROS_IMPORTACION!$A:$A,PARAMETROS_IMPORTACION!$C:$C,0),0)</f>
        <v>0</v>
      </c>
      <c r="K230" s="2">
        <f ca="1">IFERROR(_xludf.XLOOKUP("Gastos_Aduana",PARAMETROS_IMPORTACION!$A:$A,PARAMETROS_IMPORTACION!$C:$C,0),0)</f>
        <v>0</v>
      </c>
      <c r="L230" s="2">
        <f t="shared" si="7"/>
        <v>0</v>
      </c>
    </row>
    <row r="231" spans="5:12" x14ac:dyDescent="0.35">
      <c r="E231" s="2"/>
      <c r="F231" s="2">
        <f>_xlfn.XLOOKUP(D231,TIPOS_CAMBIO!A:A,TIPOS_CAMBIO!B:B,"",0)</f>
        <v>0</v>
      </c>
      <c r="G231" s="3">
        <f t="shared" si="6"/>
        <v>0</v>
      </c>
      <c r="H231" s="3"/>
      <c r="I231" s="3">
        <f ca="1">IFERROR(_xludf.XLOOKUP("Seguro",PARAMETROS_IMPORTACION!$A:$A,PARAMETROS_IMPORTACION!$C:$C,0),0)</f>
        <v>0</v>
      </c>
      <c r="J231" s="3">
        <f ca="1">IFERROR(_xludf.XLOOKUP("Arancel",PARAMETROS_IMPORTACION!$A:$A,PARAMETROS_IMPORTACION!$C:$C,0),0)</f>
        <v>0</v>
      </c>
      <c r="K231" s="2">
        <f ca="1">IFERROR(_xludf.XLOOKUP("Gastos_Aduana",PARAMETROS_IMPORTACION!$A:$A,PARAMETROS_IMPORTACION!$C:$C,0),0)</f>
        <v>0</v>
      </c>
      <c r="L231" s="2">
        <f t="shared" si="7"/>
        <v>0</v>
      </c>
    </row>
    <row r="232" spans="5:12" x14ac:dyDescent="0.35">
      <c r="E232" s="2"/>
      <c r="F232" s="2">
        <f>_xlfn.XLOOKUP(D232,TIPOS_CAMBIO!A:A,TIPOS_CAMBIO!B:B,"",0)</f>
        <v>0</v>
      </c>
      <c r="G232" s="3">
        <f t="shared" si="6"/>
        <v>0</v>
      </c>
      <c r="H232" s="3"/>
      <c r="I232" s="3">
        <f ca="1">IFERROR(_xludf.XLOOKUP("Seguro",PARAMETROS_IMPORTACION!$A:$A,PARAMETROS_IMPORTACION!$C:$C,0),0)</f>
        <v>0</v>
      </c>
      <c r="J232" s="3">
        <f ca="1">IFERROR(_xludf.XLOOKUP("Arancel",PARAMETROS_IMPORTACION!$A:$A,PARAMETROS_IMPORTACION!$C:$C,0),0)</f>
        <v>0</v>
      </c>
      <c r="K232" s="2">
        <f ca="1">IFERROR(_xludf.XLOOKUP("Gastos_Aduana",PARAMETROS_IMPORTACION!$A:$A,PARAMETROS_IMPORTACION!$C:$C,0),0)</f>
        <v>0</v>
      </c>
      <c r="L232" s="2">
        <f t="shared" si="7"/>
        <v>0</v>
      </c>
    </row>
    <row r="233" spans="5:12" x14ac:dyDescent="0.35">
      <c r="E233" s="2"/>
      <c r="F233" s="2">
        <f>_xlfn.XLOOKUP(D233,TIPOS_CAMBIO!A:A,TIPOS_CAMBIO!B:B,"",0)</f>
        <v>0</v>
      </c>
      <c r="G233" s="3">
        <f t="shared" si="6"/>
        <v>0</v>
      </c>
      <c r="H233" s="3"/>
      <c r="I233" s="3">
        <f ca="1">IFERROR(_xludf.XLOOKUP("Seguro",PARAMETROS_IMPORTACION!$A:$A,PARAMETROS_IMPORTACION!$C:$C,0),0)</f>
        <v>0</v>
      </c>
      <c r="J233" s="3">
        <f ca="1">IFERROR(_xludf.XLOOKUP("Arancel",PARAMETROS_IMPORTACION!$A:$A,PARAMETROS_IMPORTACION!$C:$C,0),0)</f>
        <v>0</v>
      </c>
      <c r="K233" s="2">
        <f ca="1">IFERROR(_xludf.XLOOKUP("Gastos_Aduana",PARAMETROS_IMPORTACION!$A:$A,PARAMETROS_IMPORTACION!$C:$C,0),0)</f>
        <v>0</v>
      </c>
      <c r="L233" s="2">
        <f t="shared" si="7"/>
        <v>0</v>
      </c>
    </row>
    <row r="234" spans="5:12" x14ac:dyDescent="0.35">
      <c r="E234" s="2"/>
      <c r="F234" s="2">
        <f>_xlfn.XLOOKUP(D234,TIPOS_CAMBIO!A:A,TIPOS_CAMBIO!B:B,"",0)</f>
        <v>0</v>
      </c>
      <c r="G234" s="3">
        <f t="shared" si="6"/>
        <v>0</v>
      </c>
      <c r="H234" s="3"/>
      <c r="I234" s="3">
        <f ca="1">IFERROR(_xludf.XLOOKUP("Seguro",PARAMETROS_IMPORTACION!$A:$A,PARAMETROS_IMPORTACION!$C:$C,0),0)</f>
        <v>0</v>
      </c>
      <c r="J234" s="3">
        <f ca="1">IFERROR(_xludf.XLOOKUP("Arancel",PARAMETROS_IMPORTACION!$A:$A,PARAMETROS_IMPORTACION!$C:$C,0),0)</f>
        <v>0</v>
      </c>
      <c r="K234" s="2">
        <f ca="1">IFERROR(_xludf.XLOOKUP("Gastos_Aduana",PARAMETROS_IMPORTACION!$A:$A,PARAMETROS_IMPORTACION!$C:$C,0),0)</f>
        <v>0</v>
      </c>
      <c r="L234" s="2">
        <f t="shared" si="7"/>
        <v>0</v>
      </c>
    </row>
    <row r="235" spans="5:12" x14ac:dyDescent="0.35">
      <c r="E235" s="2"/>
      <c r="F235" s="2">
        <f>_xlfn.XLOOKUP(D235,TIPOS_CAMBIO!A:A,TIPOS_CAMBIO!B:B,"",0)</f>
        <v>0</v>
      </c>
      <c r="G235" s="3">
        <f t="shared" si="6"/>
        <v>0</v>
      </c>
      <c r="H235" s="3"/>
      <c r="I235" s="3">
        <f ca="1">IFERROR(_xludf.XLOOKUP("Seguro",PARAMETROS_IMPORTACION!$A:$A,PARAMETROS_IMPORTACION!$C:$C,0),0)</f>
        <v>0</v>
      </c>
      <c r="J235" s="3">
        <f ca="1">IFERROR(_xludf.XLOOKUP("Arancel",PARAMETROS_IMPORTACION!$A:$A,PARAMETROS_IMPORTACION!$C:$C,0),0)</f>
        <v>0</v>
      </c>
      <c r="K235" s="2">
        <f ca="1">IFERROR(_xludf.XLOOKUP("Gastos_Aduana",PARAMETROS_IMPORTACION!$A:$A,PARAMETROS_IMPORTACION!$C:$C,0),0)</f>
        <v>0</v>
      </c>
      <c r="L235" s="2">
        <f t="shared" si="7"/>
        <v>0</v>
      </c>
    </row>
    <row r="236" spans="5:12" x14ac:dyDescent="0.35">
      <c r="E236" s="2"/>
      <c r="F236" s="2">
        <f>_xlfn.XLOOKUP(D236,TIPOS_CAMBIO!A:A,TIPOS_CAMBIO!B:B,"",0)</f>
        <v>0</v>
      </c>
      <c r="G236" s="3">
        <f t="shared" si="6"/>
        <v>0</v>
      </c>
      <c r="H236" s="3"/>
      <c r="I236" s="3">
        <f ca="1">IFERROR(_xludf.XLOOKUP("Seguro",PARAMETROS_IMPORTACION!$A:$A,PARAMETROS_IMPORTACION!$C:$C,0),0)</f>
        <v>0</v>
      </c>
      <c r="J236" s="3">
        <f ca="1">IFERROR(_xludf.XLOOKUP("Arancel",PARAMETROS_IMPORTACION!$A:$A,PARAMETROS_IMPORTACION!$C:$C,0),0)</f>
        <v>0</v>
      </c>
      <c r="K236" s="2">
        <f ca="1">IFERROR(_xludf.XLOOKUP("Gastos_Aduana",PARAMETROS_IMPORTACION!$A:$A,PARAMETROS_IMPORTACION!$C:$C,0),0)</f>
        <v>0</v>
      </c>
      <c r="L236" s="2">
        <f t="shared" si="7"/>
        <v>0</v>
      </c>
    </row>
    <row r="237" spans="5:12" x14ac:dyDescent="0.35">
      <c r="E237" s="2"/>
      <c r="F237" s="2">
        <f>_xlfn.XLOOKUP(D237,TIPOS_CAMBIO!A:A,TIPOS_CAMBIO!B:B,"",0)</f>
        <v>0</v>
      </c>
      <c r="G237" s="3">
        <f t="shared" si="6"/>
        <v>0</v>
      </c>
      <c r="H237" s="3"/>
      <c r="I237" s="3">
        <f ca="1">IFERROR(_xludf.XLOOKUP("Seguro",PARAMETROS_IMPORTACION!$A:$A,PARAMETROS_IMPORTACION!$C:$C,0),0)</f>
        <v>0</v>
      </c>
      <c r="J237" s="3">
        <f ca="1">IFERROR(_xludf.XLOOKUP("Arancel",PARAMETROS_IMPORTACION!$A:$A,PARAMETROS_IMPORTACION!$C:$C,0),0)</f>
        <v>0</v>
      </c>
      <c r="K237" s="2">
        <f ca="1">IFERROR(_xludf.XLOOKUP("Gastos_Aduana",PARAMETROS_IMPORTACION!$A:$A,PARAMETROS_IMPORTACION!$C:$C,0),0)</f>
        <v>0</v>
      </c>
      <c r="L237" s="2">
        <f t="shared" si="7"/>
        <v>0</v>
      </c>
    </row>
    <row r="238" spans="5:12" x14ac:dyDescent="0.35">
      <c r="E238" s="2"/>
      <c r="F238" s="2">
        <f>_xlfn.XLOOKUP(D238,TIPOS_CAMBIO!A:A,TIPOS_CAMBIO!B:B,"",0)</f>
        <v>0</v>
      </c>
      <c r="G238" s="3">
        <f t="shared" si="6"/>
        <v>0</v>
      </c>
      <c r="H238" s="3"/>
      <c r="I238" s="3">
        <f ca="1">IFERROR(_xludf.XLOOKUP("Seguro",PARAMETROS_IMPORTACION!$A:$A,PARAMETROS_IMPORTACION!$C:$C,0),0)</f>
        <v>0</v>
      </c>
      <c r="J238" s="3">
        <f ca="1">IFERROR(_xludf.XLOOKUP("Arancel",PARAMETROS_IMPORTACION!$A:$A,PARAMETROS_IMPORTACION!$C:$C,0),0)</f>
        <v>0</v>
      </c>
      <c r="K238" s="2">
        <f ca="1">IFERROR(_xludf.XLOOKUP("Gastos_Aduana",PARAMETROS_IMPORTACION!$A:$A,PARAMETROS_IMPORTACION!$C:$C,0),0)</f>
        <v>0</v>
      </c>
      <c r="L238" s="2">
        <f t="shared" si="7"/>
        <v>0</v>
      </c>
    </row>
    <row r="239" spans="5:12" x14ac:dyDescent="0.35">
      <c r="E239" s="2"/>
      <c r="F239" s="2">
        <f>_xlfn.XLOOKUP(D239,TIPOS_CAMBIO!A:A,TIPOS_CAMBIO!B:B,"",0)</f>
        <v>0</v>
      </c>
      <c r="G239" s="3">
        <f t="shared" si="6"/>
        <v>0</v>
      </c>
      <c r="H239" s="3"/>
      <c r="I239" s="3">
        <f ca="1">IFERROR(_xludf.XLOOKUP("Seguro",PARAMETROS_IMPORTACION!$A:$A,PARAMETROS_IMPORTACION!$C:$C,0),0)</f>
        <v>0</v>
      </c>
      <c r="J239" s="3">
        <f ca="1">IFERROR(_xludf.XLOOKUP("Arancel",PARAMETROS_IMPORTACION!$A:$A,PARAMETROS_IMPORTACION!$C:$C,0),0)</f>
        <v>0</v>
      </c>
      <c r="K239" s="2">
        <f ca="1">IFERROR(_xludf.XLOOKUP("Gastos_Aduana",PARAMETROS_IMPORTACION!$A:$A,PARAMETROS_IMPORTACION!$C:$C,0),0)</f>
        <v>0</v>
      </c>
      <c r="L239" s="2">
        <f t="shared" si="7"/>
        <v>0</v>
      </c>
    </row>
    <row r="240" spans="5:12" x14ac:dyDescent="0.35">
      <c r="E240" s="2"/>
      <c r="F240" s="2">
        <f>_xlfn.XLOOKUP(D240,TIPOS_CAMBIO!A:A,TIPOS_CAMBIO!B:B,"",0)</f>
        <v>0</v>
      </c>
      <c r="G240" s="3">
        <f t="shared" si="6"/>
        <v>0</v>
      </c>
      <c r="H240" s="3"/>
      <c r="I240" s="3">
        <f ca="1">IFERROR(_xludf.XLOOKUP("Seguro",PARAMETROS_IMPORTACION!$A:$A,PARAMETROS_IMPORTACION!$C:$C,0),0)</f>
        <v>0</v>
      </c>
      <c r="J240" s="3">
        <f ca="1">IFERROR(_xludf.XLOOKUP("Arancel",PARAMETROS_IMPORTACION!$A:$A,PARAMETROS_IMPORTACION!$C:$C,0),0)</f>
        <v>0</v>
      </c>
      <c r="K240" s="2">
        <f ca="1">IFERROR(_xludf.XLOOKUP("Gastos_Aduana",PARAMETROS_IMPORTACION!$A:$A,PARAMETROS_IMPORTACION!$C:$C,0),0)</f>
        <v>0</v>
      </c>
      <c r="L240" s="2">
        <f t="shared" si="7"/>
        <v>0</v>
      </c>
    </row>
    <row r="241" spans="5:12" x14ac:dyDescent="0.35">
      <c r="E241" s="2"/>
      <c r="F241" s="2">
        <f>_xlfn.XLOOKUP(D241,TIPOS_CAMBIO!A:A,TIPOS_CAMBIO!B:B,"",0)</f>
        <v>0</v>
      </c>
      <c r="G241" s="3">
        <f t="shared" si="6"/>
        <v>0</v>
      </c>
      <c r="H241" s="3"/>
      <c r="I241" s="3">
        <f ca="1">IFERROR(_xludf.XLOOKUP("Seguro",PARAMETROS_IMPORTACION!$A:$A,PARAMETROS_IMPORTACION!$C:$C,0),0)</f>
        <v>0</v>
      </c>
      <c r="J241" s="3">
        <f ca="1">IFERROR(_xludf.XLOOKUP("Arancel",PARAMETROS_IMPORTACION!$A:$A,PARAMETROS_IMPORTACION!$C:$C,0),0)</f>
        <v>0</v>
      </c>
      <c r="K241" s="2">
        <f ca="1">IFERROR(_xludf.XLOOKUP("Gastos_Aduana",PARAMETROS_IMPORTACION!$A:$A,PARAMETROS_IMPORTACION!$C:$C,0),0)</f>
        <v>0</v>
      </c>
      <c r="L241" s="2">
        <f t="shared" si="7"/>
        <v>0</v>
      </c>
    </row>
    <row r="242" spans="5:12" x14ac:dyDescent="0.35">
      <c r="E242" s="2"/>
      <c r="F242" s="2">
        <f>_xlfn.XLOOKUP(D242,TIPOS_CAMBIO!A:A,TIPOS_CAMBIO!B:B,"",0)</f>
        <v>0</v>
      </c>
      <c r="G242" s="3">
        <f t="shared" si="6"/>
        <v>0</v>
      </c>
      <c r="H242" s="3"/>
      <c r="I242" s="3">
        <f ca="1">IFERROR(_xludf.XLOOKUP("Seguro",PARAMETROS_IMPORTACION!$A:$A,PARAMETROS_IMPORTACION!$C:$C,0),0)</f>
        <v>0</v>
      </c>
      <c r="J242" s="3">
        <f ca="1">IFERROR(_xludf.XLOOKUP("Arancel",PARAMETROS_IMPORTACION!$A:$A,PARAMETROS_IMPORTACION!$C:$C,0),0)</f>
        <v>0</v>
      </c>
      <c r="K242" s="2">
        <f ca="1">IFERROR(_xludf.XLOOKUP("Gastos_Aduana",PARAMETROS_IMPORTACION!$A:$A,PARAMETROS_IMPORTACION!$C:$C,0),0)</f>
        <v>0</v>
      </c>
      <c r="L242" s="2">
        <f t="shared" si="7"/>
        <v>0</v>
      </c>
    </row>
    <row r="243" spans="5:12" x14ac:dyDescent="0.35">
      <c r="E243" s="2"/>
      <c r="F243" s="2">
        <f>_xlfn.XLOOKUP(D243,TIPOS_CAMBIO!A:A,TIPOS_CAMBIO!B:B,"",0)</f>
        <v>0</v>
      </c>
      <c r="G243" s="3">
        <f t="shared" si="6"/>
        <v>0</v>
      </c>
      <c r="H243" s="3"/>
      <c r="I243" s="3">
        <f ca="1">IFERROR(_xludf.XLOOKUP("Seguro",PARAMETROS_IMPORTACION!$A:$A,PARAMETROS_IMPORTACION!$C:$C,0),0)</f>
        <v>0</v>
      </c>
      <c r="J243" s="3">
        <f ca="1">IFERROR(_xludf.XLOOKUP("Arancel",PARAMETROS_IMPORTACION!$A:$A,PARAMETROS_IMPORTACION!$C:$C,0),0)</f>
        <v>0</v>
      </c>
      <c r="K243" s="2">
        <f ca="1">IFERROR(_xludf.XLOOKUP("Gastos_Aduana",PARAMETROS_IMPORTACION!$A:$A,PARAMETROS_IMPORTACION!$C:$C,0),0)</f>
        <v>0</v>
      </c>
      <c r="L243" s="2">
        <f t="shared" si="7"/>
        <v>0</v>
      </c>
    </row>
    <row r="244" spans="5:12" x14ac:dyDescent="0.35">
      <c r="E244" s="2"/>
      <c r="F244" s="2">
        <f>_xlfn.XLOOKUP(D244,TIPOS_CAMBIO!A:A,TIPOS_CAMBIO!B:B,"",0)</f>
        <v>0</v>
      </c>
      <c r="G244" s="3">
        <f t="shared" si="6"/>
        <v>0</v>
      </c>
      <c r="H244" s="3"/>
      <c r="I244" s="3">
        <f ca="1">IFERROR(_xludf.XLOOKUP("Seguro",PARAMETROS_IMPORTACION!$A:$A,PARAMETROS_IMPORTACION!$C:$C,0),0)</f>
        <v>0</v>
      </c>
      <c r="J244" s="3">
        <f ca="1">IFERROR(_xludf.XLOOKUP("Arancel",PARAMETROS_IMPORTACION!$A:$A,PARAMETROS_IMPORTACION!$C:$C,0),0)</f>
        <v>0</v>
      </c>
      <c r="K244" s="2">
        <f ca="1">IFERROR(_xludf.XLOOKUP("Gastos_Aduana",PARAMETROS_IMPORTACION!$A:$A,PARAMETROS_IMPORTACION!$C:$C,0),0)</f>
        <v>0</v>
      </c>
      <c r="L244" s="2">
        <f t="shared" si="7"/>
        <v>0</v>
      </c>
    </row>
    <row r="245" spans="5:12" x14ac:dyDescent="0.35">
      <c r="E245" s="2"/>
      <c r="F245" s="2">
        <f>_xlfn.XLOOKUP(D245,TIPOS_CAMBIO!A:A,TIPOS_CAMBIO!B:B,"",0)</f>
        <v>0</v>
      </c>
      <c r="G245" s="3">
        <f t="shared" si="6"/>
        <v>0</v>
      </c>
      <c r="H245" s="3"/>
      <c r="I245" s="3">
        <f ca="1">IFERROR(_xludf.XLOOKUP("Seguro",PARAMETROS_IMPORTACION!$A:$A,PARAMETROS_IMPORTACION!$C:$C,0),0)</f>
        <v>0</v>
      </c>
      <c r="J245" s="3">
        <f ca="1">IFERROR(_xludf.XLOOKUP("Arancel",PARAMETROS_IMPORTACION!$A:$A,PARAMETROS_IMPORTACION!$C:$C,0),0)</f>
        <v>0</v>
      </c>
      <c r="K245" s="2">
        <f ca="1">IFERROR(_xludf.XLOOKUP("Gastos_Aduana",PARAMETROS_IMPORTACION!$A:$A,PARAMETROS_IMPORTACION!$C:$C,0),0)</f>
        <v>0</v>
      </c>
      <c r="L245" s="2">
        <f t="shared" si="7"/>
        <v>0</v>
      </c>
    </row>
    <row r="246" spans="5:12" x14ac:dyDescent="0.35">
      <c r="E246" s="2"/>
      <c r="F246" s="2">
        <f>_xlfn.XLOOKUP(D246,TIPOS_CAMBIO!A:A,TIPOS_CAMBIO!B:B,"",0)</f>
        <v>0</v>
      </c>
      <c r="G246" s="3">
        <f t="shared" si="6"/>
        <v>0</v>
      </c>
      <c r="H246" s="3"/>
      <c r="I246" s="3">
        <f ca="1">IFERROR(_xludf.XLOOKUP("Seguro",PARAMETROS_IMPORTACION!$A:$A,PARAMETROS_IMPORTACION!$C:$C,0),0)</f>
        <v>0</v>
      </c>
      <c r="J246" s="3">
        <f ca="1">IFERROR(_xludf.XLOOKUP("Arancel",PARAMETROS_IMPORTACION!$A:$A,PARAMETROS_IMPORTACION!$C:$C,0),0)</f>
        <v>0</v>
      </c>
      <c r="K246" s="2">
        <f ca="1">IFERROR(_xludf.XLOOKUP("Gastos_Aduana",PARAMETROS_IMPORTACION!$A:$A,PARAMETROS_IMPORTACION!$C:$C,0),0)</f>
        <v>0</v>
      </c>
      <c r="L246" s="2">
        <f t="shared" si="7"/>
        <v>0</v>
      </c>
    </row>
    <row r="247" spans="5:12" x14ac:dyDescent="0.35">
      <c r="E247" s="2"/>
      <c r="F247" s="2">
        <f>_xlfn.XLOOKUP(D247,TIPOS_CAMBIO!A:A,TIPOS_CAMBIO!B:B,"",0)</f>
        <v>0</v>
      </c>
      <c r="G247" s="3">
        <f t="shared" si="6"/>
        <v>0</v>
      </c>
      <c r="H247" s="3"/>
      <c r="I247" s="3">
        <f ca="1">IFERROR(_xludf.XLOOKUP("Seguro",PARAMETROS_IMPORTACION!$A:$A,PARAMETROS_IMPORTACION!$C:$C,0),0)</f>
        <v>0</v>
      </c>
      <c r="J247" s="3">
        <f ca="1">IFERROR(_xludf.XLOOKUP("Arancel",PARAMETROS_IMPORTACION!$A:$A,PARAMETROS_IMPORTACION!$C:$C,0),0)</f>
        <v>0</v>
      </c>
      <c r="K247" s="2">
        <f ca="1">IFERROR(_xludf.XLOOKUP("Gastos_Aduana",PARAMETROS_IMPORTACION!$A:$A,PARAMETROS_IMPORTACION!$C:$C,0),0)</f>
        <v>0</v>
      </c>
      <c r="L247" s="2">
        <f t="shared" si="7"/>
        <v>0</v>
      </c>
    </row>
    <row r="248" spans="5:12" x14ac:dyDescent="0.35">
      <c r="E248" s="2"/>
      <c r="F248" s="2">
        <f>_xlfn.XLOOKUP(D248,TIPOS_CAMBIO!A:A,TIPOS_CAMBIO!B:B,"",0)</f>
        <v>0</v>
      </c>
      <c r="G248" s="3">
        <f t="shared" si="6"/>
        <v>0</v>
      </c>
      <c r="H248" s="3"/>
      <c r="I248" s="3">
        <f ca="1">IFERROR(_xludf.XLOOKUP("Seguro",PARAMETROS_IMPORTACION!$A:$A,PARAMETROS_IMPORTACION!$C:$C,0),0)</f>
        <v>0</v>
      </c>
      <c r="J248" s="3">
        <f ca="1">IFERROR(_xludf.XLOOKUP("Arancel",PARAMETROS_IMPORTACION!$A:$A,PARAMETROS_IMPORTACION!$C:$C,0),0)</f>
        <v>0</v>
      </c>
      <c r="K248" s="2">
        <f ca="1">IFERROR(_xludf.XLOOKUP("Gastos_Aduana",PARAMETROS_IMPORTACION!$A:$A,PARAMETROS_IMPORTACION!$C:$C,0),0)</f>
        <v>0</v>
      </c>
      <c r="L248" s="2">
        <f t="shared" si="7"/>
        <v>0</v>
      </c>
    </row>
    <row r="249" spans="5:12" x14ac:dyDescent="0.35">
      <c r="E249" s="2"/>
      <c r="F249" s="2">
        <f>_xlfn.XLOOKUP(D249,TIPOS_CAMBIO!A:A,TIPOS_CAMBIO!B:B,"",0)</f>
        <v>0</v>
      </c>
      <c r="G249" s="3">
        <f t="shared" si="6"/>
        <v>0</v>
      </c>
      <c r="H249" s="3"/>
      <c r="I249" s="3">
        <f ca="1">IFERROR(_xludf.XLOOKUP("Seguro",PARAMETROS_IMPORTACION!$A:$A,PARAMETROS_IMPORTACION!$C:$C,0),0)</f>
        <v>0</v>
      </c>
      <c r="J249" s="3">
        <f ca="1">IFERROR(_xludf.XLOOKUP("Arancel",PARAMETROS_IMPORTACION!$A:$A,PARAMETROS_IMPORTACION!$C:$C,0),0)</f>
        <v>0</v>
      </c>
      <c r="K249" s="2">
        <f ca="1">IFERROR(_xludf.XLOOKUP("Gastos_Aduana",PARAMETROS_IMPORTACION!$A:$A,PARAMETROS_IMPORTACION!$C:$C,0),0)</f>
        <v>0</v>
      </c>
      <c r="L249" s="2">
        <f t="shared" si="7"/>
        <v>0</v>
      </c>
    </row>
    <row r="250" spans="5:12" x14ac:dyDescent="0.35">
      <c r="E250" s="2"/>
      <c r="F250" s="2">
        <f>_xlfn.XLOOKUP(D250,TIPOS_CAMBIO!A:A,TIPOS_CAMBIO!B:B,"",0)</f>
        <v>0</v>
      </c>
      <c r="G250" s="3">
        <f t="shared" si="6"/>
        <v>0</v>
      </c>
      <c r="H250" s="3"/>
      <c r="I250" s="3">
        <f ca="1">IFERROR(_xludf.XLOOKUP("Seguro",PARAMETROS_IMPORTACION!$A:$A,PARAMETROS_IMPORTACION!$C:$C,0),0)</f>
        <v>0</v>
      </c>
      <c r="J250" s="3">
        <f ca="1">IFERROR(_xludf.XLOOKUP("Arancel",PARAMETROS_IMPORTACION!$A:$A,PARAMETROS_IMPORTACION!$C:$C,0),0)</f>
        <v>0</v>
      </c>
      <c r="K250" s="2">
        <f ca="1">IFERROR(_xludf.XLOOKUP("Gastos_Aduana",PARAMETROS_IMPORTACION!$A:$A,PARAMETROS_IMPORTACION!$C:$C,0),0)</f>
        <v>0</v>
      </c>
      <c r="L250" s="2">
        <f t="shared" si="7"/>
        <v>0</v>
      </c>
    </row>
    <row r="251" spans="5:12" x14ac:dyDescent="0.35">
      <c r="E251" s="2"/>
      <c r="F251" s="2">
        <f>_xlfn.XLOOKUP(D251,TIPOS_CAMBIO!A:A,TIPOS_CAMBIO!B:B,"",0)</f>
        <v>0</v>
      </c>
      <c r="G251" s="3">
        <f t="shared" si="6"/>
        <v>0</v>
      </c>
      <c r="H251" s="3"/>
      <c r="I251" s="3">
        <f ca="1">IFERROR(_xludf.XLOOKUP("Seguro",PARAMETROS_IMPORTACION!$A:$A,PARAMETROS_IMPORTACION!$C:$C,0),0)</f>
        <v>0</v>
      </c>
      <c r="J251" s="3">
        <f ca="1">IFERROR(_xludf.XLOOKUP("Arancel",PARAMETROS_IMPORTACION!$A:$A,PARAMETROS_IMPORTACION!$C:$C,0),0)</f>
        <v>0</v>
      </c>
      <c r="K251" s="2">
        <f ca="1">IFERROR(_xludf.XLOOKUP("Gastos_Aduana",PARAMETROS_IMPORTACION!$A:$A,PARAMETROS_IMPORTACION!$C:$C,0),0)</f>
        <v>0</v>
      </c>
      <c r="L251" s="2">
        <f t="shared" si="7"/>
        <v>0</v>
      </c>
    </row>
    <row r="252" spans="5:12" x14ac:dyDescent="0.35">
      <c r="E252" s="2"/>
      <c r="F252" s="2">
        <f>_xlfn.XLOOKUP(D252,TIPOS_CAMBIO!A:A,TIPOS_CAMBIO!B:B,"",0)</f>
        <v>0</v>
      </c>
      <c r="G252" s="3">
        <f t="shared" si="6"/>
        <v>0</v>
      </c>
      <c r="H252" s="3"/>
      <c r="I252" s="3">
        <f ca="1">IFERROR(_xludf.XLOOKUP("Seguro",PARAMETROS_IMPORTACION!$A:$A,PARAMETROS_IMPORTACION!$C:$C,0),0)</f>
        <v>0</v>
      </c>
      <c r="J252" s="3">
        <f ca="1">IFERROR(_xludf.XLOOKUP("Arancel",PARAMETROS_IMPORTACION!$A:$A,PARAMETROS_IMPORTACION!$C:$C,0),0)</f>
        <v>0</v>
      </c>
      <c r="K252" s="2">
        <f ca="1">IFERROR(_xludf.XLOOKUP("Gastos_Aduana",PARAMETROS_IMPORTACION!$A:$A,PARAMETROS_IMPORTACION!$C:$C,0),0)</f>
        <v>0</v>
      </c>
      <c r="L252" s="2">
        <f t="shared" si="7"/>
        <v>0</v>
      </c>
    </row>
    <row r="253" spans="5:12" x14ac:dyDescent="0.35">
      <c r="E253" s="2"/>
      <c r="F253" s="2">
        <f>_xlfn.XLOOKUP(D253,TIPOS_CAMBIO!A:A,TIPOS_CAMBIO!B:B,"",0)</f>
        <v>0</v>
      </c>
      <c r="G253" s="3">
        <f t="shared" si="6"/>
        <v>0</v>
      </c>
      <c r="H253" s="3"/>
      <c r="I253" s="3">
        <f ca="1">IFERROR(_xludf.XLOOKUP("Seguro",PARAMETROS_IMPORTACION!$A:$A,PARAMETROS_IMPORTACION!$C:$C,0),0)</f>
        <v>0</v>
      </c>
      <c r="J253" s="3">
        <f ca="1">IFERROR(_xludf.XLOOKUP("Arancel",PARAMETROS_IMPORTACION!$A:$A,PARAMETROS_IMPORTACION!$C:$C,0),0)</f>
        <v>0</v>
      </c>
      <c r="K253" s="2">
        <f ca="1">IFERROR(_xludf.XLOOKUP("Gastos_Aduana",PARAMETROS_IMPORTACION!$A:$A,PARAMETROS_IMPORTACION!$C:$C,0),0)</f>
        <v>0</v>
      </c>
      <c r="L253" s="2">
        <f t="shared" si="7"/>
        <v>0</v>
      </c>
    </row>
    <row r="254" spans="5:12" x14ac:dyDescent="0.35">
      <c r="E254" s="2"/>
      <c r="F254" s="2">
        <f>_xlfn.XLOOKUP(D254,TIPOS_CAMBIO!A:A,TIPOS_CAMBIO!B:B,"",0)</f>
        <v>0</v>
      </c>
      <c r="G254" s="3">
        <f t="shared" si="6"/>
        <v>0</v>
      </c>
      <c r="H254" s="3"/>
      <c r="I254" s="3">
        <f ca="1">IFERROR(_xludf.XLOOKUP("Seguro",PARAMETROS_IMPORTACION!$A:$A,PARAMETROS_IMPORTACION!$C:$C,0),0)</f>
        <v>0</v>
      </c>
      <c r="J254" s="3">
        <f ca="1">IFERROR(_xludf.XLOOKUP("Arancel",PARAMETROS_IMPORTACION!$A:$A,PARAMETROS_IMPORTACION!$C:$C,0),0)</f>
        <v>0</v>
      </c>
      <c r="K254" s="2">
        <f ca="1">IFERROR(_xludf.XLOOKUP("Gastos_Aduana",PARAMETROS_IMPORTACION!$A:$A,PARAMETROS_IMPORTACION!$C:$C,0),0)</f>
        <v>0</v>
      </c>
      <c r="L254" s="2">
        <f t="shared" si="7"/>
        <v>0</v>
      </c>
    </row>
    <row r="255" spans="5:12" x14ac:dyDescent="0.35">
      <c r="E255" s="2"/>
      <c r="F255" s="2">
        <f>_xlfn.XLOOKUP(D255,TIPOS_CAMBIO!A:A,TIPOS_CAMBIO!B:B,"",0)</f>
        <v>0</v>
      </c>
      <c r="G255" s="3">
        <f t="shared" si="6"/>
        <v>0</v>
      </c>
      <c r="H255" s="3"/>
      <c r="I255" s="3">
        <f ca="1">IFERROR(_xludf.XLOOKUP("Seguro",PARAMETROS_IMPORTACION!$A:$A,PARAMETROS_IMPORTACION!$C:$C,0),0)</f>
        <v>0</v>
      </c>
      <c r="J255" s="3">
        <f ca="1">IFERROR(_xludf.XLOOKUP("Arancel",PARAMETROS_IMPORTACION!$A:$A,PARAMETROS_IMPORTACION!$C:$C,0),0)</f>
        <v>0</v>
      </c>
      <c r="K255" s="2">
        <f ca="1">IFERROR(_xludf.XLOOKUP("Gastos_Aduana",PARAMETROS_IMPORTACION!$A:$A,PARAMETROS_IMPORTACION!$C:$C,0),0)</f>
        <v>0</v>
      </c>
      <c r="L255" s="2">
        <f t="shared" si="7"/>
        <v>0</v>
      </c>
    </row>
    <row r="256" spans="5:12" x14ac:dyDescent="0.35">
      <c r="E256" s="2"/>
      <c r="F256" s="2">
        <f>_xlfn.XLOOKUP(D256,TIPOS_CAMBIO!A:A,TIPOS_CAMBIO!B:B,"",0)</f>
        <v>0</v>
      </c>
      <c r="G256" s="3">
        <f t="shared" si="6"/>
        <v>0</v>
      </c>
      <c r="H256" s="3"/>
      <c r="I256" s="3">
        <f ca="1">IFERROR(_xludf.XLOOKUP("Seguro",PARAMETROS_IMPORTACION!$A:$A,PARAMETROS_IMPORTACION!$C:$C,0),0)</f>
        <v>0</v>
      </c>
      <c r="J256" s="3">
        <f ca="1">IFERROR(_xludf.XLOOKUP("Arancel",PARAMETROS_IMPORTACION!$A:$A,PARAMETROS_IMPORTACION!$C:$C,0),0)</f>
        <v>0</v>
      </c>
      <c r="K256" s="2">
        <f ca="1">IFERROR(_xludf.XLOOKUP("Gastos_Aduana",PARAMETROS_IMPORTACION!$A:$A,PARAMETROS_IMPORTACION!$C:$C,0),0)</f>
        <v>0</v>
      </c>
      <c r="L256" s="2">
        <f t="shared" si="7"/>
        <v>0</v>
      </c>
    </row>
    <row r="257" spans="5:12" x14ac:dyDescent="0.35">
      <c r="E257" s="2"/>
      <c r="F257" s="2">
        <f>_xlfn.XLOOKUP(D257,TIPOS_CAMBIO!A:A,TIPOS_CAMBIO!B:B,"",0)</f>
        <v>0</v>
      </c>
      <c r="G257" s="3">
        <f t="shared" si="6"/>
        <v>0</v>
      </c>
      <c r="H257" s="3"/>
      <c r="I257" s="3">
        <f ca="1">IFERROR(_xludf.XLOOKUP("Seguro",PARAMETROS_IMPORTACION!$A:$A,PARAMETROS_IMPORTACION!$C:$C,0),0)</f>
        <v>0</v>
      </c>
      <c r="J257" s="3">
        <f ca="1">IFERROR(_xludf.XLOOKUP("Arancel",PARAMETROS_IMPORTACION!$A:$A,PARAMETROS_IMPORTACION!$C:$C,0),0)</f>
        <v>0</v>
      </c>
      <c r="K257" s="2">
        <f ca="1">IFERROR(_xludf.XLOOKUP("Gastos_Aduana",PARAMETROS_IMPORTACION!$A:$A,PARAMETROS_IMPORTACION!$C:$C,0),0)</f>
        <v>0</v>
      </c>
      <c r="L257" s="2">
        <f t="shared" si="7"/>
        <v>0</v>
      </c>
    </row>
    <row r="258" spans="5:12" x14ac:dyDescent="0.35">
      <c r="E258" s="2"/>
      <c r="F258" s="2">
        <f>_xlfn.XLOOKUP(D258,TIPOS_CAMBIO!A:A,TIPOS_CAMBIO!B:B,"",0)</f>
        <v>0</v>
      </c>
      <c r="G258" s="3">
        <f t="shared" ref="G258:G321" si="8">$E258*$F258</f>
        <v>0</v>
      </c>
      <c r="H258" s="3"/>
      <c r="I258" s="3">
        <f ca="1">IFERROR(_xludf.XLOOKUP("Seguro",PARAMETROS_IMPORTACION!$A:$A,PARAMETROS_IMPORTACION!$C:$C,0),0)</f>
        <v>0</v>
      </c>
      <c r="J258" s="3">
        <f ca="1">IFERROR(_xludf.XLOOKUP("Arancel",PARAMETROS_IMPORTACION!$A:$A,PARAMETROS_IMPORTACION!$C:$C,0),0)</f>
        <v>0</v>
      </c>
      <c r="K258" s="2">
        <f ca="1">IFERROR(_xludf.XLOOKUP("Gastos_Aduana",PARAMETROS_IMPORTACION!$A:$A,PARAMETROS_IMPORTACION!$C:$C,0),0)</f>
        <v>0</v>
      </c>
      <c r="L258" s="2">
        <f t="shared" si="7"/>
        <v>0</v>
      </c>
    </row>
    <row r="259" spans="5:12" x14ac:dyDescent="0.35">
      <c r="E259" s="2"/>
      <c r="F259" s="2">
        <f>_xlfn.XLOOKUP(D259,TIPOS_CAMBIO!A:A,TIPOS_CAMBIO!B:B,"",0)</f>
        <v>0</v>
      </c>
      <c r="G259" s="3">
        <f t="shared" si="8"/>
        <v>0</v>
      </c>
      <c r="H259" s="3"/>
      <c r="I259" s="3">
        <f ca="1">IFERROR(_xludf.XLOOKUP("Seguro",PARAMETROS_IMPORTACION!$A:$A,PARAMETROS_IMPORTACION!$C:$C,0),0)</f>
        <v>0</v>
      </c>
      <c r="J259" s="3">
        <f ca="1">IFERROR(_xludf.XLOOKUP("Arancel",PARAMETROS_IMPORTACION!$A:$A,PARAMETROS_IMPORTACION!$C:$C,0),0)</f>
        <v>0</v>
      </c>
      <c r="K259" s="2">
        <f ca="1">IFERROR(_xludf.XLOOKUP("Gastos_Aduana",PARAMETROS_IMPORTACION!$A:$A,PARAMETROS_IMPORTACION!$C:$C,0),0)</f>
        <v>0</v>
      </c>
      <c r="L259" s="2">
        <f t="shared" ref="L259:L322" si="9">IF($C259="Importado",$G259*(1+$H259+$I259+$J259)+$K259,$G259)</f>
        <v>0</v>
      </c>
    </row>
    <row r="260" spans="5:12" x14ac:dyDescent="0.35">
      <c r="E260" s="2"/>
      <c r="F260" s="2">
        <f>_xlfn.XLOOKUP(D260,TIPOS_CAMBIO!A:A,TIPOS_CAMBIO!B:B,"",0)</f>
        <v>0</v>
      </c>
      <c r="G260" s="3">
        <f t="shared" si="8"/>
        <v>0</v>
      </c>
      <c r="H260" s="3"/>
      <c r="I260" s="3">
        <f ca="1">IFERROR(_xludf.XLOOKUP("Seguro",PARAMETROS_IMPORTACION!$A:$A,PARAMETROS_IMPORTACION!$C:$C,0),0)</f>
        <v>0</v>
      </c>
      <c r="J260" s="3">
        <f ca="1">IFERROR(_xludf.XLOOKUP("Arancel",PARAMETROS_IMPORTACION!$A:$A,PARAMETROS_IMPORTACION!$C:$C,0),0)</f>
        <v>0</v>
      </c>
      <c r="K260" s="2">
        <f ca="1">IFERROR(_xludf.XLOOKUP("Gastos_Aduana",PARAMETROS_IMPORTACION!$A:$A,PARAMETROS_IMPORTACION!$C:$C,0),0)</f>
        <v>0</v>
      </c>
      <c r="L260" s="2">
        <f t="shared" si="9"/>
        <v>0</v>
      </c>
    </row>
    <row r="261" spans="5:12" x14ac:dyDescent="0.35">
      <c r="E261" s="2"/>
      <c r="F261" s="2">
        <f>_xlfn.XLOOKUP(D261,TIPOS_CAMBIO!A:A,TIPOS_CAMBIO!B:B,"",0)</f>
        <v>0</v>
      </c>
      <c r="G261" s="3">
        <f t="shared" si="8"/>
        <v>0</v>
      </c>
      <c r="H261" s="3"/>
      <c r="I261" s="3">
        <f ca="1">IFERROR(_xludf.XLOOKUP("Seguro",PARAMETROS_IMPORTACION!$A:$A,PARAMETROS_IMPORTACION!$C:$C,0),0)</f>
        <v>0</v>
      </c>
      <c r="J261" s="3">
        <f ca="1">IFERROR(_xludf.XLOOKUP("Arancel",PARAMETROS_IMPORTACION!$A:$A,PARAMETROS_IMPORTACION!$C:$C,0),0)</f>
        <v>0</v>
      </c>
      <c r="K261" s="2">
        <f ca="1">IFERROR(_xludf.XLOOKUP("Gastos_Aduana",PARAMETROS_IMPORTACION!$A:$A,PARAMETROS_IMPORTACION!$C:$C,0),0)</f>
        <v>0</v>
      </c>
      <c r="L261" s="2">
        <f t="shared" si="9"/>
        <v>0</v>
      </c>
    </row>
    <row r="262" spans="5:12" x14ac:dyDescent="0.35">
      <c r="E262" s="2"/>
      <c r="F262" s="2">
        <f>_xlfn.XLOOKUP(D262,TIPOS_CAMBIO!A:A,TIPOS_CAMBIO!B:B,"",0)</f>
        <v>0</v>
      </c>
      <c r="G262" s="3">
        <f t="shared" si="8"/>
        <v>0</v>
      </c>
      <c r="H262" s="3"/>
      <c r="I262" s="3">
        <f ca="1">IFERROR(_xludf.XLOOKUP("Seguro",PARAMETROS_IMPORTACION!$A:$A,PARAMETROS_IMPORTACION!$C:$C,0),0)</f>
        <v>0</v>
      </c>
      <c r="J262" s="3">
        <f ca="1">IFERROR(_xludf.XLOOKUP("Arancel",PARAMETROS_IMPORTACION!$A:$A,PARAMETROS_IMPORTACION!$C:$C,0),0)</f>
        <v>0</v>
      </c>
      <c r="K262" s="2">
        <f ca="1">IFERROR(_xludf.XLOOKUP("Gastos_Aduana",PARAMETROS_IMPORTACION!$A:$A,PARAMETROS_IMPORTACION!$C:$C,0),0)</f>
        <v>0</v>
      </c>
      <c r="L262" s="2">
        <f t="shared" si="9"/>
        <v>0</v>
      </c>
    </row>
    <row r="263" spans="5:12" x14ac:dyDescent="0.35">
      <c r="E263" s="2"/>
      <c r="F263" s="2">
        <f>_xlfn.XLOOKUP(D263,TIPOS_CAMBIO!A:A,TIPOS_CAMBIO!B:B,"",0)</f>
        <v>0</v>
      </c>
      <c r="G263" s="3">
        <f t="shared" si="8"/>
        <v>0</v>
      </c>
      <c r="H263" s="3"/>
      <c r="I263" s="3">
        <f ca="1">IFERROR(_xludf.XLOOKUP("Seguro",PARAMETROS_IMPORTACION!$A:$A,PARAMETROS_IMPORTACION!$C:$C,0),0)</f>
        <v>0</v>
      </c>
      <c r="J263" s="3">
        <f ca="1">IFERROR(_xludf.XLOOKUP("Arancel",PARAMETROS_IMPORTACION!$A:$A,PARAMETROS_IMPORTACION!$C:$C,0),0)</f>
        <v>0</v>
      </c>
      <c r="K263" s="2">
        <f ca="1">IFERROR(_xludf.XLOOKUP("Gastos_Aduana",PARAMETROS_IMPORTACION!$A:$A,PARAMETROS_IMPORTACION!$C:$C,0),0)</f>
        <v>0</v>
      </c>
      <c r="L263" s="2">
        <f t="shared" si="9"/>
        <v>0</v>
      </c>
    </row>
    <row r="264" spans="5:12" x14ac:dyDescent="0.35">
      <c r="E264" s="2"/>
      <c r="F264" s="2">
        <f>_xlfn.XLOOKUP(D264,TIPOS_CAMBIO!A:A,TIPOS_CAMBIO!B:B,"",0)</f>
        <v>0</v>
      </c>
      <c r="G264" s="3">
        <f t="shared" si="8"/>
        <v>0</v>
      </c>
      <c r="H264" s="3"/>
      <c r="I264" s="3">
        <f ca="1">IFERROR(_xludf.XLOOKUP("Seguro",PARAMETROS_IMPORTACION!$A:$A,PARAMETROS_IMPORTACION!$C:$C,0),0)</f>
        <v>0</v>
      </c>
      <c r="J264" s="3">
        <f ca="1">IFERROR(_xludf.XLOOKUP("Arancel",PARAMETROS_IMPORTACION!$A:$A,PARAMETROS_IMPORTACION!$C:$C,0),0)</f>
        <v>0</v>
      </c>
      <c r="K264" s="2">
        <f ca="1">IFERROR(_xludf.XLOOKUP("Gastos_Aduana",PARAMETROS_IMPORTACION!$A:$A,PARAMETROS_IMPORTACION!$C:$C,0),0)</f>
        <v>0</v>
      </c>
      <c r="L264" s="2">
        <f t="shared" si="9"/>
        <v>0</v>
      </c>
    </row>
    <row r="265" spans="5:12" x14ac:dyDescent="0.35">
      <c r="E265" s="2"/>
      <c r="F265" s="2">
        <f>_xlfn.XLOOKUP(D265,TIPOS_CAMBIO!A:A,TIPOS_CAMBIO!B:B,"",0)</f>
        <v>0</v>
      </c>
      <c r="G265" s="3">
        <f t="shared" si="8"/>
        <v>0</v>
      </c>
      <c r="H265" s="3"/>
      <c r="I265" s="3">
        <f ca="1">IFERROR(_xludf.XLOOKUP("Seguro",PARAMETROS_IMPORTACION!$A:$A,PARAMETROS_IMPORTACION!$C:$C,0),0)</f>
        <v>0</v>
      </c>
      <c r="J265" s="3">
        <f ca="1">IFERROR(_xludf.XLOOKUP("Arancel",PARAMETROS_IMPORTACION!$A:$A,PARAMETROS_IMPORTACION!$C:$C,0),0)</f>
        <v>0</v>
      </c>
      <c r="K265" s="2">
        <f ca="1">IFERROR(_xludf.XLOOKUP("Gastos_Aduana",PARAMETROS_IMPORTACION!$A:$A,PARAMETROS_IMPORTACION!$C:$C,0),0)</f>
        <v>0</v>
      </c>
      <c r="L265" s="2">
        <f t="shared" si="9"/>
        <v>0</v>
      </c>
    </row>
    <row r="266" spans="5:12" x14ac:dyDescent="0.35">
      <c r="E266" s="2"/>
      <c r="F266" s="2">
        <f>_xlfn.XLOOKUP(D266,TIPOS_CAMBIO!A:A,TIPOS_CAMBIO!B:B,"",0)</f>
        <v>0</v>
      </c>
      <c r="G266" s="3">
        <f t="shared" si="8"/>
        <v>0</v>
      </c>
      <c r="H266" s="3"/>
      <c r="I266" s="3">
        <f ca="1">IFERROR(_xludf.XLOOKUP("Seguro",PARAMETROS_IMPORTACION!$A:$A,PARAMETROS_IMPORTACION!$C:$C,0),0)</f>
        <v>0</v>
      </c>
      <c r="J266" s="3">
        <f ca="1">IFERROR(_xludf.XLOOKUP("Arancel",PARAMETROS_IMPORTACION!$A:$A,PARAMETROS_IMPORTACION!$C:$C,0),0)</f>
        <v>0</v>
      </c>
      <c r="K266" s="2">
        <f ca="1">IFERROR(_xludf.XLOOKUP("Gastos_Aduana",PARAMETROS_IMPORTACION!$A:$A,PARAMETROS_IMPORTACION!$C:$C,0),0)</f>
        <v>0</v>
      </c>
      <c r="L266" s="2">
        <f t="shared" si="9"/>
        <v>0</v>
      </c>
    </row>
    <row r="267" spans="5:12" x14ac:dyDescent="0.35">
      <c r="E267" s="2"/>
      <c r="F267" s="2">
        <f>_xlfn.XLOOKUP(D267,TIPOS_CAMBIO!A:A,TIPOS_CAMBIO!B:B,"",0)</f>
        <v>0</v>
      </c>
      <c r="G267" s="3">
        <f t="shared" si="8"/>
        <v>0</v>
      </c>
      <c r="H267" s="3"/>
      <c r="I267" s="3">
        <f ca="1">IFERROR(_xludf.XLOOKUP("Seguro",PARAMETROS_IMPORTACION!$A:$A,PARAMETROS_IMPORTACION!$C:$C,0),0)</f>
        <v>0</v>
      </c>
      <c r="J267" s="3">
        <f ca="1">IFERROR(_xludf.XLOOKUP("Arancel",PARAMETROS_IMPORTACION!$A:$A,PARAMETROS_IMPORTACION!$C:$C,0),0)</f>
        <v>0</v>
      </c>
      <c r="K267" s="2">
        <f ca="1">IFERROR(_xludf.XLOOKUP("Gastos_Aduana",PARAMETROS_IMPORTACION!$A:$A,PARAMETROS_IMPORTACION!$C:$C,0),0)</f>
        <v>0</v>
      </c>
      <c r="L267" s="2">
        <f t="shared" si="9"/>
        <v>0</v>
      </c>
    </row>
    <row r="268" spans="5:12" x14ac:dyDescent="0.35">
      <c r="E268" s="2"/>
      <c r="F268" s="2">
        <f>_xlfn.XLOOKUP(D268,TIPOS_CAMBIO!A:A,TIPOS_CAMBIO!B:B,"",0)</f>
        <v>0</v>
      </c>
      <c r="G268" s="3">
        <f t="shared" si="8"/>
        <v>0</v>
      </c>
      <c r="H268" s="3"/>
      <c r="I268" s="3">
        <f ca="1">IFERROR(_xludf.XLOOKUP("Seguro",PARAMETROS_IMPORTACION!$A:$A,PARAMETROS_IMPORTACION!$C:$C,0),0)</f>
        <v>0</v>
      </c>
      <c r="J268" s="3">
        <f ca="1">IFERROR(_xludf.XLOOKUP("Arancel",PARAMETROS_IMPORTACION!$A:$A,PARAMETROS_IMPORTACION!$C:$C,0),0)</f>
        <v>0</v>
      </c>
      <c r="K268" s="2">
        <f ca="1">IFERROR(_xludf.XLOOKUP("Gastos_Aduana",PARAMETROS_IMPORTACION!$A:$A,PARAMETROS_IMPORTACION!$C:$C,0),0)</f>
        <v>0</v>
      </c>
      <c r="L268" s="2">
        <f t="shared" si="9"/>
        <v>0</v>
      </c>
    </row>
    <row r="269" spans="5:12" x14ac:dyDescent="0.35">
      <c r="E269" s="2"/>
      <c r="F269" s="2">
        <f>_xlfn.XLOOKUP(D269,TIPOS_CAMBIO!A:A,TIPOS_CAMBIO!B:B,"",0)</f>
        <v>0</v>
      </c>
      <c r="G269" s="3">
        <f t="shared" si="8"/>
        <v>0</v>
      </c>
      <c r="H269" s="3"/>
      <c r="I269" s="3">
        <f ca="1">IFERROR(_xludf.XLOOKUP("Seguro",PARAMETROS_IMPORTACION!$A:$A,PARAMETROS_IMPORTACION!$C:$C,0),0)</f>
        <v>0</v>
      </c>
      <c r="J269" s="3">
        <f ca="1">IFERROR(_xludf.XLOOKUP("Arancel",PARAMETROS_IMPORTACION!$A:$A,PARAMETROS_IMPORTACION!$C:$C,0),0)</f>
        <v>0</v>
      </c>
      <c r="K269" s="2">
        <f ca="1">IFERROR(_xludf.XLOOKUP("Gastos_Aduana",PARAMETROS_IMPORTACION!$A:$A,PARAMETROS_IMPORTACION!$C:$C,0),0)</f>
        <v>0</v>
      </c>
      <c r="L269" s="2">
        <f t="shared" si="9"/>
        <v>0</v>
      </c>
    </row>
    <row r="270" spans="5:12" x14ac:dyDescent="0.35">
      <c r="E270" s="2"/>
      <c r="F270" s="2">
        <f>_xlfn.XLOOKUP(D270,TIPOS_CAMBIO!A:A,TIPOS_CAMBIO!B:B,"",0)</f>
        <v>0</v>
      </c>
      <c r="G270" s="3">
        <f t="shared" si="8"/>
        <v>0</v>
      </c>
      <c r="H270" s="3"/>
      <c r="I270" s="3">
        <f ca="1">IFERROR(_xludf.XLOOKUP("Seguro",PARAMETROS_IMPORTACION!$A:$A,PARAMETROS_IMPORTACION!$C:$C,0),0)</f>
        <v>0</v>
      </c>
      <c r="J270" s="3">
        <f ca="1">IFERROR(_xludf.XLOOKUP("Arancel",PARAMETROS_IMPORTACION!$A:$A,PARAMETROS_IMPORTACION!$C:$C,0),0)</f>
        <v>0</v>
      </c>
      <c r="K270" s="2">
        <f ca="1">IFERROR(_xludf.XLOOKUP("Gastos_Aduana",PARAMETROS_IMPORTACION!$A:$A,PARAMETROS_IMPORTACION!$C:$C,0),0)</f>
        <v>0</v>
      </c>
      <c r="L270" s="2">
        <f t="shared" si="9"/>
        <v>0</v>
      </c>
    </row>
    <row r="271" spans="5:12" x14ac:dyDescent="0.35">
      <c r="E271" s="2"/>
      <c r="F271" s="2">
        <f>_xlfn.XLOOKUP(D271,TIPOS_CAMBIO!A:A,TIPOS_CAMBIO!B:B,"",0)</f>
        <v>0</v>
      </c>
      <c r="G271" s="3">
        <f t="shared" si="8"/>
        <v>0</v>
      </c>
      <c r="H271" s="3"/>
      <c r="I271" s="3">
        <f ca="1">IFERROR(_xludf.XLOOKUP("Seguro",PARAMETROS_IMPORTACION!$A:$A,PARAMETROS_IMPORTACION!$C:$C,0),0)</f>
        <v>0</v>
      </c>
      <c r="J271" s="3">
        <f ca="1">IFERROR(_xludf.XLOOKUP("Arancel",PARAMETROS_IMPORTACION!$A:$A,PARAMETROS_IMPORTACION!$C:$C,0),0)</f>
        <v>0</v>
      </c>
      <c r="K271" s="2">
        <f ca="1">IFERROR(_xludf.XLOOKUP("Gastos_Aduana",PARAMETROS_IMPORTACION!$A:$A,PARAMETROS_IMPORTACION!$C:$C,0),0)</f>
        <v>0</v>
      </c>
      <c r="L271" s="2">
        <f t="shared" si="9"/>
        <v>0</v>
      </c>
    </row>
    <row r="272" spans="5:12" x14ac:dyDescent="0.35">
      <c r="E272" s="2"/>
      <c r="F272" s="2">
        <f>_xlfn.XLOOKUP(D272,TIPOS_CAMBIO!A:A,TIPOS_CAMBIO!B:B,"",0)</f>
        <v>0</v>
      </c>
      <c r="G272" s="3">
        <f t="shared" si="8"/>
        <v>0</v>
      </c>
      <c r="H272" s="3"/>
      <c r="I272" s="3">
        <f ca="1">IFERROR(_xludf.XLOOKUP("Seguro",PARAMETROS_IMPORTACION!$A:$A,PARAMETROS_IMPORTACION!$C:$C,0),0)</f>
        <v>0</v>
      </c>
      <c r="J272" s="3">
        <f ca="1">IFERROR(_xludf.XLOOKUP("Arancel",PARAMETROS_IMPORTACION!$A:$A,PARAMETROS_IMPORTACION!$C:$C,0),0)</f>
        <v>0</v>
      </c>
      <c r="K272" s="2">
        <f ca="1">IFERROR(_xludf.XLOOKUP("Gastos_Aduana",PARAMETROS_IMPORTACION!$A:$A,PARAMETROS_IMPORTACION!$C:$C,0),0)</f>
        <v>0</v>
      </c>
      <c r="L272" s="2">
        <f t="shared" si="9"/>
        <v>0</v>
      </c>
    </row>
    <row r="273" spans="5:12" x14ac:dyDescent="0.35">
      <c r="E273" s="2"/>
      <c r="F273" s="2">
        <f>_xlfn.XLOOKUP(D273,TIPOS_CAMBIO!A:A,TIPOS_CAMBIO!B:B,"",0)</f>
        <v>0</v>
      </c>
      <c r="G273" s="3">
        <f t="shared" si="8"/>
        <v>0</v>
      </c>
      <c r="H273" s="3"/>
      <c r="I273" s="3">
        <f ca="1">IFERROR(_xludf.XLOOKUP("Seguro",PARAMETROS_IMPORTACION!$A:$A,PARAMETROS_IMPORTACION!$C:$C,0),0)</f>
        <v>0</v>
      </c>
      <c r="J273" s="3">
        <f ca="1">IFERROR(_xludf.XLOOKUP("Arancel",PARAMETROS_IMPORTACION!$A:$A,PARAMETROS_IMPORTACION!$C:$C,0),0)</f>
        <v>0</v>
      </c>
      <c r="K273" s="2">
        <f ca="1">IFERROR(_xludf.XLOOKUP("Gastos_Aduana",PARAMETROS_IMPORTACION!$A:$A,PARAMETROS_IMPORTACION!$C:$C,0),0)</f>
        <v>0</v>
      </c>
      <c r="L273" s="2">
        <f t="shared" si="9"/>
        <v>0</v>
      </c>
    </row>
    <row r="274" spans="5:12" x14ac:dyDescent="0.35">
      <c r="E274" s="2"/>
      <c r="F274" s="2">
        <f>_xlfn.XLOOKUP(D274,TIPOS_CAMBIO!A:A,TIPOS_CAMBIO!B:B,"",0)</f>
        <v>0</v>
      </c>
      <c r="G274" s="3">
        <f t="shared" si="8"/>
        <v>0</v>
      </c>
      <c r="H274" s="3"/>
      <c r="I274" s="3">
        <f ca="1">IFERROR(_xludf.XLOOKUP("Seguro",PARAMETROS_IMPORTACION!$A:$A,PARAMETROS_IMPORTACION!$C:$C,0),0)</f>
        <v>0</v>
      </c>
      <c r="J274" s="3">
        <f ca="1">IFERROR(_xludf.XLOOKUP("Arancel",PARAMETROS_IMPORTACION!$A:$A,PARAMETROS_IMPORTACION!$C:$C,0),0)</f>
        <v>0</v>
      </c>
      <c r="K274" s="2">
        <f ca="1">IFERROR(_xludf.XLOOKUP("Gastos_Aduana",PARAMETROS_IMPORTACION!$A:$A,PARAMETROS_IMPORTACION!$C:$C,0),0)</f>
        <v>0</v>
      </c>
      <c r="L274" s="2">
        <f t="shared" si="9"/>
        <v>0</v>
      </c>
    </row>
    <row r="275" spans="5:12" x14ac:dyDescent="0.35">
      <c r="E275" s="2"/>
      <c r="F275" s="2">
        <f>_xlfn.XLOOKUP(D275,TIPOS_CAMBIO!A:A,TIPOS_CAMBIO!B:B,"",0)</f>
        <v>0</v>
      </c>
      <c r="G275" s="3">
        <f t="shared" si="8"/>
        <v>0</v>
      </c>
      <c r="H275" s="3"/>
      <c r="I275" s="3">
        <f ca="1">IFERROR(_xludf.XLOOKUP("Seguro",PARAMETROS_IMPORTACION!$A:$A,PARAMETROS_IMPORTACION!$C:$C,0),0)</f>
        <v>0</v>
      </c>
      <c r="J275" s="3">
        <f ca="1">IFERROR(_xludf.XLOOKUP("Arancel",PARAMETROS_IMPORTACION!$A:$A,PARAMETROS_IMPORTACION!$C:$C,0),0)</f>
        <v>0</v>
      </c>
      <c r="K275" s="2">
        <f ca="1">IFERROR(_xludf.XLOOKUP("Gastos_Aduana",PARAMETROS_IMPORTACION!$A:$A,PARAMETROS_IMPORTACION!$C:$C,0),0)</f>
        <v>0</v>
      </c>
      <c r="L275" s="2">
        <f t="shared" si="9"/>
        <v>0</v>
      </c>
    </row>
    <row r="276" spans="5:12" x14ac:dyDescent="0.35">
      <c r="E276" s="2"/>
      <c r="F276" s="2">
        <f>_xlfn.XLOOKUP(D276,TIPOS_CAMBIO!A:A,TIPOS_CAMBIO!B:B,"",0)</f>
        <v>0</v>
      </c>
      <c r="G276" s="3">
        <f t="shared" si="8"/>
        <v>0</v>
      </c>
      <c r="H276" s="3"/>
      <c r="I276" s="3">
        <f ca="1">IFERROR(_xludf.XLOOKUP("Seguro",PARAMETROS_IMPORTACION!$A:$A,PARAMETROS_IMPORTACION!$C:$C,0),0)</f>
        <v>0</v>
      </c>
      <c r="J276" s="3">
        <f ca="1">IFERROR(_xludf.XLOOKUP("Arancel",PARAMETROS_IMPORTACION!$A:$A,PARAMETROS_IMPORTACION!$C:$C,0),0)</f>
        <v>0</v>
      </c>
      <c r="K276" s="2">
        <f ca="1">IFERROR(_xludf.XLOOKUP("Gastos_Aduana",PARAMETROS_IMPORTACION!$A:$A,PARAMETROS_IMPORTACION!$C:$C,0),0)</f>
        <v>0</v>
      </c>
      <c r="L276" s="2">
        <f t="shared" si="9"/>
        <v>0</v>
      </c>
    </row>
    <row r="277" spans="5:12" x14ac:dyDescent="0.35">
      <c r="E277" s="2"/>
      <c r="F277" s="2">
        <f>_xlfn.XLOOKUP(D277,TIPOS_CAMBIO!A:A,TIPOS_CAMBIO!B:B,"",0)</f>
        <v>0</v>
      </c>
      <c r="G277" s="3">
        <f t="shared" si="8"/>
        <v>0</v>
      </c>
      <c r="H277" s="3"/>
      <c r="I277" s="3">
        <f ca="1">IFERROR(_xludf.XLOOKUP("Seguro",PARAMETROS_IMPORTACION!$A:$A,PARAMETROS_IMPORTACION!$C:$C,0),0)</f>
        <v>0</v>
      </c>
      <c r="J277" s="3">
        <f ca="1">IFERROR(_xludf.XLOOKUP("Arancel",PARAMETROS_IMPORTACION!$A:$A,PARAMETROS_IMPORTACION!$C:$C,0),0)</f>
        <v>0</v>
      </c>
      <c r="K277" s="2">
        <f ca="1">IFERROR(_xludf.XLOOKUP("Gastos_Aduana",PARAMETROS_IMPORTACION!$A:$A,PARAMETROS_IMPORTACION!$C:$C,0),0)</f>
        <v>0</v>
      </c>
      <c r="L277" s="2">
        <f t="shared" si="9"/>
        <v>0</v>
      </c>
    </row>
    <row r="278" spans="5:12" x14ac:dyDescent="0.35">
      <c r="E278" s="2"/>
      <c r="F278" s="2">
        <f>_xlfn.XLOOKUP(D278,TIPOS_CAMBIO!A:A,TIPOS_CAMBIO!B:B,"",0)</f>
        <v>0</v>
      </c>
      <c r="G278" s="3">
        <f t="shared" si="8"/>
        <v>0</v>
      </c>
      <c r="H278" s="3"/>
      <c r="I278" s="3">
        <f ca="1">IFERROR(_xludf.XLOOKUP("Seguro",PARAMETROS_IMPORTACION!$A:$A,PARAMETROS_IMPORTACION!$C:$C,0),0)</f>
        <v>0</v>
      </c>
      <c r="J278" s="3">
        <f ca="1">IFERROR(_xludf.XLOOKUP("Arancel",PARAMETROS_IMPORTACION!$A:$A,PARAMETROS_IMPORTACION!$C:$C,0),0)</f>
        <v>0</v>
      </c>
      <c r="K278" s="2">
        <f ca="1">IFERROR(_xludf.XLOOKUP("Gastos_Aduana",PARAMETROS_IMPORTACION!$A:$A,PARAMETROS_IMPORTACION!$C:$C,0),0)</f>
        <v>0</v>
      </c>
      <c r="L278" s="2">
        <f t="shared" si="9"/>
        <v>0</v>
      </c>
    </row>
    <row r="279" spans="5:12" x14ac:dyDescent="0.35">
      <c r="E279" s="2"/>
      <c r="F279" s="2">
        <f>_xlfn.XLOOKUP(D279,TIPOS_CAMBIO!A:A,TIPOS_CAMBIO!B:B,"",0)</f>
        <v>0</v>
      </c>
      <c r="G279" s="3">
        <f t="shared" si="8"/>
        <v>0</v>
      </c>
      <c r="H279" s="3"/>
      <c r="I279" s="3">
        <f ca="1">IFERROR(_xludf.XLOOKUP("Seguro",PARAMETROS_IMPORTACION!$A:$A,PARAMETROS_IMPORTACION!$C:$C,0),0)</f>
        <v>0</v>
      </c>
      <c r="J279" s="3">
        <f ca="1">IFERROR(_xludf.XLOOKUP("Arancel",PARAMETROS_IMPORTACION!$A:$A,PARAMETROS_IMPORTACION!$C:$C,0),0)</f>
        <v>0</v>
      </c>
      <c r="K279" s="2">
        <f ca="1">IFERROR(_xludf.XLOOKUP("Gastos_Aduana",PARAMETROS_IMPORTACION!$A:$A,PARAMETROS_IMPORTACION!$C:$C,0),0)</f>
        <v>0</v>
      </c>
      <c r="L279" s="2">
        <f t="shared" si="9"/>
        <v>0</v>
      </c>
    </row>
    <row r="280" spans="5:12" x14ac:dyDescent="0.35">
      <c r="E280" s="2"/>
      <c r="F280" s="2">
        <f>_xlfn.XLOOKUP(D280,TIPOS_CAMBIO!A:A,TIPOS_CAMBIO!B:B,"",0)</f>
        <v>0</v>
      </c>
      <c r="G280" s="3">
        <f t="shared" si="8"/>
        <v>0</v>
      </c>
      <c r="H280" s="3"/>
      <c r="I280" s="3">
        <f ca="1">IFERROR(_xludf.XLOOKUP("Seguro",PARAMETROS_IMPORTACION!$A:$A,PARAMETROS_IMPORTACION!$C:$C,0),0)</f>
        <v>0</v>
      </c>
      <c r="J280" s="3">
        <f ca="1">IFERROR(_xludf.XLOOKUP("Arancel",PARAMETROS_IMPORTACION!$A:$A,PARAMETROS_IMPORTACION!$C:$C,0),0)</f>
        <v>0</v>
      </c>
      <c r="K280" s="2">
        <f ca="1">IFERROR(_xludf.XLOOKUP("Gastos_Aduana",PARAMETROS_IMPORTACION!$A:$A,PARAMETROS_IMPORTACION!$C:$C,0),0)</f>
        <v>0</v>
      </c>
      <c r="L280" s="2">
        <f t="shared" si="9"/>
        <v>0</v>
      </c>
    </row>
    <row r="281" spans="5:12" x14ac:dyDescent="0.35">
      <c r="E281" s="2"/>
      <c r="F281" s="2">
        <f>_xlfn.XLOOKUP(D281,TIPOS_CAMBIO!A:A,TIPOS_CAMBIO!B:B,"",0)</f>
        <v>0</v>
      </c>
      <c r="G281" s="3">
        <f t="shared" si="8"/>
        <v>0</v>
      </c>
      <c r="H281" s="3"/>
      <c r="I281" s="3">
        <f ca="1">IFERROR(_xludf.XLOOKUP("Seguro",PARAMETROS_IMPORTACION!$A:$A,PARAMETROS_IMPORTACION!$C:$C,0),0)</f>
        <v>0</v>
      </c>
      <c r="J281" s="3">
        <f ca="1">IFERROR(_xludf.XLOOKUP("Arancel",PARAMETROS_IMPORTACION!$A:$A,PARAMETROS_IMPORTACION!$C:$C,0),0)</f>
        <v>0</v>
      </c>
      <c r="K281" s="2">
        <f ca="1">IFERROR(_xludf.XLOOKUP("Gastos_Aduana",PARAMETROS_IMPORTACION!$A:$A,PARAMETROS_IMPORTACION!$C:$C,0),0)</f>
        <v>0</v>
      </c>
      <c r="L281" s="2">
        <f t="shared" si="9"/>
        <v>0</v>
      </c>
    </row>
    <row r="282" spans="5:12" x14ac:dyDescent="0.35">
      <c r="E282" s="2"/>
      <c r="F282" s="2">
        <f>_xlfn.XLOOKUP(D282,TIPOS_CAMBIO!A:A,TIPOS_CAMBIO!B:B,"",0)</f>
        <v>0</v>
      </c>
      <c r="G282" s="3">
        <f t="shared" si="8"/>
        <v>0</v>
      </c>
      <c r="H282" s="3"/>
      <c r="I282" s="3">
        <f ca="1">IFERROR(_xludf.XLOOKUP("Seguro",PARAMETROS_IMPORTACION!$A:$A,PARAMETROS_IMPORTACION!$C:$C,0),0)</f>
        <v>0</v>
      </c>
      <c r="J282" s="3">
        <f ca="1">IFERROR(_xludf.XLOOKUP("Arancel",PARAMETROS_IMPORTACION!$A:$A,PARAMETROS_IMPORTACION!$C:$C,0),0)</f>
        <v>0</v>
      </c>
      <c r="K282" s="2">
        <f ca="1">IFERROR(_xludf.XLOOKUP("Gastos_Aduana",PARAMETROS_IMPORTACION!$A:$A,PARAMETROS_IMPORTACION!$C:$C,0),0)</f>
        <v>0</v>
      </c>
      <c r="L282" s="2">
        <f t="shared" si="9"/>
        <v>0</v>
      </c>
    </row>
    <row r="283" spans="5:12" x14ac:dyDescent="0.35">
      <c r="E283" s="2"/>
      <c r="F283" s="2">
        <f>_xlfn.XLOOKUP(D283,TIPOS_CAMBIO!A:A,TIPOS_CAMBIO!B:B,"",0)</f>
        <v>0</v>
      </c>
      <c r="G283" s="3">
        <f t="shared" si="8"/>
        <v>0</v>
      </c>
      <c r="H283" s="3"/>
      <c r="I283" s="3">
        <f ca="1">IFERROR(_xludf.XLOOKUP("Seguro",PARAMETROS_IMPORTACION!$A:$A,PARAMETROS_IMPORTACION!$C:$C,0),0)</f>
        <v>0</v>
      </c>
      <c r="J283" s="3">
        <f ca="1">IFERROR(_xludf.XLOOKUP("Arancel",PARAMETROS_IMPORTACION!$A:$A,PARAMETROS_IMPORTACION!$C:$C,0),0)</f>
        <v>0</v>
      </c>
      <c r="K283" s="2">
        <f ca="1">IFERROR(_xludf.XLOOKUP("Gastos_Aduana",PARAMETROS_IMPORTACION!$A:$A,PARAMETROS_IMPORTACION!$C:$C,0),0)</f>
        <v>0</v>
      </c>
      <c r="L283" s="2">
        <f t="shared" si="9"/>
        <v>0</v>
      </c>
    </row>
    <row r="284" spans="5:12" x14ac:dyDescent="0.35">
      <c r="E284" s="2"/>
      <c r="F284" s="2">
        <f>_xlfn.XLOOKUP(D284,TIPOS_CAMBIO!A:A,TIPOS_CAMBIO!B:B,"",0)</f>
        <v>0</v>
      </c>
      <c r="G284" s="3">
        <f t="shared" si="8"/>
        <v>0</v>
      </c>
      <c r="H284" s="3"/>
      <c r="I284" s="3">
        <f ca="1">IFERROR(_xludf.XLOOKUP("Seguro",PARAMETROS_IMPORTACION!$A:$A,PARAMETROS_IMPORTACION!$C:$C,0),0)</f>
        <v>0</v>
      </c>
      <c r="J284" s="3">
        <f ca="1">IFERROR(_xludf.XLOOKUP("Arancel",PARAMETROS_IMPORTACION!$A:$A,PARAMETROS_IMPORTACION!$C:$C,0),0)</f>
        <v>0</v>
      </c>
      <c r="K284" s="2">
        <f ca="1">IFERROR(_xludf.XLOOKUP("Gastos_Aduana",PARAMETROS_IMPORTACION!$A:$A,PARAMETROS_IMPORTACION!$C:$C,0),0)</f>
        <v>0</v>
      </c>
      <c r="L284" s="2">
        <f t="shared" si="9"/>
        <v>0</v>
      </c>
    </row>
    <row r="285" spans="5:12" x14ac:dyDescent="0.35">
      <c r="E285" s="2"/>
      <c r="F285" s="2">
        <f>_xlfn.XLOOKUP(D285,TIPOS_CAMBIO!A:A,TIPOS_CAMBIO!B:B,"",0)</f>
        <v>0</v>
      </c>
      <c r="G285" s="3">
        <f t="shared" si="8"/>
        <v>0</v>
      </c>
      <c r="H285" s="3"/>
      <c r="I285" s="3">
        <f ca="1">IFERROR(_xludf.XLOOKUP("Seguro",PARAMETROS_IMPORTACION!$A:$A,PARAMETROS_IMPORTACION!$C:$C,0),0)</f>
        <v>0</v>
      </c>
      <c r="J285" s="3">
        <f ca="1">IFERROR(_xludf.XLOOKUP("Arancel",PARAMETROS_IMPORTACION!$A:$A,PARAMETROS_IMPORTACION!$C:$C,0),0)</f>
        <v>0</v>
      </c>
      <c r="K285" s="2">
        <f ca="1">IFERROR(_xludf.XLOOKUP("Gastos_Aduana",PARAMETROS_IMPORTACION!$A:$A,PARAMETROS_IMPORTACION!$C:$C,0),0)</f>
        <v>0</v>
      </c>
      <c r="L285" s="2">
        <f t="shared" si="9"/>
        <v>0</v>
      </c>
    </row>
    <row r="286" spans="5:12" x14ac:dyDescent="0.35">
      <c r="E286" s="2"/>
      <c r="F286" s="2">
        <f>_xlfn.XLOOKUP(D286,TIPOS_CAMBIO!A:A,TIPOS_CAMBIO!B:B,"",0)</f>
        <v>0</v>
      </c>
      <c r="G286" s="3">
        <f t="shared" si="8"/>
        <v>0</v>
      </c>
      <c r="H286" s="3"/>
      <c r="I286" s="3">
        <f ca="1">IFERROR(_xludf.XLOOKUP("Seguro",PARAMETROS_IMPORTACION!$A:$A,PARAMETROS_IMPORTACION!$C:$C,0),0)</f>
        <v>0</v>
      </c>
      <c r="J286" s="3">
        <f ca="1">IFERROR(_xludf.XLOOKUP("Arancel",PARAMETROS_IMPORTACION!$A:$A,PARAMETROS_IMPORTACION!$C:$C,0),0)</f>
        <v>0</v>
      </c>
      <c r="K286" s="2">
        <f ca="1">IFERROR(_xludf.XLOOKUP("Gastos_Aduana",PARAMETROS_IMPORTACION!$A:$A,PARAMETROS_IMPORTACION!$C:$C,0),0)</f>
        <v>0</v>
      </c>
      <c r="L286" s="2">
        <f t="shared" si="9"/>
        <v>0</v>
      </c>
    </row>
    <row r="287" spans="5:12" x14ac:dyDescent="0.35">
      <c r="E287" s="2"/>
      <c r="F287" s="2">
        <f>_xlfn.XLOOKUP(D287,TIPOS_CAMBIO!A:A,TIPOS_CAMBIO!B:B,"",0)</f>
        <v>0</v>
      </c>
      <c r="G287" s="3">
        <f t="shared" si="8"/>
        <v>0</v>
      </c>
      <c r="H287" s="3"/>
      <c r="I287" s="3">
        <f ca="1">IFERROR(_xludf.XLOOKUP("Seguro",PARAMETROS_IMPORTACION!$A:$A,PARAMETROS_IMPORTACION!$C:$C,0),0)</f>
        <v>0</v>
      </c>
      <c r="J287" s="3">
        <f ca="1">IFERROR(_xludf.XLOOKUP("Arancel",PARAMETROS_IMPORTACION!$A:$A,PARAMETROS_IMPORTACION!$C:$C,0),0)</f>
        <v>0</v>
      </c>
      <c r="K287" s="2">
        <f ca="1">IFERROR(_xludf.XLOOKUP("Gastos_Aduana",PARAMETROS_IMPORTACION!$A:$A,PARAMETROS_IMPORTACION!$C:$C,0),0)</f>
        <v>0</v>
      </c>
      <c r="L287" s="2">
        <f t="shared" si="9"/>
        <v>0</v>
      </c>
    </row>
    <row r="288" spans="5:12" x14ac:dyDescent="0.35">
      <c r="E288" s="2"/>
      <c r="F288" s="2">
        <f>_xlfn.XLOOKUP(D288,TIPOS_CAMBIO!A:A,TIPOS_CAMBIO!B:B,"",0)</f>
        <v>0</v>
      </c>
      <c r="G288" s="3">
        <f t="shared" si="8"/>
        <v>0</v>
      </c>
      <c r="H288" s="3"/>
      <c r="I288" s="3">
        <f ca="1">IFERROR(_xludf.XLOOKUP("Seguro",PARAMETROS_IMPORTACION!$A:$A,PARAMETROS_IMPORTACION!$C:$C,0),0)</f>
        <v>0</v>
      </c>
      <c r="J288" s="3">
        <f ca="1">IFERROR(_xludf.XLOOKUP("Arancel",PARAMETROS_IMPORTACION!$A:$A,PARAMETROS_IMPORTACION!$C:$C,0),0)</f>
        <v>0</v>
      </c>
      <c r="K288" s="2">
        <f ca="1">IFERROR(_xludf.XLOOKUP("Gastos_Aduana",PARAMETROS_IMPORTACION!$A:$A,PARAMETROS_IMPORTACION!$C:$C,0),0)</f>
        <v>0</v>
      </c>
      <c r="L288" s="2">
        <f t="shared" si="9"/>
        <v>0</v>
      </c>
    </row>
    <row r="289" spans="5:12" x14ac:dyDescent="0.35">
      <c r="E289" s="2"/>
      <c r="F289" s="2">
        <f>_xlfn.XLOOKUP(D289,TIPOS_CAMBIO!A:A,TIPOS_CAMBIO!B:B,"",0)</f>
        <v>0</v>
      </c>
      <c r="G289" s="3">
        <f t="shared" si="8"/>
        <v>0</v>
      </c>
      <c r="H289" s="3"/>
      <c r="I289" s="3">
        <f ca="1">IFERROR(_xludf.XLOOKUP("Seguro",PARAMETROS_IMPORTACION!$A:$A,PARAMETROS_IMPORTACION!$C:$C,0),0)</f>
        <v>0</v>
      </c>
      <c r="J289" s="3">
        <f ca="1">IFERROR(_xludf.XLOOKUP("Arancel",PARAMETROS_IMPORTACION!$A:$A,PARAMETROS_IMPORTACION!$C:$C,0),0)</f>
        <v>0</v>
      </c>
      <c r="K289" s="2">
        <f ca="1">IFERROR(_xludf.XLOOKUP("Gastos_Aduana",PARAMETROS_IMPORTACION!$A:$A,PARAMETROS_IMPORTACION!$C:$C,0),0)</f>
        <v>0</v>
      </c>
      <c r="L289" s="2">
        <f t="shared" si="9"/>
        <v>0</v>
      </c>
    </row>
    <row r="290" spans="5:12" x14ac:dyDescent="0.35">
      <c r="E290" s="2"/>
      <c r="F290" s="2">
        <f>_xlfn.XLOOKUP(D290,TIPOS_CAMBIO!A:A,TIPOS_CAMBIO!B:B,"",0)</f>
        <v>0</v>
      </c>
      <c r="G290" s="3">
        <f t="shared" si="8"/>
        <v>0</v>
      </c>
      <c r="H290" s="3"/>
      <c r="I290" s="3">
        <f ca="1">IFERROR(_xludf.XLOOKUP("Seguro",PARAMETROS_IMPORTACION!$A:$A,PARAMETROS_IMPORTACION!$C:$C,0),0)</f>
        <v>0</v>
      </c>
      <c r="J290" s="3">
        <f ca="1">IFERROR(_xludf.XLOOKUP("Arancel",PARAMETROS_IMPORTACION!$A:$A,PARAMETROS_IMPORTACION!$C:$C,0),0)</f>
        <v>0</v>
      </c>
      <c r="K290" s="2">
        <f ca="1">IFERROR(_xludf.XLOOKUP("Gastos_Aduana",PARAMETROS_IMPORTACION!$A:$A,PARAMETROS_IMPORTACION!$C:$C,0),0)</f>
        <v>0</v>
      </c>
      <c r="L290" s="2">
        <f t="shared" si="9"/>
        <v>0</v>
      </c>
    </row>
    <row r="291" spans="5:12" x14ac:dyDescent="0.35">
      <c r="E291" s="2"/>
      <c r="F291" s="2">
        <f>_xlfn.XLOOKUP(D291,TIPOS_CAMBIO!A:A,TIPOS_CAMBIO!B:B,"",0)</f>
        <v>0</v>
      </c>
      <c r="G291" s="3">
        <f t="shared" si="8"/>
        <v>0</v>
      </c>
      <c r="H291" s="3"/>
      <c r="I291" s="3">
        <f ca="1">IFERROR(_xludf.XLOOKUP("Seguro",PARAMETROS_IMPORTACION!$A:$A,PARAMETROS_IMPORTACION!$C:$C,0),0)</f>
        <v>0</v>
      </c>
      <c r="J291" s="3">
        <f ca="1">IFERROR(_xludf.XLOOKUP("Arancel",PARAMETROS_IMPORTACION!$A:$A,PARAMETROS_IMPORTACION!$C:$C,0),0)</f>
        <v>0</v>
      </c>
      <c r="K291" s="2">
        <f ca="1">IFERROR(_xludf.XLOOKUP("Gastos_Aduana",PARAMETROS_IMPORTACION!$A:$A,PARAMETROS_IMPORTACION!$C:$C,0),0)</f>
        <v>0</v>
      </c>
      <c r="L291" s="2">
        <f t="shared" si="9"/>
        <v>0</v>
      </c>
    </row>
    <row r="292" spans="5:12" x14ac:dyDescent="0.35">
      <c r="E292" s="2"/>
      <c r="F292" s="2">
        <f>_xlfn.XLOOKUP(D292,TIPOS_CAMBIO!A:A,TIPOS_CAMBIO!B:B,"",0)</f>
        <v>0</v>
      </c>
      <c r="G292" s="3">
        <f t="shared" si="8"/>
        <v>0</v>
      </c>
      <c r="H292" s="3"/>
      <c r="I292" s="3">
        <f ca="1">IFERROR(_xludf.XLOOKUP("Seguro",PARAMETROS_IMPORTACION!$A:$A,PARAMETROS_IMPORTACION!$C:$C,0),0)</f>
        <v>0</v>
      </c>
      <c r="J292" s="3">
        <f ca="1">IFERROR(_xludf.XLOOKUP("Arancel",PARAMETROS_IMPORTACION!$A:$A,PARAMETROS_IMPORTACION!$C:$C,0),0)</f>
        <v>0</v>
      </c>
      <c r="K292" s="2">
        <f ca="1">IFERROR(_xludf.XLOOKUP("Gastos_Aduana",PARAMETROS_IMPORTACION!$A:$A,PARAMETROS_IMPORTACION!$C:$C,0),0)</f>
        <v>0</v>
      </c>
      <c r="L292" s="2">
        <f t="shared" si="9"/>
        <v>0</v>
      </c>
    </row>
    <row r="293" spans="5:12" x14ac:dyDescent="0.35">
      <c r="E293" s="2"/>
      <c r="F293" s="2">
        <f>_xlfn.XLOOKUP(D293,TIPOS_CAMBIO!A:A,TIPOS_CAMBIO!B:B,"",0)</f>
        <v>0</v>
      </c>
      <c r="G293" s="3">
        <f t="shared" si="8"/>
        <v>0</v>
      </c>
      <c r="H293" s="3"/>
      <c r="I293" s="3">
        <f ca="1">IFERROR(_xludf.XLOOKUP("Seguro",PARAMETROS_IMPORTACION!$A:$A,PARAMETROS_IMPORTACION!$C:$C,0),0)</f>
        <v>0</v>
      </c>
      <c r="J293" s="3">
        <f ca="1">IFERROR(_xludf.XLOOKUP("Arancel",PARAMETROS_IMPORTACION!$A:$A,PARAMETROS_IMPORTACION!$C:$C,0),0)</f>
        <v>0</v>
      </c>
      <c r="K293" s="2">
        <f ca="1">IFERROR(_xludf.XLOOKUP("Gastos_Aduana",PARAMETROS_IMPORTACION!$A:$A,PARAMETROS_IMPORTACION!$C:$C,0),0)</f>
        <v>0</v>
      </c>
      <c r="L293" s="2">
        <f t="shared" si="9"/>
        <v>0</v>
      </c>
    </row>
    <row r="294" spans="5:12" x14ac:dyDescent="0.35">
      <c r="E294" s="2"/>
      <c r="F294" s="2">
        <f>_xlfn.XLOOKUP(D294,TIPOS_CAMBIO!A:A,TIPOS_CAMBIO!B:B,"",0)</f>
        <v>0</v>
      </c>
      <c r="G294" s="3">
        <f t="shared" si="8"/>
        <v>0</v>
      </c>
      <c r="H294" s="3"/>
      <c r="I294" s="3">
        <f ca="1">IFERROR(_xludf.XLOOKUP("Seguro",PARAMETROS_IMPORTACION!$A:$A,PARAMETROS_IMPORTACION!$C:$C,0),0)</f>
        <v>0</v>
      </c>
      <c r="J294" s="3">
        <f ca="1">IFERROR(_xludf.XLOOKUP("Arancel",PARAMETROS_IMPORTACION!$A:$A,PARAMETROS_IMPORTACION!$C:$C,0),0)</f>
        <v>0</v>
      </c>
      <c r="K294" s="2">
        <f ca="1">IFERROR(_xludf.XLOOKUP("Gastos_Aduana",PARAMETROS_IMPORTACION!$A:$A,PARAMETROS_IMPORTACION!$C:$C,0),0)</f>
        <v>0</v>
      </c>
      <c r="L294" s="2">
        <f t="shared" si="9"/>
        <v>0</v>
      </c>
    </row>
    <row r="295" spans="5:12" x14ac:dyDescent="0.35">
      <c r="E295" s="2"/>
      <c r="F295" s="2">
        <f>_xlfn.XLOOKUP(D295,TIPOS_CAMBIO!A:A,TIPOS_CAMBIO!B:B,"",0)</f>
        <v>0</v>
      </c>
      <c r="G295" s="3">
        <f t="shared" si="8"/>
        <v>0</v>
      </c>
      <c r="H295" s="3"/>
      <c r="I295" s="3">
        <f ca="1">IFERROR(_xludf.XLOOKUP("Seguro",PARAMETROS_IMPORTACION!$A:$A,PARAMETROS_IMPORTACION!$C:$C,0),0)</f>
        <v>0</v>
      </c>
      <c r="J295" s="3">
        <f ca="1">IFERROR(_xludf.XLOOKUP("Arancel",PARAMETROS_IMPORTACION!$A:$A,PARAMETROS_IMPORTACION!$C:$C,0),0)</f>
        <v>0</v>
      </c>
      <c r="K295" s="2">
        <f ca="1">IFERROR(_xludf.XLOOKUP("Gastos_Aduana",PARAMETROS_IMPORTACION!$A:$A,PARAMETROS_IMPORTACION!$C:$C,0),0)</f>
        <v>0</v>
      </c>
      <c r="L295" s="2">
        <f t="shared" si="9"/>
        <v>0</v>
      </c>
    </row>
    <row r="296" spans="5:12" x14ac:dyDescent="0.35">
      <c r="E296" s="2"/>
      <c r="F296" s="2">
        <f>_xlfn.XLOOKUP(D296,TIPOS_CAMBIO!A:A,TIPOS_CAMBIO!B:B,"",0)</f>
        <v>0</v>
      </c>
      <c r="G296" s="3">
        <f t="shared" si="8"/>
        <v>0</v>
      </c>
      <c r="H296" s="3"/>
      <c r="I296" s="3">
        <f ca="1">IFERROR(_xludf.XLOOKUP("Seguro",PARAMETROS_IMPORTACION!$A:$A,PARAMETROS_IMPORTACION!$C:$C,0),0)</f>
        <v>0</v>
      </c>
      <c r="J296" s="3">
        <f ca="1">IFERROR(_xludf.XLOOKUP("Arancel",PARAMETROS_IMPORTACION!$A:$A,PARAMETROS_IMPORTACION!$C:$C,0),0)</f>
        <v>0</v>
      </c>
      <c r="K296" s="2">
        <f ca="1">IFERROR(_xludf.XLOOKUP("Gastos_Aduana",PARAMETROS_IMPORTACION!$A:$A,PARAMETROS_IMPORTACION!$C:$C,0),0)</f>
        <v>0</v>
      </c>
      <c r="L296" s="2">
        <f t="shared" si="9"/>
        <v>0</v>
      </c>
    </row>
    <row r="297" spans="5:12" x14ac:dyDescent="0.35">
      <c r="E297" s="2"/>
      <c r="F297" s="2">
        <f>_xlfn.XLOOKUP(D297,TIPOS_CAMBIO!A:A,TIPOS_CAMBIO!B:B,"",0)</f>
        <v>0</v>
      </c>
      <c r="G297" s="3">
        <f t="shared" si="8"/>
        <v>0</v>
      </c>
      <c r="H297" s="3"/>
      <c r="I297" s="3">
        <f ca="1">IFERROR(_xludf.XLOOKUP("Seguro",PARAMETROS_IMPORTACION!$A:$A,PARAMETROS_IMPORTACION!$C:$C,0),0)</f>
        <v>0</v>
      </c>
      <c r="J297" s="3">
        <f ca="1">IFERROR(_xludf.XLOOKUP("Arancel",PARAMETROS_IMPORTACION!$A:$A,PARAMETROS_IMPORTACION!$C:$C,0),0)</f>
        <v>0</v>
      </c>
      <c r="K297" s="2">
        <f ca="1">IFERROR(_xludf.XLOOKUP("Gastos_Aduana",PARAMETROS_IMPORTACION!$A:$A,PARAMETROS_IMPORTACION!$C:$C,0),0)</f>
        <v>0</v>
      </c>
      <c r="L297" s="2">
        <f t="shared" si="9"/>
        <v>0</v>
      </c>
    </row>
    <row r="298" spans="5:12" x14ac:dyDescent="0.35">
      <c r="E298" s="2"/>
      <c r="F298" s="2">
        <f>_xlfn.XLOOKUP(D298,TIPOS_CAMBIO!A:A,TIPOS_CAMBIO!B:B,"",0)</f>
        <v>0</v>
      </c>
      <c r="G298" s="3">
        <f t="shared" si="8"/>
        <v>0</v>
      </c>
      <c r="H298" s="3"/>
      <c r="I298" s="3">
        <f ca="1">IFERROR(_xludf.XLOOKUP("Seguro",PARAMETROS_IMPORTACION!$A:$A,PARAMETROS_IMPORTACION!$C:$C,0),0)</f>
        <v>0</v>
      </c>
      <c r="J298" s="3">
        <f ca="1">IFERROR(_xludf.XLOOKUP("Arancel",PARAMETROS_IMPORTACION!$A:$A,PARAMETROS_IMPORTACION!$C:$C,0),0)</f>
        <v>0</v>
      </c>
      <c r="K298" s="2">
        <f ca="1">IFERROR(_xludf.XLOOKUP("Gastos_Aduana",PARAMETROS_IMPORTACION!$A:$A,PARAMETROS_IMPORTACION!$C:$C,0),0)</f>
        <v>0</v>
      </c>
      <c r="L298" s="2">
        <f t="shared" si="9"/>
        <v>0</v>
      </c>
    </row>
    <row r="299" spans="5:12" x14ac:dyDescent="0.35">
      <c r="E299" s="2"/>
      <c r="F299" s="2">
        <f>_xlfn.XLOOKUP(D299,TIPOS_CAMBIO!A:A,TIPOS_CAMBIO!B:B,"",0)</f>
        <v>0</v>
      </c>
      <c r="G299" s="3">
        <f t="shared" si="8"/>
        <v>0</v>
      </c>
      <c r="H299" s="3"/>
      <c r="I299" s="3">
        <f ca="1">IFERROR(_xludf.XLOOKUP("Seguro",PARAMETROS_IMPORTACION!$A:$A,PARAMETROS_IMPORTACION!$C:$C,0),0)</f>
        <v>0</v>
      </c>
      <c r="J299" s="3">
        <f ca="1">IFERROR(_xludf.XLOOKUP("Arancel",PARAMETROS_IMPORTACION!$A:$A,PARAMETROS_IMPORTACION!$C:$C,0),0)</f>
        <v>0</v>
      </c>
      <c r="K299" s="2">
        <f ca="1">IFERROR(_xludf.XLOOKUP("Gastos_Aduana",PARAMETROS_IMPORTACION!$A:$A,PARAMETROS_IMPORTACION!$C:$C,0),0)</f>
        <v>0</v>
      </c>
      <c r="L299" s="2">
        <f t="shared" si="9"/>
        <v>0</v>
      </c>
    </row>
    <row r="300" spans="5:12" x14ac:dyDescent="0.35">
      <c r="E300" s="2"/>
      <c r="F300" s="2">
        <f>_xlfn.XLOOKUP(D300,TIPOS_CAMBIO!A:A,TIPOS_CAMBIO!B:B,"",0)</f>
        <v>0</v>
      </c>
      <c r="G300" s="3">
        <f t="shared" si="8"/>
        <v>0</v>
      </c>
      <c r="H300" s="3"/>
      <c r="I300" s="3">
        <f ca="1">IFERROR(_xludf.XLOOKUP("Seguro",PARAMETROS_IMPORTACION!$A:$A,PARAMETROS_IMPORTACION!$C:$C,0),0)</f>
        <v>0</v>
      </c>
      <c r="J300" s="3">
        <f ca="1">IFERROR(_xludf.XLOOKUP("Arancel",PARAMETROS_IMPORTACION!$A:$A,PARAMETROS_IMPORTACION!$C:$C,0),0)</f>
        <v>0</v>
      </c>
      <c r="K300" s="2">
        <f ca="1">IFERROR(_xludf.XLOOKUP("Gastos_Aduana",PARAMETROS_IMPORTACION!$A:$A,PARAMETROS_IMPORTACION!$C:$C,0),0)</f>
        <v>0</v>
      </c>
      <c r="L300" s="2">
        <f t="shared" si="9"/>
        <v>0</v>
      </c>
    </row>
    <row r="301" spans="5:12" x14ac:dyDescent="0.35">
      <c r="E301" s="2"/>
      <c r="F301" s="2">
        <f>_xlfn.XLOOKUP(D301,TIPOS_CAMBIO!A:A,TIPOS_CAMBIO!B:B,"",0)</f>
        <v>0</v>
      </c>
      <c r="G301" s="3">
        <f t="shared" si="8"/>
        <v>0</v>
      </c>
      <c r="H301" s="3"/>
      <c r="I301" s="3">
        <f ca="1">IFERROR(_xludf.XLOOKUP("Seguro",PARAMETROS_IMPORTACION!$A:$A,PARAMETROS_IMPORTACION!$C:$C,0),0)</f>
        <v>0</v>
      </c>
      <c r="J301" s="3">
        <f ca="1">IFERROR(_xludf.XLOOKUP("Arancel",PARAMETROS_IMPORTACION!$A:$A,PARAMETROS_IMPORTACION!$C:$C,0),0)</f>
        <v>0</v>
      </c>
      <c r="K301" s="2">
        <f ca="1">IFERROR(_xludf.XLOOKUP("Gastos_Aduana",PARAMETROS_IMPORTACION!$A:$A,PARAMETROS_IMPORTACION!$C:$C,0),0)</f>
        <v>0</v>
      </c>
      <c r="L301" s="2">
        <f t="shared" si="9"/>
        <v>0</v>
      </c>
    </row>
    <row r="302" spans="5:12" x14ac:dyDescent="0.35">
      <c r="E302" s="2"/>
      <c r="F302" s="2">
        <f>_xlfn.XLOOKUP(D302,TIPOS_CAMBIO!A:A,TIPOS_CAMBIO!B:B,"",0)</f>
        <v>0</v>
      </c>
      <c r="G302" s="3">
        <f t="shared" si="8"/>
        <v>0</v>
      </c>
      <c r="H302" s="3"/>
      <c r="I302" s="3">
        <f ca="1">IFERROR(_xludf.XLOOKUP("Seguro",PARAMETROS_IMPORTACION!$A:$A,PARAMETROS_IMPORTACION!$C:$C,0),0)</f>
        <v>0</v>
      </c>
      <c r="J302" s="3">
        <f ca="1">IFERROR(_xludf.XLOOKUP("Arancel",PARAMETROS_IMPORTACION!$A:$A,PARAMETROS_IMPORTACION!$C:$C,0),0)</f>
        <v>0</v>
      </c>
      <c r="K302" s="2">
        <f ca="1">IFERROR(_xludf.XLOOKUP("Gastos_Aduana",PARAMETROS_IMPORTACION!$A:$A,PARAMETROS_IMPORTACION!$C:$C,0),0)</f>
        <v>0</v>
      </c>
      <c r="L302" s="2">
        <f t="shared" si="9"/>
        <v>0</v>
      </c>
    </row>
    <row r="303" spans="5:12" x14ac:dyDescent="0.35">
      <c r="E303" s="2"/>
      <c r="F303" s="2">
        <f>_xlfn.XLOOKUP(D303,TIPOS_CAMBIO!A:A,TIPOS_CAMBIO!B:B,"",0)</f>
        <v>0</v>
      </c>
      <c r="G303" s="3">
        <f t="shared" si="8"/>
        <v>0</v>
      </c>
      <c r="H303" s="3"/>
      <c r="I303" s="3">
        <f ca="1">IFERROR(_xludf.XLOOKUP("Seguro",PARAMETROS_IMPORTACION!$A:$A,PARAMETROS_IMPORTACION!$C:$C,0),0)</f>
        <v>0</v>
      </c>
      <c r="J303" s="3">
        <f ca="1">IFERROR(_xludf.XLOOKUP("Arancel",PARAMETROS_IMPORTACION!$A:$A,PARAMETROS_IMPORTACION!$C:$C,0),0)</f>
        <v>0</v>
      </c>
      <c r="K303" s="2">
        <f ca="1">IFERROR(_xludf.XLOOKUP("Gastos_Aduana",PARAMETROS_IMPORTACION!$A:$A,PARAMETROS_IMPORTACION!$C:$C,0),0)</f>
        <v>0</v>
      </c>
      <c r="L303" s="2">
        <f t="shared" si="9"/>
        <v>0</v>
      </c>
    </row>
    <row r="304" spans="5:12" x14ac:dyDescent="0.35">
      <c r="E304" s="2"/>
      <c r="F304" s="2">
        <f>_xlfn.XLOOKUP(D304,TIPOS_CAMBIO!A:A,TIPOS_CAMBIO!B:B,"",0)</f>
        <v>0</v>
      </c>
      <c r="G304" s="3">
        <f t="shared" si="8"/>
        <v>0</v>
      </c>
      <c r="H304" s="3"/>
      <c r="I304" s="3">
        <f ca="1">IFERROR(_xludf.XLOOKUP("Seguro",PARAMETROS_IMPORTACION!$A:$A,PARAMETROS_IMPORTACION!$C:$C,0),0)</f>
        <v>0</v>
      </c>
      <c r="J304" s="3">
        <f ca="1">IFERROR(_xludf.XLOOKUP("Arancel",PARAMETROS_IMPORTACION!$A:$A,PARAMETROS_IMPORTACION!$C:$C,0),0)</f>
        <v>0</v>
      </c>
      <c r="K304" s="2">
        <f ca="1">IFERROR(_xludf.XLOOKUP("Gastos_Aduana",PARAMETROS_IMPORTACION!$A:$A,PARAMETROS_IMPORTACION!$C:$C,0),0)</f>
        <v>0</v>
      </c>
      <c r="L304" s="2">
        <f t="shared" si="9"/>
        <v>0</v>
      </c>
    </row>
    <row r="305" spans="5:12" x14ac:dyDescent="0.35">
      <c r="E305" s="2"/>
      <c r="F305" s="2">
        <f>_xlfn.XLOOKUP(D305,TIPOS_CAMBIO!A:A,TIPOS_CAMBIO!B:B,"",0)</f>
        <v>0</v>
      </c>
      <c r="G305" s="3">
        <f t="shared" si="8"/>
        <v>0</v>
      </c>
      <c r="H305" s="3"/>
      <c r="I305" s="3">
        <f ca="1">IFERROR(_xludf.XLOOKUP("Seguro",PARAMETROS_IMPORTACION!$A:$A,PARAMETROS_IMPORTACION!$C:$C,0),0)</f>
        <v>0</v>
      </c>
      <c r="J305" s="3">
        <f ca="1">IFERROR(_xludf.XLOOKUP("Arancel",PARAMETROS_IMPORTACION!$A:$A,PARAMETROS_IMPORTACION!$C:$C,0),0)</f>
        <v>0</v>
      </c>
      <c r="K305" s="2">
        <f ca="1">IFERROR(_xludf.XLOOKUP("Gastos_Aduana",PARAMETROS_IMPORTACION!$A:$A,PARAMETROS_IMPORTACION!$C:$C,0),0)</f>
        <v>0</v>
      </c>
      <c r="L305" s="2">
        <f t="shared" si="9"/>
        <v>0</v>
      </c>
    </row>
    <row r="306" spans="5:12" x14ac:dyDescent="0.35">
      <c r="E306" s="2"/>
      <c r="F306" s="2">
        <f>_xlfn.XLOOKUP(D306,TIPOS_CAMBIO!A:A,TIPOS_CAMBIO!B:B,"",0)</f>
        <v>0</v>
      </c>
      <c r="G306" s="3">
        <f t="shared" si="8"/>
        <v>0</v>
      </c>
      <c r="H306" s="3"/>
      <c r="I306" s="3">
        <f ca="1">IFERROR(_xludf.XLOOKUP("Seguro",PARAMETROS_IMPORTACION!$A:$A,PARAMETROS_IMPORTACION!$C:$C,0),0)</f>
        <v>0</v>
      </c>
      <c r="J306" s="3">
        <f ca="1">IFERROR(_xludf.XLOOKUP("Arancel",PARAMETROS_IMPORTACION!$A:$A,PARAMETROS_IMPORTACION!$C:$C,0),0)</f>
        <v>0</v>
      </c>
      <c r="K306" s="2">
        <f ca="1">IFERROR(_xludf.XLOOKUP("Gastos_Aduana",PARAMETROS_IMPORTACION!$A:$A,PARAMETROS_IMPORTACION!$C:$C,0),0)</f>
        <v>0</v>
      </c>
      <c r="L306" s="2">
        <f t="shared" si="9"/>
        <v>0</v>
      </c>
    </row>
    <row r="307" spans="5:12" x14ac:dyDescent="0.35">
      <c r="E307" s="2"/>
      <c r="F307" s="2">
        <f>_xlfn.XLOOKUP(D307,TIPOS_CAMBIO!A:A,TIPOS_CAMBIO!B:B,"",0)</f>
        <v>0</v>
      </c>
      <c r="G307" s="3">
        <f t="shared" si="8"/>
        <v>0</v>
      </c>
      <c r="H307" s="3"/>
      <c r="I307" s="3">
        <f ca="1">IFERROR(_xludf.XLOOKUP("Seguro",PARAMETROS_IMPORTACION!$A:$A,PARAMETROS_IMPORTACION!$C:$C,0),0)</f>
        <v>0</v>
      </c>
      <c r="J307" s="3">
        <f ca="1">IFERROR(_xludf.XLOOKUP("Arancel",PARAMETROS_IMPORTACION!$A:$A,PARAMETROS_IMPORTACION!$C:$C,0),0)</f>
        <v>0</v>
      </c>
      <c r="K307" s="2">
        <f ca="1">IFERROR(_xludf.XLOOKUP("Gastos_Aduana",PARAMETROS_IMPORTACION!$A:$A,PARAMETROS_IMPORTACION!$C:$C,0),0)</f>
        <v>0</v>
      </c>
      <c r="L307" s="2">
        <f t="shared" si="9"/>
        <v>0</v>
      </c>
    </row>
    <row r="308" spans="5:12" x14ac:dyDescent="0.35">
      <c r="E308" s="2"/>
      <c r="F308" s="2">
        <f>_xlfn.XLOOKUP(D308,TIPOS_CAMBIO!A:A,TIPOS_CAMBIO!B:B,"",0)</f>
        <v>0</v>
      </c>
      <c r="G308" s="3">
        <f t="shared" si="8"/>
        <v>0</v>
      </c>
      <c r="H308" s="3"/>
      <c r="I308" s="3">
        <f ca="1">IFERROR(_xludf.XLOOKUP("Seguro",PARAMETROS_IMPORTACION!$A:$A,PARAMETROS_IMPORTACION!$C:$C,0),0)</f>
        <v>0</v>
      </c>
      <c r="J308" s="3">
        <f ca="1">IFERROR(_xludf.XLOOKUP("Arancel",PARAMETROS_IMPORTACION!$A:$A,PARAMETROS_IMPORTACION!$C:$C,0),0)</f>
        <v>0</v>
      </c>
      <c r="K308" s="2">
        <f ca="1">IFERROR(_xludf.XLOOKUP("Gastos_Aduana",PARAMETROS_IMPORTACION!$A:$A,PARAMETROS_IMPORTACION!$C:$C,0),0)</f>
        <v>0</v>
      </c>
      <c r="L308" s="2">
        <f t="shared" si="9"/>
        <v>0</v>
      </c>
    </row>
    <row r="309" spans="5:12" x14ac:dyDescent="0.35">
      <c r="E309" s="2"/>
      <c r="F309" s="2">
        <f>_xlfn.XLOOKUP(D309,TIPOS_CAMBIO!A:A,TIPOS_CAMBIO!B:B,"",0)</f>
        <v>0</v>
      </c>
      <c r="G309" s="3">
        <f t="shared" si="8"/>
        <v>0</v>
      </c>
      <c r="H309" s="3"/>
      <c r="I309" s="3">
        <f ca="1">IFERROR(_xludf.XLOOKUP("Seguro",PARAMETROS_IMPORTACION!$A:$A,PARAMETROS_IMPORTACION!$C:$C,0),0)</f>
        <v>0</v>
      </c>
      <c r="J309" s="3">
        <f ca="1">IFERROR(_xludf.XLOOKUP("Arancel",PARAMETROS_IMPORTACION!$A:$A,PARAMETROS_IMPORTACION!$C:$C,0),0)</f>
        <v>0</v>
      </c>
      <c r="K309" s="2">
        <f ca="1">IFERROR(_xludf.XLOOKUP("Gastos_Aduana",PARAMETROS_IMPORTACION!$A:$A,PARAMETROS_IMPORTACION!$C:$C,0),0)</f>
        <v>0</v>
      </c>
      <c r="L309" s="2">
        <f t="shared" si="9"/>
        <v>0</v>
      </c>
    </row>
    <row r="310" spans="5:12" x14ac:dyDescent="0.35">
      <c r="E310" s="2"/>
      <c r="F310" s="2">
        <f>_xlfn.XLOOKUP(D310,TIPOS_CAMBIO!A:A,TIPOS_CAMBIO!B:B,"",0)</f>
        <v>0</v>
      </c>
      <c r="G310" s="3">
        <f t="shared" si="8"/>
        <v>0</v>
      </c>
      <c r="H310" s="3"/>
      <c r="I310" s="3">
        <f ca="1">IFERROR(_xludf.XLOOKUP("Seguro",PARAMETROS_IMPORTACION!$A:$A,PARAMETROS_IMPORTACION!$C:$C,0),0)</f>
        <v>0</v>
      </c>
      <c r="J310" s="3">
        <f ca="1">IFERROR(_xludf.XLOOKUP("Arancel",PARAMETROS_IMPORTACION!$A:$A,PARAMETROS_IMPORTACION!$C:$C,0),0)</f>
        <v>0</v>
      </c>
      <c r="K310" s="2">
        <f ca="1">IFERROR(_xludf.XLOOKUP("Gastos_Aduana",PARAMETROS_IMPORTACION!$A:$A,PARAMETROS_IMPORTACION!$C:$C,0),0)</f>
        <v>0</v>
      </c>
      <c r="L310" s="2">
        <f t="shared" si="9"/>
        <v>0</v>
      </c>
    </row>
    <row r="311" spans="5:12" x14ac:dyDescent="0.35">
      <c r="E311" s="2"/>
      <c r="F311" s="2">
        <f>_xlfn.XLOOKUP(D311,TIPOS_CAMBIO!A:A,TIPOS_CAMBIO!B:B,"",0)</f>
        <v>0</v>
      </c>
      <c r="G311" s="3">
        <f t="shared" si="8"/>
        <v>0</v>
      </c>
      <c r="H311" s="3"/>
      <c r="I311" s="3">
        <f ca="1">IFERROR(_xludf.XLOOKUP("Seguro",PARAMETROS_IMPORTACION!$A:$A,PARAMETROS_IMPORTACION!$C:$C,0),0)</f>
        <v>0</v>
      </c>
      <c r="J311" s="3">
        <f ca="1">IFERROR(_xludf.XLOOKUP("Arancel",PARAMETROS_IMPORTACION!$A:$A,PARAMETROS_IMPORTACION!$C:$C,0),0)</f>
        <v>0</v>
      </c>
      <c r="K311" s="2">
        <f ca="1">IFERROR(_xludf.XLOOKUP("Gastos_Aduana",PARAMETROS_IMPORTACION!$A:$A,PARAMETROS_IMPORTACION!$C:$C,0),0)</f>
        <v>0</v>
      </c>
      <c r="L311" s="2">
        <f t="shared" si="9"/>
        <v>0</v>
      </c>
    </row>
    <row r="312" spans="5:12" x14ac:dyDescent="0.35">
      <c r="E312" s="2"/>
      <c r="F312" s="2">
        <f>_xlfn.XLOOKUP(D312,TIPOS_CAMBIO!A:A,TIPOS_CAMBIO!B:B,"",0)</f>
        <v>0</v>
      </c>
      <c r="G312" s="3">
        <f t="shared" si="8"/>
        <v>0</v>
      </c>
      <c r="H312" s="3"/>
      <c r="I312" s="3">
        <f ca="1">IFERROR(_xludf.XLOOKUP("Seguro",PARAMETROS_IMPORTACION!$A:$A,PARAMETROS_IMPORTACION!$C:$C,0),0)</f>
        <v>0</v>
      </c>
      <c r="J312" s="3">
        <f ca="1">IFERROR(_xludf.XLOOKUP("Arancel",PARAMETROS_IMPORTACION!$A:$A,PARAMETROS_IMPORTACION!$C:$C,0),0)</f>
        <v>0</v>
      </c>
      <c r="K312" s="2">
        <f ca="1">IFERROR(_xludf.XLOOKUP("Gastos_Aduana",PARAMETROS_IMPORTACION!$A:$A,PARAMETROS_IMPORTACION!$C:$C,0),0)</f>
        <v>0</v>
      </c>
      <c r="L312" s="2">
        <f t="shared" si="9"/>
        <v>0</v>
      </c>
    </row>
    <row r="313" spans="5:12" x14ac:dyDescent="0.35">
      <c r="E313" s="2"/>
      <c r="F313" s="2">
        <f>_xlfn.XLOOKUP(D313,TIPOS_CAMBIO!A:A,TIPOS_CAMBIO!B:B,"",0)</f>
        <v>0</v>
      </c>
      <c r="G313" s="3">
        <f t="shared" si="8"/>
        <v>0</v>
      </c>
      <c r="H313" s="3"/>
      <c r="I313" s="3">
        <f ca="1">IFERROR(_xludf.XLOOKUP("Seguro",PARAMETROS_IMPORTACION!$A:$A,PARAMETROS_IMPORTACION!$C:$C,0),0)</f>
        <v>0</v>
      </c>
      <c r="J313" s="3">
        <f ca="1">IFERROR(_xludf.XLOOKUP("Arancel",PARAMETROS_IMPORTACION!$A:$A,PARAMETROS_IMPORTACION!$C:$C,0),0)</f>
        <v>0</v>
      </c>
      <c r="K313" s="2">
        <f ca="1">IFERROR(_xludf.XLOOKUP("Gastos_Aduana",PARAMETROS_IMPORTACION!$A:$A,PARAMETROS_IMPORTACION!$C:$C,0),0)</f>
        <v>0</v>
      </c>
      <c r="L313" s="2">
        <f t="shared" si="9"/>
        <v>0</v>
      </c>
    </row>
    <row r="314" spans="5:12" x14ac:dyDescent="0.35">
      <c r="E314" s="2"/>
      <c r="F314" s="2">
        <f>_xlfn.XLOOKUP(D314,TIPOS_CAMBIO!A:A,TIPOS_CAMBIO!B:B,"",0)</f>
        <v>0</v>
      </c>
      <c r="G314" s="3">
        <f t="shared" si="8"/>
        <v>0</v>
      </c>
      <c r="H314" s="3"/>
      <c r="I314" s="3">
        <f ca="1">IFERROR(_xludf.XLOOKUP("Seguro",PARAMETROS_IMPORTACION!$A:$A,PARAMETROS_IMPORTACION!$C:$C,0),0)</f>
        <v>0</v>
      </c>
      <c r="J314" s="3">
        <f ca="1">IFERROR(_xludf.XLOOKUP("Arancel",PARAMETROS_IMPORTACION!$A:$A,PARAMETROS_IMPORTACION!$C:$C,0),0)</f>
        <v>0</v>
      </c>
      <c r="K314" s="2">
        <f ca="1">IFERROR(_xludf.XLOOKUP("Gastos_Aduana",PARAMETROS_IMPORTACION!$A:$A,PARAMETROS_IMPORTACION!$C:$C,0),0)</f>
        <v>0</v>
      </c>
      <c r="L314" s="2">
        <f t="shared" si="9"/>
        <v>0</v>
      </c>
    </row>
    <row r="315" spans="5:12" x14ac:dyDescent="0.35">
      <c r="E315" s="2"/>
      <c r="F315" s="2">
        <f>_xlfn.XLOOKUP(D315,TIPOS_CAMBIO!A:A,TIPOS_CAMBIO!B:B,"",0)</f>
        <v>0</v>
      </c>
      <c r="G315" s="3">
        <f t="shared" si="8"/>
        <v>0</v>
      </c>
      <c r="H315" s="3"/>
      <c r="I315" s="3">
        <f ca="1">IFERROR(_xludf.XLOOKUP("Seguro",PARAMETROS_IMPORTACION!$A:$A,PARAMETROS_IMPORTACION!$C:$C,0),0)</f>
        <v>0</v>
      </c>
      <c r="J315" s="3">
        <f ca="1">IFERROR(_xludf.XLOOKUP("Arancel",PARAMETROS_IMPORTACION!$A:$A,PARAMETROS_IMPORTACION!$C:$C,0),0)</f>
        <v>0</v>
      </c>
      <c r="K315" s="2">
        <f ca="1">IFERROR(_xludf.XLOOKUP("Gastos_Aduana",PARAMETROS_IMPORTACION!$A:$A,PARAMETROS_IMPORTACION!$C:$C,0),0)</f>
        <v>0</v>
      </c>
      <c r="L315" s="2">
        <f t="shared" si="9"/>
        <v>0</v>
      </c>
    </row>
    <row r="316" spans="5:12" x14ac:dyDescent="0.35">
      <c r="E316" s="2"/>
      <c r="F316" s="2">
        <f>_xlfn.XLOOKUP(D316,TIPOS_CAMBIO!A:A,TIPOS_CAMBIO!B:B,"",0)</f>
        <v>0</v>
      </c>
      <c r="G316" s="3">
        <f t="shared" si="8"/>
        <v>0</v>
      </c>
      <c r="H316" s="3"/>
      <c r="I316" s="3">
        <f ca="1">IFERROR(_xludf.XLOOKUP("Seguro",PARAMETROS_IMPORTACION!$A:$A,PARAMETROS_IMPORTACION!$C:$C,0),0)</f>
        <v>0</v>
      </c>
      <c r="J316" s="3">
        <f ca="1">IFERROR(_xludf.XLOOKUP("Arancel",PARAMETROS_IMPORTACION!$A:$A,PARAMETROS_IMPORTACION!$C:$C,0),0)</f>
        <v>0</v>
      </c>
      <c r="K316" s="2">
        <f ca="1">IFERROR(_xludf.XLOOKUP("Gastos_Aduana",PARAMETROS_IMPORTACION!$A:$A,PARAMETROS_IMPORTACION!$C:$C,0),0)</f>
        <v>0</v>
      </c>
      <c r="L316" s="2">
        <f t="shared" si="9"/>
        <v>0</v>
      </c>
    </row>
    <row r="317" spans="5:12" x14ac:dyDescent="0.35">
      <c r="E317" s="2"/>
      <c r="F317" s="2">
        <f>_xlfn.XLOOKUP(D317,TIPOS_CAMBIO!A:A,TIPOS_CAMBIO!B:B,"",0)</f>
        <v>0</v>
      </c>
      <c r="G317" s="3">
        <f t="shared" si="8"/>
        <v>0</v>
      </c>
      <c r="H317" s="3"/>
      <c r="I317" s="3">
        <f ca="1">IFERROR(_xludf.XLOOKUP("Seguro",PARAMETROS_IMPORTACION!$A:$A,PARAMETROS_IMPORTACION!$C:$C,0),0)</f>
        <v>0</v>
      </c>
      <c r="J317" s="3">
        <f ca="1">IFERROR(_xludf.XLOOKUP("Arancel",PARAMETROS_IMPORTACION!$A:$A,PARAMETROS_IMPORTACION!$C:$C,0),0)</f>
        <v>0</v>
      </c>
      <c r="K317" s="2">
        <f ca="1">IFERROR(_xludf.XLOOKUP("Gastos_Aduana",PARAMETROS_IMPORTACION!$A:$A,PARAMETROS_IMPORTACION!$C:$C,0),0)</f>
        <v>0</v>
      </c>
      <c r="L317" s="2">
        <f t="shared" si="9"/>
        <v>0</v>
      </c>
    </row>
    <row r="318" spans="5:12" x14ac:dyDescent="0.35">
      <c r="E318" s="2"/>
      <c r="F318" s="2">
        <f>_xlfn.XLOOKUP(D318,TIPOS_CAMBIO!A:A,TIPOS_CAMBIO!B:B,"",0)</f>
        <v>0</v>
      </c>
      <c r="G318" s="3">
        <f t="shared" si="8"/>
        <v>0</v>
      </c>
      <c r="H318" s="3"/>
      <c r="I318" s="3">
        <f ca="1">IFERROR(_xludf.XLOOKUP("Seguro",PARAMETROS_IMPORTACION!$A:$A,PARAMETROS_IMPORTACION!$C:$C,0),0)</f>
        <v>0</v>
      </c>
      <c r="J318" s="3">
        <f ca="1">IFERROR(_xludf.XLOOKUP("Arancel",PARAMETROS_IMPORTACION!$A:$A,PARAMETROS_IMPORTACION!$C:$C,0),0)</f>
        <v>0</v>
      </c>
      <c r="K318" s="2">
        <f ca="1">IFERROR(_xludf.XLOOKUP("Gastos_Aduana",PARAMETROS_IMPORTACION!$A:$A,PARAMETROS_IMPORTACION!$C:$C,0),0)</f>
        <v>0</v>
      </c>
      <c r="L318" s="2">
        <f t="shared" si="9"/>
        <v>0</v>
      </c>
    </row>
    <row r="319" spans="5:12" x14ac:dyDescent="0.35">
      <c r="E319" s="2"/>
      <c r="F319" s="2">
        <f>_xlfn.XLOOKUP(D319,TIPOS_CAMBIO!A:A,TIPOS_CAMBIO!B:B,"",0)</f>
        <v>0</v>
      </c>
      <c r="G319" s="3">
        <f t="shared" si="8"/>
        <v>0</v>
      </c>
      <c r="H319" s="3"/>
      <c r="I319" s="3">
        <f ca="1">IFERROR(_xludf.XLOOKUP("Seguro",PARAMETROS_IMPORTACION!$A:$A,PARAMETROS_IMPORTACION!$C:$C,0),0)</f>
        <v>0</v>
      </c>
      <c r="J319" s="3">
        <f ca="1">IFERROR(_xludf.XLOOKUP("Arancel",PARAMETROS_IMPORTACION!$A:$A,PARAMETROS_IMPORTACION!$C:$C,0),0)</f>
        <v>0</v>
      </c>
      <c r="K319" s="2">
        <f ca="1">IFERROR(_xludf.XLOOKUP("Gastos_Aduana",PARAMETROS_IMPORTACION!$A:$A,PARAMETROS_IMPORTACION!$C:$C,0),0)</f>
        <v>0</v>
      </c>
      <c r="L319" s="2">
        <f t="shared" si="9"/>
        <v>0</v>
      </c>
    </row>
    <row r="320" spans="5:12" x14ac:dyDescent="0.35">
      <c r="E320" s="2"/>
      <c r="F320" s="2">
        <f>_xlfn.XLOOKUP(D320,TIPOS_CAMBIO!A:A,TIPOS_CAMBIO!B:B,"",0)</f>
        <v>0</v>
      </c>
      <c r="G320" s="3">
        <f t="shared" si="8"/>
        <v>0</v>
      </c>
      <c r="H320" s="3"/>
      <c r="I320" s="3">
        <f ca="1">IFERROR(_xludf.XLOOKUP("Seguro",PARAMETROS_IMPORTACION!$A:$A,PARAMETROS_IMPORTACION!$C:$C,0),0)</f>
        <v>0</v>
      </c>
      <c r="J320" s="3">
        <f ca="1">IFERROR(_xludf.XLOOKUP("Arancel",PARAMETROS_IMPORTACION!$A:$A,PARAMETROS_IMPORTACION!$C:$C,0),0)</f>
        <v>0</v>
      </c>
      <c r="K320" s="2">
        <f ca="1">IFERROR(_xludf.XLOOKUP("Gastos_Aduana",PARAMETROS_IMPORTACION!$A:$A,PARAMETROS_IMPORTACION!$C:$C,0),0)</f>
        <v>0</v>
      </c>
      <c r="L320" s="2">
        <f t="shared" si="9"/>
        <v>0</v>
      </c>
    </row>
    <row r="321" spans="5:12" x14ac:dyDescent="0.35">
      <c r="E321" s="2"/>
      <c r="F321" s="2">
        <f>_xlfn.XLOOKUP(D321,TIPOS_CAMBIO!A:A,TIPOS_CAMBIO!B:B,"",0)</f>
        <v>0</v>
      </c>
      <c r="G321" s="3">
        <f t="shared" si="8"/>
        <v>0</v>
      </c>
      <c r="H321" s="3"/>
      <c r="I321" s="3">
        <f ca="1">IFERROR(_xludf.XLOOKUP("Seguro",PARAMETROS_IMPORTACION!$A:$A,PARAMETROS_IMPORTACION!$C:$C,0),0)</f>
        <v>0</v>
      </c>
      <c r="J321" s="3">
        <f ca="1">IFERROR(_xludf.XLOOKUP("Arancel",PARAMETROS_IMPORTACION!$A:$A,PARAMETROS_IMPORTACION!$C:$C,0),0)</f>
        <v>0</v>
      </c>
      <c r="K321" s="2">
        <f ca="1">IFERROR(_xludf.XLOOKUP("Gastos_Aduana",PARAMETROS_IMPORTACION!$A:$A,PARAMETROS_IMPORTACION!$C:$C,0),0)</f>
        <v>0</v>
      </c>
      <c r="L321" s="2">
        <f t="shared" si="9"/>
        <v>0</v>
      </c>
    </row>
    <row r="322" spans="5:12" x14ac:dyDescent="0.35">
      <c r="E322" s="2"/>
      <c r="F322" s="2">
        <f>_xlfn.XLOOKUP(D322,TIPOS_CAMBIO!A:A,TIPOS_CAMBIO!B:B,"",0)</f>
        <v>0</v>
      </c>
      <c r="G322" s="3">
        <f t="shared" ref="G322:G385" si="10">$E322*$F322</f>
        <v>0</v>
      </c>
      <c r="H322" s="3"/>
      <c r="I322" s="3">
        <f ca="1">IFERROR(_xludf.XLOOKUP("Seguro",PARAMETROS_IMPORTACION!$A:$A,PARAMETROS_IMPORTACION!$C:$C,0),0)</f>
        <v>0</v>
      </c>
      <c r="J322" s="3">
        <f ca="1">IFERROR(_xludf.XLOOKUP("Arancel",PARAMETROS_IMPORTACION!$A:$A,PARAMETROS_IMPORTACION!$C:$C,0),0)</f>
        <v>0</v>
      </c>
      <c r="K322" s="2">
        <f ca="1">IFERROR(_xludf.XLOOKUP("Gastos_Aduana",PARAMETROS_IMPORTACION!$A:$A,PARAMETROS_IMPORTACION!$C:$C,0),0)</f>
        <v>0</v>
      </c>
      <c r="L322" s="2">
        <f t="shared" si="9"/>
        <v>0</v>
      </c>
    </row>
    <row r="323" spans="5:12" x14ac:dyDescent="0.35">
      <c r="E323" s="2"/>
      <c r="F323" s="2">
        <f>_xlfn.XLOOKUP(D323,TIPOS_CAMBIO!A:A,TIPOS_CAMBIO!B:B,"",0)</f>
        <v>0</v>
      </c>
      <c r="G323" s="3">
        <f t="shared" si="10"/>
        <v>0</v>
      </c>
      <c r="H323" s="3"/>
      <c r="I323" s="3">
        <f ca="1">IFERROR(_xludf.XLOOKUP("Seguro",PARAMETROS_IMPORTACION!$A:$A,PARAMETROS_IMPORTACION!$C:$C,0),0)</f>
        <v>0</v>
      </c>
      <c r="J323" s="3">
        <f ca="1">IFERROR(_xludf.XLOOKUP("Arancel",PARAMETROS_IMPORTACION!$A:$A,PARAMETROS_IMPORTACION!$C:$C,0),0)</f>
        <v>0</v>
      </c>
      <c r="K323" s="2">
        <f ca="1">IFERROR(_xludf.XLOOKUP("Gastos_Aduana",PARAMETROS_IMPORTACION!$A:$A,PARAMETROS_IMPORTACION!$C:$C,0),0)</f>
        <v>0</v>
      </c>
      <c r="L323" s="2">
        <f t="shared" ref="L323:L386" si="11">IF($C323="Importado",$G323*(1+$H323+$I323+$J323)+$K323,$G323)</f>
        <v>0</v>
      </c>
    </row>
    <row r="324" spans="5:12" x14ac:dyDescent="0.35">
      <c r="E324" s="2"/>
      <c r="F324" s="2">
        <f>_xlfn.XLOOKUP(D324,TIPOS_CAMBIO!A:A,TIPOS_CAMBIO!B:B,"",0)</f>
        <v>0</v>
      </c>
      <c r="G324" s="3">
        <f t="shared" si="10"/>
        <v>0</v>
      </c>
      <c r="H324" s="3"/>
      <c r="I324" s="3">
        <f ca="1">IFERROR(_xludf.XLOOKUP("Seguro",PARAMETROS_IMPORTACION!$A:$A,PARAMETROS_IMPORTACION!$C:$C,0),0)</f>
        <v>0</v>
      </c>
      <c r="J324" s="3">
        <f ca="1">IFERROR(_xludf.XLOOKUP("Arancel",PARAMETROS_IMPORTACION!$A:$A,PARAMETROS_IMPORTACION!$C:$C,0),0)</f>
        <v>0</v>
      </c>
      <c r="K324" s="2">
        <f ca="1">IFERROR(_xludf.XLOOKUP("Gastos_Aduana",PARAMETROS_IMPORTACION!$A:$A,PARAMETROS_IMPORTACION!$C:$C,0),0)</f>
        <v>0</v>
      </c>
      <c r="L324" s="2">
        <f t="shared" si="11"/>
        <v>0</v>
      </c>
    </row>
    <row r="325" spans="5:12" x14ac:dyDescent="0.35">
      <c r="E325" s="2"/>
      <c r="F325" s="2">
        <f>_xlfn.XLOOKUP(D325,TIPOS_CAMBIO!A:A,TIPOS_CAMBIO!B:B,"",0)</f>
        <v>0</v>
      </c>
      <c r="G325" s="3">
        <f t="shared" si="10"/>
        <v>0</v>
      </c>
      <c r="H325" s="3"/>
      <c r="I325" s="3">
        <f ca="1">IFERROR(_xludf.XLOOKUP("Seguro",PARAMETROS_IMPORTACION!$A:$A,PARAMETROS_IMPORTACION!$C:$C,0),0)</f>
        <v>0</v>
      </c>
      <c r="J325" s="3">
        <f ca="1">IFERROR(_xludf.XLOOKUP("Arancel",PARAMETROS_IMPORTACION!$A:$A,PARAMETROS_IMPORTACION!$C:$C,0),0)</f>
        <v>0</v>
      </c>
      <c r="K325" s="2">
        <f ca="1">IFERROR(_xludf.XLOOKUP("Gastos_Aduana",PARAMETROS_IMPORTACION!$A:$A,PARAMETROS_IMPORTACION!$C:$C,0),0)</f>
        <v>0</v>
      </c>
      <c r="L325" s="2">
        <f t="shared" si="11"/>
        <v>0</v>
      </c>
    </row>
    <row r="326" spans="5:12" x14ac:dyDescent="0.35">
      <c r="E326" s="2"/>
      <c r="F326" s="2">
        <f>_xlfn.XLOOKUP(D326,TIPOS_CAMBIO!A:A,TIPOS_CAMBIO!B:B,"",0)</f>
        <v>0</v>
      </c>
      <c r="G326" s="3">
        <f t="shared" si="10"/>
        <v>0</v>
      </c>
      <c r="H326" s="3"/>
      <c r="I326" s="3">
        <f ca="1">IFERROR(_xludf.XLOOKUP("Seguro",PARAMETROS_IMPORTACION!$A:$A,PARAMETROS_IMPORTACION!$C:$C,0),0)</f>
        <v>0</v>
      </c>
      <c r="J326" s="3">
        <f ca="1">IFERROR(_xludf.XLOOKUP("Arancel",PARAMETROS_IMPORTACION!$A:$A,PARAMETROS_IMPORTACION!$C:$C,0),0)</f>
        <v>0</v>
      </c>
      <c r="K326" s="2">
        <f ca="1">IFERROR(_xludf.XLOOKUP("Gastos_Aduana",PARAMETROS_IMPORTACION!$A:$A,PARAMETROS_IMPORTACION!$C:$C,0),0)</f>
        <v>0</v>
      </c>
      <c r="L326" s="2">
        <f t="shared" si="11"/>
        <v>0</v>
      </c>
    </row>
    <row r="327" spans="5:12" x14ac:dyDescent="0.35">
      <c r="E327" s="2"/>
      <c r="F327" s="2">
        <f>_xlfn.XLOOKUP(D327,TIPOS_CAMBIO!A:A,TIPOS_CAMBIO!B:B,"",0)</f>
        <v>0</v>
      </c>
      <c r="G327" s="3">
        <f t="shared" si="10"/>
        <v>0</v>
      </c>
      <c r="H327" s="3"/>
      <c r="I327" s="3">
        <f ca="1">IFERROR(_xludf.XLOOKUP("Seguro",PARAMETROS_IMPORTACION!$A:$A,PARAMETROS_IMPORTACION!$C:$C,0),0)</f>
        <v>0</v>
      </c>
      <c r="J327" s="3">
        <f ca="1">IFERROR(_xludf.XLOOKUP("Arancel",PARAMETROS_IMPORTACION!$A:$A,PARAMETROS_IMPORTACION!$C:$C,0),0)</f>
        <v>0</v>
      </c>
      <c r="K327" s="2">
        <f ca="1">IFERROR(_xludf.XLOOKUP("Gastos_Aduana",PARAMETROS_IMPORTACION!$A:$A,PARAMETROS_IMPORTACION!$C:$C,0),0)</f>
        <v>0</v>
      </c>
      <c r="L327" s="2">
        <f t="shared" si="11"/>
        <v>0</v>
      </c>
    </row>
    <row r="328" spans="5:12" x14ac:dyDescent="0.35">
      <c r="E328" s="2"/>
      <c r="F328" s="2">
        <f>_xlfn.XLOOKUP(D328,TIPOS_CAMBIO!A:A,TIPOS_CAMBIO!B:B,"",0)</f>
        <v>0</v>
      </c>
      <c r="G328" s="3">
        <f t="shared" si="10"/>
        <v>0</v>
      </c>
      <c r="H328" s="3"/>
      <c r="I328" s="3">
        <f ca="1">IFERROR(_xludf.XLOOKUP("Seguro",PARAMETROS_IMPORTACION!$A:$A,PARAMETROS_IMPORTACION!$C:$C,0),0)</f>
        <v>0</v>
      </c>
      <c r="J328" s="3">
        <f ca="1">IFERROR(_xludf.XLOOKUP("Arancel",PARAMETROS_IMPORTACION!$A:$A,PARAMETROS_IMPORTACION!$C:$C,0),0)</f>
        <v>0</v>
      </c>
      <c r="K328" s="2">
        <f ca="1">IFERROR(_xludf.XLOOKUP("Gastos_Aduana",PARAMETROS_IMPORTACION!$A:$A,PARAMETROS_IMPORTACION!$C:$C,0),0)</f>
        <v>0</v>
      </c>
      <c r="L328" s="2">
        <f t="shared" si="11"/>
        <v>0</v>
      </c>
    </row>
    <row r="329" spans="5:12" x14ac:dyDescent="0.35">
      <c r="E329" s="2"/>
      <c r="F329" s="2">
        <f>_xlfn.XLOOKUP(D329,TIPOS_CAMBIO!A:A,TIPOS_CAMBIO!B:B,"",0)</f>
        <v>0</v>
      </c>
      <c r="G329" s="3">
        <f t="shared" si="10"/>
        <v>0</v>
      </c>
      <c r="H329" s="3"/>
      <c r="I329" s="3">
        <f ca="1">IFERROR(_xludf.XLOOKUP("Seguro",PARAMETROS_IMPORTACION!$A:$A,PARAMETROS_IMPORTACION!$C:$C,0),0)</f>
        <v>0</v>
      </c>
      <c r="J329" s="3">
        <f ca="1">IFERROR(_xludf.XLOOKUP("Arancel",PARAMETROS_IMPORTACION!$A:$A,PARAMETROS_IMPORTACION!$C:$C,0),0)</f>
        <v>0</v>
      </c>
      <c r="K329" s="2">
        <f ca="1">IFERROR(_xludf.XLOOKUP("Gastos_Aduana",PARAMETROS_IMPORTACION!$A:$A,PARAMETROS_IMPORTACION!$C:$C,0),0)</f>
        <v>0</v>
      </c>
      <c r="L329" s="2">
        <f t="shared" si="11"/>
        <v>0</v>
      </c>
    </row>
    <row r="330" spans="5:12" x14ac:dyDescent="0.35">
      <c r="E330" s="2"/>
      <c r="F330" s="2">
        <f>_xlfn.XLOOKUP(D330,TIPOS_CAMBIO!A:A,TIPOS_CAMBIO!B:B,"",0)</f>
        <v>0</v>
      </c>
      <c r="G330" s="3">
        <f t="shared" si="10"/>
        <v>0</v>
      </c>
      <c r="H330" s="3"/>
      <c r="I330" s="3">
        <f ca="1">IFERROR(_xludf.XLOOKUP("Seguro",PARAMETROS_IMPORTACION!$A:$A,PARAMETROS_IMPORTACION!$C:$C,0),0)</f>
        <v>0</v>
      </c>
      <c r="J330" s="3">
        <f ca="1">IFERROR(_xludf.XLOOKUP("Arancel",PARAMETROS_IMPORTACION!$A:$A,PARAMETROS_IMPORTACION!$C:$C,0),0)</f>
        <v>0</v>
      </c>
      <c r="K330" s="2">
        <f ca="1">IFERROR(_xludf.XLOOKUP("Gastos_Aduana",PARAMETROS_IMPORTACION!$A:$A,PARAMETROS_IMPORTACION!$C:$C,0),0)</f>
        <v>0</v>
      </c>
      <c r="L330" s="2">
        <f t="shared" si="11"/>
        <v>0</v>
      </c>
    </row>
    <row r="331" spans="5:12" x14ac:dyDescent="0.35">
      <c r="E331" s="2"/>
      <c r="F331" s="2">
        <f>_xlfn.XLOOKUP(D331,TIPOS_CAMBIO!A:A,TIPOS_CAMBIO!B:B,"",0)</f>
        <v>0</v>
      </c>
      <c r="G331" s="3">
        <f t="shared" si="10"/>
        <v>0</v>
      </c>
      <c r="H331" s="3"/>
      <c r="I331" s="3">
        <f ca="1">IFERROR(_xludf.XLOOKUP("Seguro",PARAMETROS_IMPORTACION!$A:$A,PARAMETROS_IMPORTACION!$C:$C,0),0)</f>
        <v>0</v>
      </c>
      <c r="J331" s="3">
        <f ca="1">IFERROR(_xludf.XLOOKUP("Arancel",PARAMETROS_IMPORTACION!$A:$A,PARAMETROS_IMPORTACION!$C:$C,0),0)</f>
        <v>0</v>
      </c>
      <c r="K331" s="2">
        <f ca="1">IFERROR(_xludf.XLOOKUP("Gastos_Aduana",PARAMETROS_IMPORTACION!$A:$A,PARAMETROS_IMPORTACION!$C:$C,0),0)</f>
        <v>0</v>
      </c>
      <c r="L331" s="2">
        <f t="shared" si="11"/>
        <v>0</v>
      </c>
    </row>
    <row r="332" spans="5:12" x14ac:dyDescent="0.35">
      <c r="E332" s="2"/>
      <c r="F332" s="2">
        <f>_xlfn.XLOOKUP(D332,TIPOS_CAMBIO!A:A,TIPOS_CAMBIO!B:B,"",0)</f>
        <v>0</v>
      </c>
      <c r="G332" s="3">
        <f t="shared" si="10"/>
        <v>0</v>
      </c>
      <c r="H332" s="3"/>
      <c r="I332" s="3">
        <f ca="1">IFERROR(_xludf.XLOOKUP("Seguro",PARAMETROS_IMPORTACION!$A:$A,PARAMETROS_IMPORTACION!$C:$C,0),0)</f>
        <v>0</v>
      </c>
      <c r="J332" s="3">
        <f ca="1">IFERROR(_xludf.XLOOKUP("Arancel",PARAMETROS_IMPORTACION!$A:$A,PARAMETROS_IMPORTACION!$C:$C,0),0)</f>
        <v>0</v>
      </c>
      <c r="K332" s="2">
        <f ca="1">IFERROR(_xludf.XLOOKUP("Gastos_Aduana",PARAMETROS_IMPORTACION!$A:$A,PARAMETROS_IMPORTACION!$C:$C,0),0)</f>
        <v>0</v>
      </c>
      <c r="L332" s="2">
        <f t="shared" si="11"/>
        <v>0</v>
      </c>
    </row>
    <row r="333" spans="5:12" x14ac:dyDescent="0.35">
      <c r="E333" s="2"/>
      <c r="F333" s="2">
        <f>_xlfn.XLOOKUP(D333,TIPOS_CAMBIO!A:A,TIPOS_CAMBIO!B:B,"",0)</f>
        <v>0</v>
      </c>
      <c r="G333" s="3">
        <f t="shared" si="10"/>
        <v>0</v>
      </c>
      <c r="H333" s="3"/>
      <c r="I333" s="3">
        <f ca="1">IFERROR(_xludf.XLOOKUP("Seguro",PARAMETROS_IMPORTACION!$A:$A,PARAMETROS_IMPORTACION!$C:$C,0),0)</f>
        <v>0</v>
      </c>
      <c r="J333" s="3">
        <f ca="1">IFERROR(_xludf.XLOOKUP("Arancel",PARAMETROS_IMPORTACION!$A:$A,PARAMETROS_IMPORTACION!$C:$C,0),0)</f>
        <v>0</v>
      </c>
      <c r="K333" s="2">
        <f ca="1">IFERROR(_xludf.XLOOKUP("Gastos_Aduana",PARAMETROS_IMPORTACION!$A:$A,PARAMETROS_IMPORTACION!$C:$C,0),0)</f>
        <v>0</v>
      </c>
      <c r="L333" s="2">
        <f t="shared" si="11"/>
        <v>0</v>
      </c>
    </row>
    <row r="334" spans="5:12" x14ac:dyDescent="0.35">
      <c r="E334" s="2"/>
      <c r="F334" s="2">
        <f>_xlfn.XLOOKUP(D334,TIPOS_CAMBIO!A:A,TIPOS_CAMBIO!B:B,"",0)</f>
        <v>0</v>
      </c>
      <c r="G334" s="3">
        <f t="shared" si="10"/>
        <v>0</v>
      </c>
      <c r="H334" s="3"/>
      <c r="I334" s="3">
        <f ca="1">IFERROR(_xludf.XLOOKUP("Seguro",PARAMETROS_IMPORTACION!$A:$A,PARAMETROS_IMPORTACION!$C:$C,0),0)</f>
        <v>0</v>
      </c>
      <c r="J334" s="3">
        <f ca="1">IFERROR(_xludf.XLOOKUP("Arancel",PARAMETROS_IMPORTACION!$A:$A,PARAMETROS_IMPORTACION!$C:$C,0),0)</f>
        <v>0</v>
      </c>
      <c r="K334" s="2">
        <f ca="1">IFERROR(_xludf.XLOOKUP("Gastos_Aduana",PARAMETROS_IMPORTACION!$A:$A,PARAMETROS_IMPORTACION!$C:$C,0),0)</f>
        <v>0</v>
      </c>
      <c r="L334" s="2">
        <f t="shared" si="11"/>
        <v>0</v>
      </c>
    </row>
    <row r="335" spans="5:12" x14ac:dyDescent="0.35">
      <c r="E335" s="2"/>
      <c r="F335" s="2">
        <f>_xlfn.XLOOKUP(D335,TIPOS_CAMBIO!A:A,TIPOS_CAMBIO!B:B,"",0)</f>
        <v>0</v>
      </c>
      <c r="G335" s="3">
        <f t="shared" si="10"/>
        <v>0</v>
      </c>
      <c r="H335" s="3"/>
      <c r="I335" s="3">
        <f ca="1">IFERROR(_xludf.XLOOKUP("Seguro",PARAMETROS_IMPORTACION!$A:$A,PARAMETROS_IMPORTACION!$C:$C,0),0)</f>
        <v>0</v>
      </c>
      <c r="J335" s="3">
        <f ca="1">IFERROR(_xludf.XLOOKUP("Arancel",PARAMETROS_IMPORTACION!$A:$A,PARAMETROS_IMPORTACION!$C:$C,0),0)</f>
        <v>0</v>
      </c>
      <c r="K335" s="2">
        <f ca="1">IFERROR(_xludf.XLOOKUP("Gastos_Aduana",PARAMETROS_IMPORTACION!$A:$A,PARAMETROS_IMPORTACION!$C:$C,0),0)</f>
        <v>0</v>
      </c>
      <c r="L335" s="2">
        <f t="shared" si="11"/>
        <v>0</v>
      </c>
    </row>
    <row r="336" spans="5:12" x14ac:dyDescent="0.35">
      <c r="E336" s="2"/>
      <c r="F336" s="2">
        <f>_xlfn.XLOOKUP(D336,TIPOS_CAMBIO!A:A,TIPOS_CAMBIO!B:B,"",0)</f>
        <v>0</v>
      </c>
      <c r="G336" s="3">
        <f t="shared" si="10"/>
        <v>0</v>
      </c>
      <c r="H336" s="3"/>
      <c r="I336" s="3">
        <f ca="1">IFERROR(_xludf.XLOOKUP("Seguro",PARAMETROS_IMPORTACION!$A:$A,PARAMETROS_IMPORTACION!$C:$C,0),0)</f>
        <v>0</v>
      </c>
      <c r="J336" s="3">
        <f ca="1">IFERROR(_xludf.XLOOKUP("Arancel",PARAMETROS_IMPORTACION!$A:$A,PARAMETROS_IMPORTACION!$C:$C,0),0)</f>
        <v>0</v>
      </c>
      <c r="K336" s="2">
        <f ca="1">IFERROR(_xludf.XLOOKUP("Gastos_Aduana",PARAMETROS_IMPORTACION!$A:$A,PARAMETROS_IMPORTACION!$C:$C,0),0)</f>
        <v>0</v>
      </c>
      <c r="L336" s="2">
        <f t="shared" si="11"/>
        <v>0</v>
      </c>
    </row>
    <row r="337" spans="5:12" x14ac:dyDescent="0.35">
      <c r="E337" s="2"/>
      <c r="F337" s="2">
        <f>_xlfn.XLOOKUP(D337,TIPOS_CAMBIO!A:A,TIPOS_CAMBIO!B:B,"",0)</f>
        <v>0</v>
      </c>
      <c r="G337" s="3">
        <f t="shared" si="10"/>
        <v>0</v>
      </c>
      <c r="H337" s="3"/>
      <c r="I337" s="3">
        <f ca="1">IFERROR(_xludf.XLOOKUP("Seguro",PARAMETROS_IMPORTACION!$A:$A,PARAMETROS_IMPORTACION!$C:$C,0),0)</f>
        <v>0</v>
      </c>
      <c r="J337" s="3">
        <f ca="1">IFERROR(_xludf.XLOOKUP("Arancel",PARAMETROS_IMPORTACION!$A:$A,PARAMETROS_IMPORTACION!$C:$C,0),0)</f>
        <v>0</v>
      </c>
      <c r="K337" s="2">
        <f ca="1">IFERROR(_xludf.XLOOKUP("Gastos_Aduana",PARAMETROS_IMPORTACION!$A:$A,PARAMETROS_IMPORTACION!$C:$C,0),0)</f>
        <v>0</v>
      </c>
      <c r="L337" s="2">
        <f t="shared" si="11"/>
        <v>0</v>
      </c>
    </row>
    <row r="338" spans="5:12" x14ac:dyDescent="0.35">
      <c r="E338" s="2"/>
      <c r="F338" s="2">
        <f>_xlfn.XLOOKUP(D338,TIPOS_CAMBIO!A:A,TIPOS_CAMBIO!B:B,"",0)</f>
        <v>0</v>
      </c>
      <c r="G338" s="3">
        <f t="shared" si="10"/>
        <v>0</v>
      </c>
      <c r="H338" s="3"/>
      <c r="I338" s="3">
        <f ca="1">IFERROR(_xludf.XLOOKUP("Seguro",PARAMETROS_IMPORTACION!$A:$A,PARAMETROS_IMPORTACION!$C:$C,0),0)</f>
        <v>0</v>
      </c>
      <c r="J338" s="3">
        <f ca="1">IFERROR(_xludf.XLOOKUP("Arancel",PARAMETROS_IMPORTACION!$A:$A,PARAMETROS_IMPORTACION!$C:$C,0),0)</f>
        <v>0</v>
      </c>
      <c r="K338" s="2">
        <f ca="1">IFERROR(_xludf.XLOOKUP("Gastos_Aduana",PARAMETROS_IMPORTACION!$A:$A,PARAMETROS_IMPORTACION!$C:$C,0),0)</f>
        <v>0</v>
      </c>
      <c r="L338" s="2">
        <f t="shared" si="11"/>
        <v>0</v>
      </c>
    </row>
    <row r="339" spans="5:12" x14ac:dyDescent="0.35">
      <c r="E339" s="2"/>
      <c r="F339" s="2">
        <f>_xlfn.XLOOKUP(D339,TIPOS_CAMBIO!A:A,TIPOS_CAMBIO!B:B,"",0)</f>
        <v>0</v>
      </c>
      <c r="G339" s="3">
        <f t="shared" si="10"/>
        <v>0</v>
      </c>
      <c r="H339" s="3"/>
      <c r="I339" s="3">
        <f ca="1">IFERROR(_xludf.XLOOKUP("Seguro",PARAMETROS_IMPORTACION!$A:$A,PARAMETROS_IMPORTACION!$C:$C,0),0)</f>
        <v>0</v>
      </c>
      <c r="J339" s="3">
        <f ca="1">IFERROR(_xludf.XLOOKUP("Arancel",PARAMETROS_IMPORTACION!$A:$A,PARAMETROS_IMPORTACION!$C:$C,0),0)</f>
        <v>0</v>
      </c>
      <c r="K339" s="2">
        <f ca="1">IFERROR(_xludf.XLOOKUP("Gastos_Aduana",PARAMETROS_IMPORTACION!$A:$A,PARAMETROS_IMPORTACION!$C:$C,0),0)</f>
        <v>0</v>
      </c>
      <c r="L339" s="2">
        <f t="shared" si="11"/>
        <v>0</v>
      </c>
    </row>
    <row r="340" spans="5:12" x14ac:dyDescent="0.35">
      <c r="E340" s="2"/>
      <c r="F340" s="2">
        <f>_xlfn.XLOOKUP(D340,TIPOS_CAMBIO!A:A,TIPOS_CAMBIO!B:B,"",0)</f>
        <v>0</v>
      </c>
      <c r="G340" s="3">
        <f t="shared" si="10"/>
        <v>0</v>
      </c>
      <c r="H340" s="3"/>
      <c r="I340" s="3">
        <f ca="1">IFERROR(_xludf.XLOOKUP("Seguro",PARAMETROS_IMPORTACION!$A:$A,PARAMETROS_IMPORTACION!$C:$C,0),0)</f>
        <v>0</v>
      </c>
      <c r="J340" s="3">
        <f ca="1">IFERROR(_xludf.XLOOKUP("Arancel",PARAMETROS_IMPORTACION!$A:$A,PARAMETROS_IMPORTACION!$C:$C,0),0)</f>
        <v>0</v>
      </c>
      <c r="K340" s="2">
        <f ca="1">IFERROR(_xludf.XLOOKUP("Gastos_Aduana",PARAMETROS_IMPORTACION!$A:$A,PARAMETROS_IMPORTACION!$C:$C,0),0)</f>
        <v>0</v>
      </c>
      <c r="L340" s="2">
        <f t="shared" si="11"/>
        <v>0</v>
      </c>
    </row>
    <row r="341" spans="5:12" x14ac:dyDescent="0.35">
      <c r="E341" s="2"/>
      <c r="F341" s="2">
        <f>_xlfn.XLOOKUP(D341,TIPOS_CAMBIO!A:A,TIPOS_CAMBIO!B:B,"",0)</f>
        <v>0</v>
      </c>
      <c r="G341" s="3">
        <f t="shared" si="10"/>
        <v>0</v>
      </c>
      <c r="H341" s="3"/>
      <c r="I341" s="3">
        <f ca="1">IFERROR(_xludf.XLOOKUP("Seguro",PARAMETROS_IMPORTACION!$A:$A,PARAMETROS_IMPORTACION!$C:$C,0),0)</f>
        <v>0</v>
      </c>
      <c r="J341" s="3">
        <f ca="1">IFERROR(_xludf.XLOOKUP("Arancel",PARAMETROS_IMPORTACION!$A:$A,PARAMETROS_IMPORTACION!$C:$C,0),0)</f>
        <v>0</v>
      </c>
      <c r="K341" s="2">
        <f ca="1">IFERROR(_xludf.XLOOKUP("Gastos_Aduana",PARAMETROS_IMPORTACION!$A:$A,PARAMETROS_IMPORTACION!$C:$C,0),0)</f>
        <v>0</v>
      </c>
      <c r="L341" s="2">
        <f t="shared" si="11"/>
        <v>0</v>
      </c>
    </row>
    <row r="342" spans="5:12" x14ac:dyDescent="0.35">
      <c r="E342" s="2"/>
      <c r="F342" s="2">
        <f>_xlfn.XLOOKUP(D342,TIPOS_CAMBIO!A:A,TIPOS_CAMBIO!B:B,"",0)</f>
        <v>0</v>
      </c>
      <c r="G342" s="3">
        <f t="shared" si="10"/>
        <v>0</v>
      </c>
      <c r="H342" s="3"/>
      <c r="I342" s="3">
        <f ca="1">IFERROR(_xludf.XLOOKUP("Seguro",PARAMETROS_IMPORTACION!$A:$A,PARAMETROS_IMPORTACION!$C:$C,0),0)</f>
        <v>0</v>
      </c>
      <c r="J342" s="3">
        <f ca="1">IFERROR(_xludf.XLOOKUP("Arancel",PARAMETROS_IMPORTACION!$A:$A,PARAMETROS_IMPORTACION!$C:$C,0),0)</f>
        <v>0</v>
      </c>
      <c r="K342" s="2">
        <f ca="1">IFERROR(_xludf.XLOOKUP("Gastos_Aduana",PARAMETROS_IMPORTACION!$A:$A,PARAMETROS_IMPORTACION!$C:$C,0),0)</f>
        <v>0</v>
      </c>
      <c r="L342" s="2">
        <f t="shared" si="11"/>
        <v>0</v>
      </c>
    </row>
    <row r="343" spans="5:12" x14ac:dyDescent="0.35">
      <c r="E343" s="2"/>
      <c r="F343" s="2">
        <f>_xlfn.XLOOKUP(D343,TIPOS_CAMBIO!A:A,TIPOS_CAMBIO!B:B,"",0)</f>
        <v>0</v>
      </c>
      <c r="G343" s="3">
        <f t="shared" si="10"/>
        <v>0</v>
      </c>
      <c r="H343" s="3"/>
      <c r="I343" s="3">
        <f ca="1">IFERROR(_xludf.XLOOKUP("Seguro",PARAMETROS_IMPORTACION!$A:$A,PARAMETROS_IMPORTACION!$C:$C,0),0)</f>
        <v>0</v>
      </c>
      <c r="J343" s="3">
        <f ca="1">IFERROR(_xludf.XLOOKUP("Arancel",PARAMETROS_IMPORTACION!$A:$A,PARAMETROS_IMPORTACION!$C:$C,0),0)</f>
        <v>0</v>
      </c>
      <c r="K343" s="2">
        <f ca="1">IFERROR(_xludf.XLOOKUP("Gastos_Aduana",PARAMETROS_IMPORTACION!$A:$A,PARAMETROS_IMPORTACION!$C:$C,0),0)</f>
        <v>0</v>
      </c>
      <c r="L343" s="2">
        <f t="shared" si="11"/>
        <v>0</v>
      </c>
    </row>
    <row r="344" spans="5:12" x14ac:dyDescent="0.35">
      <c r="E344" s="2"/>
      <c r="F344" s="2">
        <f>_xlfn.XLOOKUP(D344,TIPOS_CAMBIO!A:A,TIPOS_CAMBIO!B:B,"",0)</f>
        <v>0</v>
      </c>
      <c r="G344" s="3">
        <f t="shared" si="10"/>
        <v>0</v>
      </c>
      <c r="H344" s="3"/>
      <c r="I344" s="3">
        <f ca="1">IFERROR(_xludf.XLOOKUP("Seguro",PARAMETROS_IMPORTACION!$A:$A,PARAMETROS_IMPORTACION!$C:$C,0),0)</f>
        <v>0</v>
      </c>
      <c r="J344" s="3">
        <f ca="1">IFERROR(_xludf.XLOOKUP("Arancel",PARAMETROS_IMPORTACION!$A:$A,PARAMETROS_IMPORTACION!$C:$C,0),0)</f>
        <v>0</v>
      </c>
      <c r="K344" s="2">
        <f ca="1">IFERROR(_xludf.XLOOKUP("Gastos_Aduana",PARAMETROS_IMPORTACION!$A:$A,PARAMETROS_IMPORTACION!$C:$C,0),0)</f>
        <v>0</v>
      </c>
      <c r="L344" s="2">
        <f t="shared" si="11"/>
        <v>0</v>
      </c>
    </row>
    <row r="345" spans="5:12" x14ac:dyDescent="0.35">
      <c r="E345" s="2"/>
      <c r="F345" s="2">
        <f>_xlfn.XLOOKUP(D345,TIPOS_CAMBIO!A:A,TIPOS_CAMBIO!B:B,"",0)</f>
        <v>0</v>
      </c>
      <c r="G345" s="3">
        <f t="shared" si="10"/>
        <v>0</v>
      </c>
      <c r="H345" s="3"/>
      <c r="I345" s="3">
        <f ca="1">IFERROR(_xludf.XLOOKUP("Seguro",PARAMETROS_IMPORTACION!$A:$A,PARAMETROS_IMPORTACION!$C:$C,0),0)</f>
        <v>0</v>
      </c>
      <c r="J345" s="3">
        <f ca="1">IFERROR(_xludf.XLOOKUP("Arancel",PARAMETROS_IMPORTACION!$A:$A,PARAMETROS_IMPORTACION!$C:$C,0),0)</f>
        <v>0</v>
      </c>
      <c r="K345" s="2">
        <f ca="1">IFERROR(_xludf.XLOOKUP("Gastos_Aduana",PARAMETROS_IMPORTACION!$A:$A,PARAMETROS_IMPORTACION!$C:$C,0),0)</f>
        <v>0</v>
      </c>
      <c r="L345" s="2">
        <f t="shared" si="11"/>
        <v>0</v>
      </c>
    </row>
    <row r="346" spans="5:12" x14ac:dyDescent="0.35">
      <c r="E346" s="2"/>
      <c r="F346" s="2">
        <f>_xlfn.XLOOKUP(D346,TIPOS_CAMBIO!A:A,TIPOS_CAMBIO!B:B,"",0)</f>
        <v>0</v>
      </c>
      <c r="G346" s="3">
        <f t="shared" si="10"/>
        <v>0</v>
      </c>
      <c r="H346" s="3"/>
      <c r="I346" s="3">
        <f ca="1">IFERROR(_xludf.XLOOKUP("Seguro",PARAMETROS_IMPORTACION!$A:$A,PARAMETROS_IMPORTACION!$C:$C,0),0)</f>
        <v>0</v>
      </c>
      <c r="J346" s="3">
        <f ca="1">IFERROR(_xludf.XLOOKUP("Arancel",PARAMETROS_IMPORTACION!$A:$A,PARAMETROS_IMPORTACION!$C:$C,0),0)</f>
        <v>0</v>
      </c>
      <c r="K346" s="2">
        <f ca="1">IFERROR(_xludf.XLOOKUP("Gastos_Aduana",PARAMETROS_IMPORTACION!$A:$A,PARAMETROS_IMPORTACION!$C:$C,0),0)</f>
        <v>0</v>
      </c>
      <c r="L346" s="2">
        <f t="shared" si="11"/>
        <v>0</v>
      </c>
    </row>
    <row r="347" spans="5:12" x14ac:dyDescent="0.35">
      <c r="E347" s="2"/>
      <c r="F347" s="2">
        <f>_xlfn.XLOOKUP(D347,TIPOS_CAMBIO!A:A,TIPOS_CAMBIO!B:B,"",0)</f>
        <v>0</v>
      </c>
      <c r="G347" s="3">
        <f t="shared" si="10"/>
        <v>0</v>
      </c>
      <c r="H347" s="3"/>
      <c r="I347" s="3">
        <f ca="1">IFERROR(_xludf.XLOOKUP("Seguro",PARAMETROS_IMPORTACION!$A:$A,PARAMETROS_IMPORTACION!$C:$C,0),0)</f>
        <v>0</v>
      </c>
      <c r="J347" s="3">
        <f ca="1">IFERROR(_xludf.XLOOKUP("Arancel",PARAMETROS_IMPORTACION!$A:$A,PARAMETROS_IMPORTACION!$C:$C,0),0)</f>
        <v>0</v>
      </c>
      <c r="K347" s="2">
        <f ca="1">IFERROR(_xludf.XLOOKUP("Gastos_Aduana",PARAMETROS_IMPORTACION!$A:$A,PARAMETROS_IMPORTACION!$C:$C,0),0)</f>
        <v>0</v>
      </c>
      <c r="L347" s="2">
        <f t="shared" si="11"/>
        <v>0</v>
      </c>
    </row>
    <row r="348" spans="5:12" x14ac:dyDescent="0.35">
      <c r="E348" s="2"/>
      <c r="F348" s="2">
        <f>_xlfn.XLOOKUP(D348,TIPOS_CAMBIO!A:A,TIPOS_CAMBIO!B:B,"",0)</f>
        <v>0</v>
      </c>
      <c r="G348" s="3">
        <f t="shared" si="10"/>
        <v>0</v>
      </c>
      <c r="H348" s="3"/>
      <c r="I348" s="3">
        <f ca="1">IFERROR(_xludf.XLOOKUP("Seguro",PARAMETROS_IMPORTACION!$A:$A,PARAMETROS_IMPORTACION!$C:$C,0),0)</f>
        <v>0</v>
      </c>
      <c r="J348" s="3">
        <f ca="1">IFERROR(_xludf.XLOOKUP("Arancel",PARAMETROS_IMPORTACION!$A:$A,PARAMETROS_IMPORTACION!$C:$C,0),0)</f>
        <v>0</v>
      </c>
      <c r="K348" s="2">
        <f ca="1">IFERROR(_xludf.XLOOKUP("Gastos_Aduana",PARAMETROS_IMPORTACION!$A:$A,PARAMETROS_IMPORTACION!$C:$C,0),0)</f>
        <v>0</v>
      </c>
      <c r="L348" s="2">
        <f t="shared" si="11"/>
        <v>0</v>
      </c>
    </row>
    <row r="349" spans="5:12" x14ac:dyDescent="0.35">
      <c r="E349" s="2"/>
      <c r="F349" s="2">
        <f>_xlfn.XLOOKUP(D349,TIPOS_CAMBIO!A:A,TIPOS_CAMBIO!B:B,"",0)</f>
        <v>0</v>
      </c>
      <c r="G349" s="3">
        <f t="shared" si="10"/>
        <v>0</v>
      </c>
      <c r="H349" s="3"/>
      <c r="I349" s="3">
        <f ca="1">IFERROR(_xludf.XLOOKUP("Seguro",PARAMETROS_IMPORTACION!$A:$A,PARAMETROS_IMPORTACION!$C:$C,0),0)</f>
        <v>0</v>
      </c>
      <c r="J349" s="3">
        <f ca="1">IFERROR(_xludf.XLOOKUP("Arancel",PARAMETROS_IMPORTACION!$A:$A,PARAMETROS_IMPORTACION!$C:$C,0),0)</f>
        <v>0</v>
      </c>
      <c r="K349" s="2">
        <f ca="1">IFERROR(_xludf.XLOOKUP("Gastos_Aduana",PARAMETROS_IMPORTACION!$A:$A,PARAMETROS_IMPORTACION!$C:$C,0),0)</f>
        <v>0</v>
      </c>
      <c r="L349" s="2">
        <f t="shared" si="11"/>
        <v>0</v>
      </c>
    </row>
    <row r="350" spans="5:12" x14ac:dyDescent="0.35">
      <c r="E350" s="2"/>
      <c r="F350" s="2">
        <f>_xlfn.XLOOKUP(D350,TIPOS_CAMBIO!A:A,TIPOS_CAMBIO!B:B,"",0)</f>
        <v>0</v>
      </c>
      <c r="G350" s="3">
        <f t="shared" si="10"/>
        <v>0</v>
      </c>
      <c r="H350" s="3"/>
      <c r="I350" s="3">
        <f ca="1">IFERROR(_xludf.XLOOKUP("Seguro",PARAMETROS_IMPORTACION!$A:$A,PARAMETROS_IMPORTACION!$C:$C,0),0)</f>
        <v>0</v>
      </c>
      <c r="J350" s="3">
        <f ca="1">IFERROR(_xludf.XLOOKUP("Arancel",PARAMETROS_IMPORTACION!$A:$A,PARAMETROS_IMPORTACION!$C:$C,0),0)</f>
        <v>0</v>
      </c>
      <c r="K350" s="2">
        <f ca="1">IFERROR(_xludf.XLOOKUP("Gastos_Aduana",PARAMETROS_IMPORTACION!$A:$A,PARAMETROS_IMPORTACION!$C:$C,0),0)</f>
        <v>0</v>
      </c>
      <c r="L350" s="2">
        <f t="shared" si="11"/>
        <v>0</v>
      </c>
    </row>
    <row r="351" spans="5:12" x14ac:dyDescent="0.35">
      <c r="E351" s="2"/>
      <c r="F351" s="2">
        <f>_xlfn.XLOOKUP(D351,TIPOS_CAMBIO!A:A,TIPOS_CAMBIO!B:B,"",0)</f>
        <v>0</v>
      </c>
      <c r="G351" s="3">
        <f t="shared" si="10"/>
        <v>0</v>
      </c>
      <c r="H351" s="3"/>
      <c r="I351" s="3">
        <f ca="1">IFERROR(_xludf.XLOOKUP("Seguro",PARAMETROS_IMPORTACION!$A:$A,PARAMETROS_IMPORTACION!$C:$C,0),0)</f>
        <v>0</v>
      </c>
      <c r="J351" s="3">
        <f ca="1">IFERROR(_xludf.XLOOKUP("Arancel",PARAMETROS_IMPORTACION!$A:$A,PARAMETROS_IMPORTACION!$C:$C,0),0)</f>
        <v>0</v>
      </c>
      <c r="K351" s="2">
        <f ca="1">IFERROR(_xludf.XLOOKUP("Gastos_Aduana",PARAMETROS_IMPORTACION!$A:$A,PARAMETROS_IMPORTACION!$C:$C,0),0)</f>
        <v>0</v>
      </c>
      <c r="L351" s="2">
        <f t="shared" si="11"/>
        <v>0</v>
      </c>
    </row>
    <row r="352" spans="5:12" x14ac:dyDescent="0.35">
      <c r="E352" s="2"/>
      <c r="F352" s="2">
        <f>_xlfn.XLOOKUP(D352,TIPOS_CAMBIO!A:A,TIPOS_CAMBIO!B:B,"",0)</f>
        <v>0</v>
      </c>
      <c r="G352" s="3">
        <f t="shared" si="10"/>
        <v>0</v>
      </c>
      <c r="H352" s="3"/>
      <c r="I352" s="3">
        <f ca="1">IFERROR(_xludf.XLOOKUP("Seguro",PARAMETROS_IMPORTACION!$A:$A,PARAMETROS_IMPORTACION!$C:$C,0),0)</f>
        <v>0</v>
      </c>
      <c r="J352" s="3">
        <f ca="1">IFERROR(_xludf.XLOOKUP("Arancel",PARAMETROS_IMPORTACION!$A:$A,PARAMETROS_IMPORTACION!$C:$C,0),0)</f>
        <v>0</v>
      </c>
      <c r="K352" s="2">
        <f ca="1">IFERROR(_xludf.XLOOKUP("Gastos_Aduana",PARAMETROS_IMPORTACION!$A:$A,PARAMETROS_IMPORTACION!$C:$C,0),0)</f>
        <v>0</v>
      </c>
      <c r="L352" s="2">
        <f t="shared" si="11"/>
        <v>0</v>
      </c>
    </row>
    <row r="353" spans="5:12" x14ac:dyDescent="0.35">
      <c r="E353" s="2"/>
      <c r="F353" s="2">
        <f>_xlfn.XLOOKUP(D353,TIPOS_CAMBIO!A:A,TIPOS_CAMBIO!B:B,"",0)</f>
        <v>0</v>
      </c>
      <c r="G353" s="3">
        <f t="shared" si="10"/>
        <v>0</v>
      </c>
      <c r="H353" s="3"/>
      <c r="I353" s="3">
        <f ca="1">IFERROR(_xludf.XLOOKUP("Seguro",PARAMETROS_IMPORTACION!$A:$A,PARAMETROS_IMPORTACION!$C:$C,0),0)</f>
        <v>0</v>
      </c>
      <c r="J353" s="3">
        <f ca="1">IFERROR(_xludf.XLOOKUP("Arancel",PARAMETROS_IMPORTACION!$A:$A,PARAMETROS_IMPORTACION!$C:$C,0),0)</f>
        <v>0</v>
      </c>
      <c r="K353" s="2">
        <f ca="1">IFERROR(_xludf.XLOOKUP("Gastos_Aduana",PARAMETROS_IMPORTACION!$A:$A,PARAMETROS_IMPORTACION!$C:$C,0),0)</f>
        <v>0</v>
      </c>
      <c r="L353" s="2">
        <f t="shared" si="11"/>
        <v>0</v>
      </c>
    </row>
    <row r="354" spans="5:12" x14ac:dyDescent="0.35">
      <c r="E354" s="2"/>
      <c r="F354" s="2">
        <f>_xlfn.XLOOKUP(D354,TIPOS_CAMBIO!A:A,TIPOS_CAMBIO!B:B,"",0)</f>
        <v>0</v>
      </c>
      <c r="G354" s="3">
        <f t="shared" si="10"/>
        <v>0</v>
      </c>
      <c r="H354" s="3"/>
      <c r="I354" s="3">
        <f ca="1">IFERROR(_xludf.XLOOKUP("Seguro",PARAMETROS_IMPORTACION!$A:$A,PARAMETROS_IMPORTACION!$C:$C,0),0)</f>
        <v>0</v>
      </c>
      <c r="J354" s="3">
        <f ca="1">IFERROR(_xludf.XLOOKUP("Arancel",PARAMETROS_IMPORTACION!$A:$A,PARAMETROS_IMPORTACION!$C:$C,0),0)</f>
        <v>0</v>
      </c>
      <c r="K354" s="2">
        <f ca="1">IFERROR(_xludf.XLOOKUP("Gastos_Aduana",PARAMETROS_IMPORTACION!$A:$A,PARAMETROS_IMPORTACION!$C:$C,0),0)</f>
        <v>0</v>
      </c>
      <c r="L354" s="2">
        <f t="shared" si="11"/>
        <v>0</v>
      </c>
    </row>
    <row r="355" spans="5:12" x14ac:dyDescent="0.35">
      <c r="E355" s="2"/>
      <c r="F355" s="2">
        <f>_xlfn.XLOOKUP(D355,TIPOS_CAMBIO!A:A,TIPOS_CAMBIO!B:B,"",0)</f>
        <v>0</v>
      </c>
      <c r="G355" s="3">
        <f t="shared" si="10"/>
        <v>0</v>
      </c>
      <c r="H355" s="3"/>
      <c r="I355" s="3">
        <f ca="1">IFERROR(_xludf.XLOOKUP("Seguro",PARAMETROS_IMPORTACION!$A:$A,PARAMETROS_IMPORTACION!$C:$C,0),0)</f>
        <v>0</v>
      </c>
      <c r="J355" s="3">
        <f ca="1">IFERROR(_xludf.XLOOKUP("Arancel",PARAMETROS_IMPORTACION!$A:$A,PARAMETROS_IMPORTACION!$C:$C,0),0)</f>
        <v>0</v>
      </c>
      <c r="K355" s="2">
        <f ca="1">IFERROR(_xludf.XLOOKUP("Gastos_Aduana",PARAMETROS_IMPORTACION!$A:$A,PARAMETROS_IMPORTACION!$C:$C,0),0)</f>
        <v>0</v>
      </c>
      <c r="L355" s="2">
        <f t="shared" si="11"/>
        <v>0</v>
      </c>
    </row>
    <row r="356" spans="5:12" x14ac:dyDescent="0.35">
      <c r="E356" s="2"/>
      <c r="F356" s="2">
        <f>_xlfn.XLOOKUP(D356,TIPOS_CAMBIO!A:A,TIPOS_CAMBIO!B:B,"",0)</f>
        <v>0</v>
      </c>
      <c r="G356" s="3">
        <f t="shared" si="10"/>
        <v>0</v>
      </c>
      <c r="H356" s="3"/>
      <c r="I356" s="3">
        <f ca="1">IFERROR(_xludf.XLOOKUP("Seguro",PARAMETROS_IMPORTACION!$A:$A,PARAMETROS_IMPORTACION!$C:$C,0),0)</f>
        <v>0</v>
      </c>
      <c r="J356" s="3">
        <f ca="1">IFERROR(_xludf.XLOOKUP("Arancel",PARAMETROS_IMPORTACION!$A:$A,PARAMETROS_IMPORTACION!$C:$C,0),0)</f>
        <v>0</v>
      </c>
      <c r="K356" s="2">
        <f ca="1">IFERROR(_xludf.XLOOKUP("Gastos_Aduana",PARAMETROS_IMPORTACION!$A:$A,PARAMETROS_IMPORTACION!$C:$C,0),0)</f>
        <v>0</v>
      </c>
      <c r="L356" s="2">
        <f t="shared" si="11"/>
        <v>0</v>
      </c>
    </row>
    <row r="357" spans="5:12" x14ac:dyDescent="0.35">
      <c r="E357" s="2"/>
      <c r="F357" s="2">
        <f>_xlfn.XLOOKUP(D357,TIPOS_CAMBIO!A:A,TIPOS_CAMBIO!B:B,"",0)</f>
        <v>0</v>
      </c>
      <c r="G357" s="3">
        <f t="shared" si="10"/>
        <v>0</v>
      </c>
      <c r="H357" s="3"/>
      <c r="I357" s="3">
        <f ca="1">IFERROR(_xludf.XLOOKUP("Seguro",PARAMETROS_IMPORTACION!$A:$A,PARAMETROS_IMPORTACION!$C:$C,0),0)</f>
        <v>0</v>
      </c>
      <c r="J357" s="3">
        <f ca="1">IFERROR(_xludf.XLOOKUP("Arancel",PARAMETROS_IMPORTACION!$A:$A,PARAMETROS_IMPORTACION!$C:$C,0),0)</f>
        <v>0</v>
      </c>
      <c r="K357" s="2">
        <f ca="1">IFERROR(_xludf.XLOOKUP("Gastos_Aduana",PARAMETROS_IMPORTACION!$A:$A,PARAMETROS_IMPORTACION!$C:$C,0),0)</f>
        <v>0</v>
      </c>
      <c r="L357" s="2">
        <f t="shared" si="11"/>
        <v>0</v>
      </c>
    </row>
    <row r="358" spans="5:12" x14ac:dyDescent="0.35">
      <c r="E358" s="2"/>
      <c r="F358" s="2">
        <f>_xlfn.XLOOKUP(D358,TIPOS_CAMBIO!A:A,TIPOS_CAMBIO!B:B,"",0)</f>
        <v>0</v>
      </c>
      <c r="G358" s="3">
        <f t="shared" si="10"/>
        <v>0</v>
      </c>
      <c r="H358" s="3"/>
      <c r="I358" s="3">
        <f ca="1">IFERROR(_xludf.XLOOKUP("Seguro",PARAMETROS_IMPORTACION!$A:$A,PARAMETROS_IMPORTACION!$C:$C,0),0)</f>
        <v>0</v>
      </c>
      <c r="J358" s="3">
        <f ca="1">IFERROR(_xludf.XLOOKUP("Arancel",PARAMETROS_IMPORTACION!$A:$A,PARAMETROS_IMPORTACION!$C:$C,0),0)</f>
        <v>0</v>
      </c>
      <c r="K358" s="2">
        <f ca="1">IFERROR(_xludf.XLOOKUP("Gastos_Aduana",PARAMETROS_IMPORTACION!$A:$A,PARAMETROS_IMPORTACION!$C:$C,0),0)</f>
        <v>0</v>
      </c>
      <c r="L358" s="2">
        <f t="shared" si="11"/>
        <v>0</v>
      </c>
    </row>
    <row r="359" spans="5:12" x14ac:dyDescent="0.35">
      <c r="E359" s="2"/>
      <c r="F359" s="2">
        <f>_xlfn.XLOOKUP(D359,TIPOS_CAMBIO!A:A,TIPOS_CAMBIO!B:B,"",0)</f>
        <v>0</v>
      </c>
      <c r="G359" s="3">
        <f t="shared" si="10"/>
        <v>0</v>
      </c>
      <c r="H359" s="3"/>
      <c r="I359" s="3">
        <f ca="1">IFERROR(_xludf.XLOOKUP("Seguro",PARAMETROS_IMPORTACION!$A:$A,PARAMETROS_IMPORTACION!$C:$C,0),0)</f>
        <v>0</v>
      </c>
      <c r="J359" s="3">
        <f ca="1">IFERROR(_xludf.XLOOKUP("Arancel",PARAMETROS_IMPORTACION!$A:$A,PARAMETROS_IMPORTACION!$C:$C,0),0)</f>
        <v>0</v>
      </c>
      <c r="K359" s="2">
        <f ca="1">IFERROR(_xludf.XLOOKUP("Gastos_Aduana",PARAMETROS_IMPORTACION!$A:$A,PARAMETROS_IMPORTACION!$C:$C,0),0)</f>
        <v>0</v>
      </c>
      <c r="L359" s="2">
        <f t="shared" si="11"/>
        <v>0</v>
      </c>
    </row>
    <row r="360" spans="5:12" x14ac:dyDescent="0.35">
      <c r="E360" s="2"/>
      <c r="F360" s="2">
        <f>_xlfn.XLOOKUP(D360,TIPOS_CAMBIO!A:A,TIPOS_CAMBIO!B:B,"",0)</f>
        <v>0</v>
      </c>
      <c r="G360" s="3">
        <f t="shared" si="10"/>
        <v>0</v>
      </c>
      <c r="H360" s="3"/>
      <c r="I360" s="3">
        <f ca="1">IFERROR(_xludf.XLOOKUP("Seguro",PARAMETROS_IMPORTACION!$A:$A,PARAMETROS_IMPORTACION!$C:$C,0),0)</f>
        <v>0</v>
      </c>
      <c r="J360" s="3">
        <f ca="1">IFERROR(_xludf.XLOOKUP("Arancel",PARAMETROS_IMPORTACION!$A:$A,PARAMETROS_IMPORTACION!$C:$C,0),0)</f>
        <v>0</v>
      </c>
      <c r="K360" s="2">
        <f ca="1">IFERROR(_xludf.XLOOKUP("Gastos_Aduana",PARAMETROS_IMPORTACION!$A:$A,PARAMETROS_IMPORTACION!$C:$C,0),0)</f>
        <v>0</v>
      </c>
      <c r="L360" s="2">
        <f t="shared" si="11"/>
        <v>0</v>
      </c>
    </row>
    <row r="361" spans="5:12" x14ac:dyDescent="0.35">
      <c r="E361" s="2"/>
      <c r="F361" s="2">
        <f>_xlfn.XLOOKUP(D361,TIPOS_CAMBIO!A:A,TIPOS_CAMBIO!B:B,"",0)</f>
        <v>0</v>
      </c>
      <c r="G361" s="3">
        <f t="shared" si="10"/>
        <v>0</v>
      </c>
      <c r="H361" s="3"/>
      <c r="I361" s="3">
        <f ca="1">IFERROR(_xludf.XLOOKUP("Seguro",PARAMETROS_IMPORTACION!$A:$A,PARAMETROS_IMPORTACION!$C:$C,0),0)</f>
        <v>0</v>
      </c>
      <c r="J361" s="3">
        <f ca="1">IFERROR(_xludf.XLOOKUP("Arancel",PARAMETROS_IMPORTACION!$A:$A,PARAMETROS_IMPORTACION!$C:$C,0),0)</f>
        <v>0</v>
      </c>
      <c r="K361" s="2">
        <f ca="1">IFERROR(_xludf.XLOOKUP("Gastos_Aduana",PARAMETROS_IMPORTACION!$A:$A,PARAMETROS_IMPORTACION!$C:$C,0),0)</f>
        <v>0</v>
      </c>
      <c r="L361" s="2">
        <f t="shared" si="11"/>
        <v>0</v>
      </c>
    </row>
    <row r="362" spans="5:12" x14ac:dyDescent="0.35">
      <c r="E362" s="2"/>
      <c r="F362" s="2">
        <f>_xlfn.XLOOKUP(D362,TIPOS_CAMBIO!A:A,TIPOS_CAMBIO!B:B,"",0)</f>
        <v>0</v>
      </c>
      <c r="G362" s="3">
        <f t="shared" si="10"/>
        <v>0</v>
      </c>
      <c r="H362" s="3"/>
      <c r="I362" s="3">
        <f ca="1">IFERROR(_xludf.XLOOKUP("Seguro",PARAMETROS_IMPORTACION!$A:$A,PARAMETROS_IMPORTACION!$C:$C,0),0)</f>
        <v>0</v>
      </c>
      <c r="J362" s="3">
        <f ca="1">IFERROR(_xludf.XLOOKUP("Arancel",PARAMETROS_IMPORTACION!$A:$A,PARAMETROS_IMPORTACION!$C:$C,0),0)</f>
        <v>0</v>
      </c>
      <c r="K362" s="2">
        <f ca="1">IFERROR(_xludf.XLOOKUP("Gastos_Aduana",PARAMETROS_IMPORTACION!$A:$A,PARAMETROS_IMPORTACION!$C:$C,0),0)</f>
        <v>0</v>
      </c>
      <c r="L362" s="2">
        <f t="shared" si="11"/>
        <v>0</v>
      </c>
    </row>
    <row r="363" spans="5:12" x14ac:dyDescent="0.35">
      <c r="E363" s="2"/>
      <c r="F363" s="2">
        <f>_xlfn.XLOOKUP(D363,TIPOS_CAMBIO!A:A,TIPOS_CAMBIO!B:B,"",0)</f>
        <v>0</v>
      </c>
      <c r="G363" s="3">
        <f t="shared" si="10"/>
        <v>0</v>
      </c>
      <c r="H363" s="3"/>
      <c r="I363" s="3">
        <f ca="1">IFERROR(_xludf.XLOOKUP("Seguro",PARAMETROS_IMPORTACION!$A:$A,PARAMETROS_IMPORTACION!$C:$C,0),0)</f>
        <v>0</v>
      </c>
      <c r="J363" s="3">
        <f ca="1">IFERROR(_xludf.XLOOKUP("Arancel",PARAMETROS_IMPORTACION!$A:$A,PARAMETROS_IMPORTACION!$C:$C,0),0)</f>
        <v>0</v>
      </c>
      <c r="K363" s="2">
        <f ca="1">IFERROR(_xludf.XLOOKUP("Gastos_Aduana",PARAMETROS_IMPORTACION!$A:$A,PARAMETROS_IMPORTACION!$C:$C,0),0)</f>
        <v>0</v>
      </c>
      <c r="L363" s="2">
        <f t="shared" si="11"/>
        <v>0</v>
      </c>
    </row>
    <row r="364" spans="5:12" x14ac:dyDescent="0.35">
      <c r="E364" s="2"/>
      <c r="F364" s="2">
        <f>_xlfn.XLOOKUP(D364,TIPOS_CAMBIO!A:A,TIPOS_CAMBIO!B:B,"",0)</f>
        <v>0</v>
      </c>
      <c r="G364" s="3">
        <f t="shared" si="10"/>
        <v>0</v>
      </c>
      <c r="H364" s="3"/>
      <c r="I364" s="3">
        <f ca="1">IFERROR(_xludf.XLOOKUP("Seguro",PARAMETROS_IMPORTACION!$A:$A,PARAMETROS_IMPORTACION!$C:$C,0),0)</f>
        <v>0</v>
      </c>
      <c r="J364" s="3">
        <f ca="1">IFERROR(_xludf.XLOOKUP("Arancel",PARAMETROS_IMPORTACION!$A:$A,PARAMETROS_IMPORTACION!$C:$C,0),0)</f>
        <v>0</v>
      </c>
      <c r="K364" s="2">
        <f ca="1">IFERROR(_xludf.XLOOKUP("Gastos_Aduana",PARAMETROS_IMPORTACION!$A:$A,PARAMETROS_IMPORTACION!$C:$C,0),0)</f>
        <v>0</v>
      </c>
      <c r="L364" s="2">
        <f t="shared" si="11"/>
        <v>0</v>
      </c>
    </row>
    <row r="365" spans="5:12" x14ac:dyDescent="0.35">
      <c r="E365" s="2"/>
      <c r="F365" s="2">
        <f>_xlfn.XLOOKUP(D365,TIPOS_CAMBIO!A:A,TIPOS_CAMBIO!B:B,"",0)</f>
        <v>0</v>
      </c>
      <c r="G365" s="3">
        <f t="shared" si="10"/>
        <v>0</v>
      </c>
      <c r="H365" s="3"/>
      <c r="I365" s="3">
        <f ca="1">IFERROR(_xludf.XLOOKUP("Seguro",PARAMETROS_IMPORTACION!$A:$A,PARAMETROS_IMPORTACION!$C:$C,0),0)</f>
        <v>0</v>
      </c>
      <c r="J365" s="3">
        <f ca="1">IFERROR(_xludf.XLOOKUP("Arancel",PARAMETROS_IMPORTACION!$A:$A,PARAMETROS_IMPORTACION!$C:$C,0),0)</f>
        <v>0</v>
      </c>
      <c r="K365" s="2">
        <f ca="1">IFERROR(_xludf.XLOOKUP("Gastos_Aduana",PARAMETROS_IMPORTACION!$A:$A,PARAMETROS_IMPORTACION!$C:$C,0),0)</f>
        <v>0</v>
      </c>
      <c r="L365" s="2">
        <f t="shared" si="11"/>
        <v>0</v>
      </c>
    </row>
    <row r="366" spans="5:12" x14ac:dyDescent="0.35">
      <c r="E366" s="2"/>
      <c r="F366" s="2">
        <f>_xlfn.XLOOKUP(D366,TIPOS_CAMBIO!A:A,TIPOS_CAMBIO!B:B,"",0)</f>
        <v>0</v>
      </c>
      <c r="G366" s="3">
        <f t="shared" si="10"/>
        <v>0</v>
      </c>
      <c r="H366" s="3"/>
      <c r="I366" s="3">
        <f ca="1">IFERROR(_xludf.XLOOKUP("Seguro",PARAMETROS_IMPORTACION!$A:$A,PARAMETROS_IMPORTACION!$C:$C,0),0)</f>
        <v>0</v>
      </c>
      <c r="J366" s="3">
        <f ca="1">IFERROR(_xludf.XLOOKUP("Arancel",PARAMETROS_IMPORTACION!$A:$A,PARAMETROS_IMPORTACION!$C:$C,0),0)</f>
        <v>0</v>
      </c>
      <c r="K366" s="2">
        <f ca="1">IFERROR(_xludf.XLOOKUP("Gastos_Aduana",PARAMETROS_IMPORTACION!$A:$A,PARAMETROS_IMPORTACION!$C:$C,0),0)</f>
        <v>0</v>
      </c>
      <c r="L366" s="2">
        <f t="shared" si="11"/>
        <v>0</v>
      </c>
    </row>
    <row r="367" spans="5:12" x14ac:dyDescent="0.35">
      <c r="E367" s="2"/>
      <c r="F367" s="2">
        <f>_xlfn.XLOOKUP(D367,TIPOS_CAMBIO!A:A,TIPOS_CAMBIO!B:B,"",0)</f>
        <v>0</v>
      </c>
      <c r="G367" s="3">
        <f t="shared" si="10"/>
        <v>0</v>
      </c>
      <c r="H367" s="3"/>
      <c r="I367" s="3">
        <f ca="1">IFERROR(_xludf.XLOOKUP("Seguro",PARAMETROS_IMPORTACION!$A:$A,PARAMETROS_IMPORTACION!$C:$C,0),0)</f>
        <v>0</v>
      </c>
      <c r="J367" s="3">
        <f ca="1">IFERROR(_xludf.XLOOKUP("Arancel",PARAMETROS_IMPORTACION!$A:$A,PARAMETROS_IMPORTACION!$C:$C,0),0)</f>
        <v>0</v>
      </c>
      <c r="K367" s="2">
        <f ca="1">IFERROR(_xludf.XLOOKUP("Gastos_Aduana",PARAMETROS_IMPORTACION!$A:$A,PARAMETROS_IMPORTACION!$C:$C,0),0)</f>
        <v>0</v>
      </c>
      <c r="L367" s="2">
        <f t="shared" si="11"/>
        <v>0</v>
      </c>
    </row>
    <row r="368" spans="5:12" x14ac:dyDescent="0.35">
      <c r="E368" s="2"/>
      <c r="F368" s="2">
        <f>_xlfn.XLOOKUP(D368,TIPOS_CAMBIO!A:A,TIPOS_CAMBIO!B:B,"",0)</f>
        <v>0</v>
      </c>
      <c r="G368" s="3">
        <f t="shared" si="10"/>
        <v>0</v>
      </c>
      <c r="H368" s="3"/>
      <c r="I368" s="3">
        <f ca="1">IFERROR(_xludf.XLOOKUP("Seguro",PARAMETROS_IMPORTACION!$A:$A,PARAMETROS_IMPORTACION!$C:$C,0),0)</f>
        <v>0</v>
      </c>
      <c r="J368" s="3">
        <f ca="1">IFERROR(_xludf.XLOOKUP("Arancel",PARAMETROS_IMPORTACION!$A:$A,PARAMETROS_IMPORTACION!$C:$C,0),0)</f>
        <v>0</v>
      </c>
      <c r="K368" s="2">
        <f ca="1">IFERROR(_xludf.XLOOKUP("Gastos_Aduana",PARAMETROS_IMPORTACION!$A:$A,PARAMETROS_IMPORTACION!$C:$C,0),0)</f>
        <v>0</v>
      </c>
      <c r="L368" s="2">
        <f t="shared" si="11"/>
        <v>0</v>
      </c>
    </row>
    <row r="369" spans="5:12" x14ac:dyDescent="0.35">
      <c r="E369" s="2"/>
      <c r="F369" s="2">
        <f>_xlfn.XLOOKUP(D369,TIPOS_CAMBIO!A:A,TIPOS_CAMBIO!B:B,"",0)</f>
        <v>0</v>
      </c>
      <c r="G369" s="3">
        <f t="shared" si="10"/>
        <v>0</v>
      </c>
      <c r="H369" s="3"/>
      <c r="I369" s="3">
        <f ca="1">IFERROR(_xludf.XLOOKUP("Seguro",PARAMETROS_IMPORTACION!$A:$A,PARAMETROS_IMPORTACION!$C:$C,0),0)</f>
        <v>0</v>
      </c>
      <c r="J369" s="3">
        <f ca="1">IFERROR(_xludf.XLOOKUP("Arancel",PARAMETROS_IMPORTACION!$A:$A,PARAMETROS_IMPORTACION!$C:$C,0),0)</f>
        <v>0</v>
      </c>
      <c r="K369" s="2">
        <f ca="1">IFERROR(_xludf.XLOOKUP("Gastos_Aduana",PARAMETROS_IMPORTACION!$A:$A,PARAMETROS_IMPORTACION!$C:$C,0),0)</f>
        <v>0</v>
      </c>
      <c r="L369" s="2">
        <f t="shared" si="11"/>
        <v>0</v>
      </c>
    </row>
    <row r="370" spans="5:12" x14ac:dyDescent="0.35">
      <c r="E370" s="2"/>
      <c r="F370" s="2">
        <f>_xlfn.XLOOKUP(D370,TIPOS_CAMBIO!A:A,TIPOS_CAMBIO!B:B,"",0)</f>
        <v>0</v>
      </c>
      <c r="G370" s="3">
        <f t="shared" si="10"/>
        <v>0</v>
      </c>
      <c r="H370" s="3"/>
      <c r="I370" s="3">
        <f ca="1">IFERROR(_xludf.XLOOKUP("Seguro",PARAMETROS_IMPORTACION!$A:$A,PARAMETROS_IMPORTACION!$C:$C,0),0)</f>
        <v>0</v>
      </c>
      <c r="J370" s="3">
        <f ca="1">IFERROR(_xludf.XLOOKUP("Arancel",PARAMETROS_IMPORTACION!$A:$A,PARAMETROS_IMPORTACION!$C:$C,0),0)</f>
        <v>0</v>
      </c>
      <c r="K370" s="2">
        <f ca="1">IFERROR(_xludf.XLOOKUP("Gastos_Aduana",PARAMETROS_IMPORTACION!$A:$A,PARAMETROS_IMPORTACION!$C:$C,0),0)</f>
        <v>0</v>
      </c>
      <c r="L370" s="2">
        <f t="shared" si="11"/>
        <v>0</v>
      </c>
    </row>
    <row r="371" spans="5:12" x14ac:dyDescent="0.35">
      <c r="E371" s="2"/>
      <c r="F371" s="2">
        <f>_xlfn.XLOOKUP(D371,TIPOS_CAMBIO!A:A,TIPOS_CAMBIO!B:B,"",0)</f>
        <v>0</v>
      </c>
      <c r="G371" s="3">
        <f t="shared" si="10"/>
        <v>0</v>
      </c>
      <c r="H371" s="3"/>
      <c r="I371" s="3">
        <f ca="1">IFERROR(_xludf.XLOOKUP("Seguro",PARAMETROS_IMPORTACION!$A:$A,PARAMETROS_IMPORTACION!$C:$C,0),0)</f>
        <v>0</v>
      </c>
      <c r="J371" s="3">
        <f ca="1">IFERROR(_xludf.XLOOKUP("Arancel",PARAMETROS_IMPORTACION!$A:$A,PARAMETROS_IMPORTACION!$C:$C,0),0)</f>
        <v>0</v>
      </c>
      <c r="K371" s="2">
        <f ca="1">IFERROR(_xludf.XLOOKUP("Gastos_Aduana",PARAMETROS_IMPORTACION!$A:$A,PARAMETROS_IMPORTACION!$C:$C,0),0)</f>
        <v>0</v>
      </c>
      <c r="L371" s="2">
        <f t="shared" si="11"/>
        <v>0</v>
      </c>
    </row>
    <row r="372" spans="5:12" x14ac:dyDescent="0.35">
      <c r="E372" s="2"/>
      <c r="F372" s="2">
        <f>_xlfn.XLOOKUP(D372,TIPOS_CAMBIO!A:A,TIPOS_CAMBIO!B:B,"",0)</f>
        <v>0</v>
      </c>
      <c r="G372" s="3">
        <f t="shared" si="10"/>
        <v>0</v>
      </c>
      <c r="H372" s="3"/>
      <c r="I372" s="3">
        <f ca="1">IFERROR(_xludf.XLOOKUP("Seguro",PARAMETROS_IMPORTACION!$A:$A,PARAMETROS_IMPORTACION!$C:$C,0),0)</f>
        <v>0</v>
      </c>
      <c r="J372" s="3">
        <f ca="1">IFERROR(_xludf.XLOOKUP("Arancel",PARAMETROS_IMPORTACION!$A:$A,PARAMETROS_IMPORTACION!$C:$C,0),0)</f>
        <v>0</v>
      </c>
      <c r="K372" s="2">
        <f ca="1">IFERROR(_xludf.XLOOKUP("Gastos_Aduana",PARAMETROS_IMPORTACION!$A:$A,PARAMETROS_IMPORTACION!$C:$C,0),0)</f>
        <v>0</v>
      </c>
      <c r="L372" s="2">
        <f t="shared" si="11"/>
        <v>0</v>
      </c>
    </row>
    <row r="373" spans="5:12" x14ac:dyDescent="0.35">
      <c r="E373" s="2"/>
      <c r="F373" s="2">
        <f>_xlfn.XLOOKUP(D373,TIPOS_CAMBIO!A:A,TIPOS_CAMBIO!B:B,"",0)</f>
        <v>0</v>
      </c>
      <c r="G373" s="3">
        <f t="shared" si="10"/>
        <v>0</v>
      </c>
      <c r="H373" s="3"/>
      <c r="I373" s="3">
        <f ca="1">IFERROR(_xludf.XLOOKUP("Seguro",PARAMETROS_IMPORTACION!$A:$A,PARAMETROS_IMPORTACION!$C:$C,0),0)</f>
        <v>0</v>
      </c>
      <c r="J373" s="3">
        <f ca="1">IFERROR(_xludf.XLOOKUP("Arancel",PARAMETROS_IMPORTACION!$A:$A,PARAMETROS_IMPORTACION!$C:$C,0),0)</f>
        <v>0</v>
      </c>
      <c r="K373" s="2">
        <f ca="1">IFERROR(_xludf.XLOOKUP("Gastos_Aduana",PARAMETROS_IMPORTACION!$A:$A,PARAMETROS_IMPORTACION!$C:$C,0),0)</f>
        <v>0</v>
      </c>
      <c r="L373" s="2">
        <f t="shared" si="11"/>
        <v>0</v>
      </c>
    </row>
    <row r="374" spans="5:12" x14ac:dyDescent="0.35">
      <c r="E374" s="2"/>
      <c r="F374" s="2">
        <f>_xlfn.XLOOKUP(D374,TIPOS_CAMBIO!A:A,TIPOS_CAMBIO!B:B,"",0)</f>
        <v>0</v>
      </c>
      <c r="G374" s="3">
        <f t="shared" si="10"/>
        <v>0</v>
      </c>
      <c r="H374" s="3"/>
      <c r="I374" s="3">
        <f ca="1">IFERROR(_xludf.XLOOKUP("Seguro",PARAMETROS_IMPORTACION!$A:$A,PARAMETROS_IMPORTACION!$C:$C,0),0)</f>
        <v>0</v>
      </c>
      <c r="J374" s="3">
        <f ca="1">IFERROR(_xludf.XLOOKUP("Arancel",PARAMETROS_IMPORTACION!$A:$A,PARAMETROS_IMPORTACION!$C:$C,0),0)</f>
        <v>0</v>
      </c>
      <c r="K374" s="2">
        <f ca="1">IFERROR(_xludf.XLOOKUP("Gastos_Aduana",PARAMETROS_IMPORTACION!$A:$A,PARAMETROS_IMPORTACION!$C:$C,0),0)</f>
        <v>0</v>
      </c>
      <c r="L374" s="2">
        <f t="shared" si="11"/>
        <v>0</v>
      </c>
    </row>
    <row r="375" spans="5:12" x14ac:dyDescent="0.35">
      <c r="E375" s="2"/>
      <c r="F375" s="2">
        <f>_xlfn.XLOOKUP(D375,TIPOS_CAMBIO!A:A,TIPOS_CAMBIO!B:B,"",0)</f>
        <v>0</v>
      </c>
      <c r="G375" s="3">
        <f t="shared" si="10"/>
        <v>0</v>
      </c>
      <c r="H375" s="3"/>
      <c r="I375" s="3">
        <f ca="1">IFERROR(_xludf.XLOOKUP("Seguro",PARAMETROS_IMPORTACION!$A:$A,PARAMETROS_IMPORTACION!$C:$C,0),0)</f>
        <v>0</v>
      </c>
      <c r="J375" s="3">
        <f ca="1">IFERROR(_xludf.XLOOKUP("Arancel",PARAMETROS_IMPORTACION!$A:$A,PARAMETROS_IMPORTACION!$C:$C,0),0)</f>
        <v>0</v>
      </c>
      <c r="K375" s="2">
        <f ca="1">IFERROR(_xludf.XLOOKUP("Gastos_Aduana",PARAMETROS_IMPORTACION!$A:$A,PARAMETROS_IMPORTACION!$C:$C,0),0)</f>
        <v>0</v>
      </c>
      <c r="L375" s="2">
        <f t="shared" si="11"/>
        <v>0</v>
      </c>
    </row>
    <row r="376" spans="5:12" x14ac:dyDescent="0.35">
      <c r="E376" s="2"/>
      <c r="F376" s="2">
        <f>_xlfn.XLOOKUP(D376,TIPOS_CAMBIO!A:A,TIPOS_CAMBIO!B:B,"",0)</f>
        <v>0</v>
      </c>
      <c r="G376" s="3">
        <f t="shared" si="10"/>
        <v>0</v>
      </c>
      <c r="H376" s="3"/>
      <c r="I376" s="3">
        <f ca="1">IFERROR(_xludf.XLOOKUP("Seguro",PARAMETROS_IMPORTACION!$A:$A,PARAMETROS_IMPORTACION!$C:$C,0),0)</f>
        <v>0</v>
      </c>
      <c r="J376" s="3">
        <f ca="1">IFERROR(_xludf.XLOOKUP("Arancel",PARAMETROS_IMPORTACION!$A:$A,PARAMETROS_IMPORTACION!$C:$C,0),0)</f>
        <v>0</v>
      </c>
      <c r="K376" s="2">
        <f ca="1">IFERROR(_xludf.XLOOKUP("Gastos_Aduana",PARAMETROS_IMPORTACION!$A:$A,PARAMETROS_IMPORTACION!$C:$C,0),0)</f>
        <v>0</v>
      </c>
      <c r="L376" s="2">
        <f t="shared" si="11"/>
        <v>0</v>
      </c>
    </row>
    <row r="377" spans="5:12" x14ac:dyDescent="0.35">
      <c r="E377" s="2"/>
      <c r="F377" s="2">
        <f>_xlfn.XLOOKUP(D377,TIPOS_CAMBIO!A:A,TIPOS_CAMBIO!B:B,"",0)</f>
        <v>0</v>
      </c>
      <c r="G377" s="3">
        <f t="shared" si="10"/>
        <v>0</v>
      </c>
      <c r="H377" s="3"/>
      <c r="I377" s="3">
        <f ca="1">IFERROR(_xludf.XLOOKUP("Seguro",PARAMETROS_IMPORTACION!$A:$A,PARAMETROS_IMPORTACION!$C:$C,0),0)</f>
        <v>0</v>
      </c>
      <c r="J377" s="3">
        <f ca="1">IFERROR(_xludf.XLOOKUP("Arancel",PARAMETROS_IMPORTACION!$A:$A,PARAMETROS_IMPORTACION!$C:$C,0),0)</f>
        <v>0</v>
      </c>
      <c r="K377" s="2">
        <f ca="1">IFERROR(_xludf.XLOOKUP("Gastos_Aduana",PARAMETROS_IMPORTACION!$A:$A,PARAMETROS_IMPORTACION!$C:$C,0),0)</f>
        <v>0</v>
      </c>
      <c r="L377" s="2">
        <f t="shared" si="11"/>
        <v>0</v>
      </c>
    </row>
    <row r="378" spans="5:12" x14ac:dyDescent="0.35">
      <c r="E378" s="2"/>
      <c r="F378" s="2">
        <f>_xlfn.XLOOKUP(D378,TIPOS_CAMBIO!A:A,TIPOS_CAMBIO!B:B,"",0)</f>
        <v>0</v>
      </c>
      <c r="G378" s="3">
        <f t="shared" si="10"/>
        <v>0</v>
      </c>
      <c r="H378" s="3"/>
      <c r="I378" s="3">
        <f ca="1">IFERROR(_xludf.XLOOKUP("Seguro",PARAMETROS_IMPORTACION!$A:$A,PARAMETROS_IMPORTACION!$C:$C,0),0)</f>
        <v>0</v>
      </c>
      <c r="J378" s="3">
        <f ca="1">IFERROR(_xludf.XLOOKUP("Arancel",PARAMETROS_IMPORTACION!$A:$A,PARAMETROS_IMPORTACION!$C:$C,0),0)</f>
        <v>0</v>
      </c>
      <c r="K378" s="2">
        <f ca="1">IFERROR(_xludf.XLOOKUP("Gastos_Aduana",PARAMETROS_IMPORTACION!$A:$A,PARAMETROS_IMPORTACION!$C:$C,0),0)</f>
        <v>0</v>
      </c>
      <c r="L378" s="2">
        <f t="shared" si="11"/>
        <v>0</v>
      </c>
    </row>
    <row r="379" spans="5:12" x14ac:dyDescent="0.35">
      <c r="E379" s="2"/>
      <c r="F379" s="2">
        <f>_xlfn.XLOOKUP(D379,TIPOS_CAMBIO!A:A,TIPOS_CAMBIO!B:B,"",0)</f>
        <v>0</v>
      </c>
      <c r="G379" s="3">
        <f t="shared" si="10"/>
        <v>0</v>
      </c>
      <c r="H379" s="3"/>
      <c r="I379" s="3">
        <f ca="1">IFERROR(_xludf.XLOOKUP("Seguro",PARAMETROS_IMPORTACION!$A:$A,PARAMETROS_IMPORTACION!$C:$C,0),0)</f>
        <v>0</v>
      </c>
      <c r="J379" s="3">
        <f ca="1">IFERROR(_xludf.XLOOKUP("Arancel",PARAMETROS_IMPORTACION!$A:$A,PARAMETROS_IMPORTACION!$C:$C,0),0)</f>
        <v>0</v>
      </c>
      <c r="K379" s="2">
        <f ca="1">IFERROR(_xludf.XLOOKUP("Gastos_Aduana",PARAMETROS_IMPORTACION!$A:$A,PARAMETROS_IMPORTACION!$C:$C,0),0)</f>
        <v>0</v>
      </c>
      <c r="L379" s="2">
        <f t="shared" si="11"/>
        <v>0</v>
      </c>
    </row>
    <row r="380" spans="5:12" x14ac:dyDescent="0.35">
      <c r="E380" s="2"/>
      <c r="F380" s="2">
        <f>_xlfn.XLOOKUP(D380,TIPOS_CAMBIO!A:A,TIPOS_CAMBIO!B:B,"",0)</f>
        <v>0</v>
      </c>
      <c r="G380" s="3">
        <f t="shared" si="10"/>
        <v>0</v>
      </c>
      <c r="H380" s="3"/>
      <c r="I380" s="3">
        <f ca="1">IFERROR(_xludf.XLOOKUP("Seguro",PARAMETROS_IMPORTACION!$A:$A,PARAMETROS_IMPORTACION!$C:$C,0),0)</f>
        <v>0</v>
      </c>
      <c r="J380" s="3">
        <f ca="1">IFERROR(_xludf.XLOOKUP("Arancel",PARAMETROS_IMPORTACION!$A:$A,PARAMETROS_IMPORTACION!$C:$C,0),0)</f>
        <v>0</v>
      </c>
      <c r="K380" s="2">
        <f ca="1">IFERROR(_xludf.XLOOKUP("Gastos_Aduana",PARAMETROS_IMPORTACION!$A:$A,PARAMETROS_IMPORTACION!$C:$C,0),0)</f>
        <v>0</v>
      </c>
      <c r="L380" s="2">
        <f t="shared" si="11"/>
        <v>0</v>
      </c>
    </row>
    <row r="381" spans="5:12" x14ac:dyDescent="0.35">
      <c r="E381" s="2"/>
      <c r="F381" s="2">
        <f>_xlfn.XLOOKUP(D381,TIPOS_CAMBIO!A:A,TIPOS_CAMBIO!B:B,"",0)</f>
        <v>0</v>
      </c>
      <c r="G381" s="3">
        <f t="shared" si="10"/>
        <v>0</v>
      </c>
      <c r="H381" s="3"/>
      <c r="I381" s="3">
        <f ca="1">IFERROR(_xludf.XLOOKUP("Seguro",PARAMETROS_IMPORTACION!$A:$A,PARAMETROS_IMPORTACION!$C:$C,0),0)</f>
        <v>0</v>
      </c>
      <c r="J381" s="3">
        <f ca="1">IFERROR(_xludf.XLOOKUP("Arancel",PARAMETROS_IMPORTACION!$A:$A,PARAMETROS_IMPORTACION!$C:$C,0),0)</f>
        <v>0</v>
      </c>
      <c r="K381" s="2">
        <f ca="1">IFERROR(_xludf.XLOOKUP("Gastos_Aduana",PARAMETROS_IMPORTACION!$A:$A,PARAMETROS_IMPORTACION!$C:$C,0),0)</f>
        <v>0</v>
      </c>
      <c r="L381" s="2">
        <f t="shared" si="11"/>
        <v>0</v>
      </c>
    </row>
    <row r="382" spans="5:12" x14ac:dyDescent="0.35">
      <c r="E382" s="2"/>
      <c r="F382" s="2">
        <f>_xlfn.XLOOKUP(D382,TIPOS_CAMBIO!A:A,TIPOS_CAMBIO!B:B,"",0)</f>
        <v>0</v>
      </c>
      <c r="G382" s="3">
        <f t="shared" si="10"/>
        <v>0</v>
      </c>
      <c r="H382" s="3"/>
      <c r="I382" s="3">
        <f ca="1">IFERROR(_xludf.XLOOKUP("Seguro",PARAMETROS_IMPORTACION!$A:$A,PARAMETROS_IMPORTACION!$C:$C,0),0)</f>
        <v>0</v>
      </c>
      <c r="J382" s="3">
        <f ca="1">IFERROR(_xludf.XLOOKUP("Arancel",PARAMETROS_IMPORTACION!$A:$A,PARAMETROS_IMPORTACION!$C:$C,0),0)</f>
        <v>0</v>
      </c>
      <c r="K382" s="2">
        <f ca="1">IFERROR(_xludf.XLOOKUP("Gastos_Aduana",PARAMETROS_IMPORTACION!$A:$A,PARAMETROS_IMPORTACION!$C:$C,0),0)</f>
        <v>0</v>
      </c>
      <c r="L382" s="2">
        <f t="shared" si="11"/>
        <v>0</v>
      </c>
    </row>
    <row r="383" spans="5:12" x14ac:dyDescent="0.35">
      <c r="E383" s="2"/>
      <c r="F383" s="2">
        <f>_xlfn.XLOOKUP(D383,TIPOS_CAMBIO!A:A,TIPOS_CAMBIO!B:B,"",0)</f>
        <v>0</v>
      </c>
      <c r="G383" s="3">
        <f t="shared" si="10"/>
        <v>0</v>
      </c>
      <c r="H383" s="3"/>
      <c r="I383" s="3">
        <f ca="1">IFERROR(_xludf.XLOOKUP("Seguro",PARAMETROS_IMPORTACION!$A:$A,PARAMETROS_IMPORTACION!$C:$C,0),0)</f>
        <v>0</v>
      </c>
      <c r="J383" s="3">
        <f ca="1">IFERROR(_xludf.XLOOKUP("Arancel",PARAMETROS_IMPORTACION!$A:$A,PARAMETROS_IMPORTACION!$C:$C,0),0)</f>
        <v>0</v>
      </c>
      <c r="K383" s="2">
        <f ca="1">IFERROR(_xludf.XLOOKUP("Gastos_Aduana",PARAMETROS_IMPORTACION!$A:$A,PARAMETROS_IMPORTACION!$C:$C,0),0)</f>
        <v>0</v>
      </c>
      <c r="L383" s="2">
        <f t="shared" si="11"/>
        <v>0</v>
      </c>
    </row>
    <row r="384" spans="5:12" x14ac:dyDescent="0.35">
      <c r="E384" s="2"/>
      <c r="F384" s="2">
        <f>_xlfn.XLOOKUP(D384,TIPOS_CAMBIO!A:A,TIPOS_CAMBIO!B:B,"",0)</f>
        <v>0</v>
      </c>
      <c r="G384" s="3">
        <f t="shared" si="10"/>
        <v>0</v>
      </c>
      <c r="H384" s="3"/>
      <c r="I384" s="3">
        <f ca="1">IFERROR(_xludf.XLOOKUP("Seguro",PARAMETROS_IMPORTACION!$A:$A,PARAMETROS_IMPORTACION!$C:$C,0),0)</f>
        <v>0</v>
      </c>
      <c r="J384" s="3">
        <f ca="1">IFERROR(_xludf.XLOOKUP("Arancel",PARAMETROS_IMPORTACION!$A:$A,PARAMETROS_IMPORTACION!$C:$C,0),0)</f>
        <v>0</v>
      </c>
      <c r="K384" s="2">
        <f ca="1">IFERROR(_xludf.XLOOKUP("Gastos_Aduana",PARAMETROS_IMPORTACION!$A:$A,PARAMETROS_IMPORTACION!$C:$C,0),0)</f>
        <v>0</v>
      </c>
      <c r="L384" s="2">
        <f t="shared" si="11"/>
        <v>0</v>
      </c>
    </row>
    <row r="385" spans="5:12" x14ac:dyDescent="0.35">
      <c r="E385" s="2"/>
      <c r="F385" s="2">
        <f>_xlfn.XLOOKUP(D385,TIPOS_CAMBIO!A:A,TIPOS_CAMBIO!B:B,"",0)</f>
        <v>0</v>
      </c>
      <c r="G385" s="3">
        <f t="shared" si="10"/>
        <v>0</v>
      </c>
      <c r="H385" s="3"/>
      <c r="I385" s="3">
        <f ca="1">IFERROR(_xludf.XLOOKUP("Seguro",PARAMETROS_IMPORTACION!$A:$A,PARAMETROS_IMPORTACION!$C:$C,0),0)</f>
        <v>0</v>
      </c>
      <c r="J385" s="3">
        <f ca="1">IFERROR(_xludf.XLOOKUP("Arancel",PARAMETROS_IMPORTACION!$A:$A,PARAMETROS_IMPORTACION!$C:$C,0),0)</f>
        <v>0</v>
      </c>
      <c r="K385" s="2">
        <f ca="1">IFERROR(_xludf.XLOOKUP("Gastos_Aduana",PARAMETROS_IMPORTACION!$A:$A,PARAMETROS_IMPORTACION!$C:$C,0),0)</f>
        <v>0</v>
      </c>
      <c r="L385" s="2">
        <f t="shared" si="11"/>
        <v>0</v>
      </c>
    </row>
    <row r="386" spans="5:12" x14ac:dyDescent="0.35">
      <c r="E386" s="2"/>
      <c r="F386" s="2">
        <f>_xlfn.XLOOKUP(D386,TIPOS_CAMBIO!A:A,TIPOS_CAMBIO!B:B,"",0)</f>
        <v>0</v>
      </c>
      <c r="G386" s="3">
        <f t="shared" ref="G386:G449" si="12">$E386*$F386</f>
        <v>0</v>
      </c>
      <c r="H386" s="3"/>
      <c r="I386" s="3">
        <f ca="1">IFERROR(_xludf.XLOOKUP("Seguro",PARAMETROS_IMPORTACION!$A:$A,PARAMETROS_IMPORTACION!$C:$C,0),0)</f>
        <v>0</v>
      </c>
      <c r="J386" s="3">
        <f ca="1">IFERROR(_xludf.XLOOKUP("Arancel",PARAMETROS_IMPORTACION!$A:$A,PARAMETROS_IMPORTACION!$C:$C,0),0)</f>
        <v>0</v>
      </c>
      <c r="K386" s="2">
        <f ca="1">IFERROR(_xludf.XLOOKUP("Gastos_Aduana",PARAMETROS_IMPORTACION!$A:$A,PARAMETROS_IMPORTACION!$C:$C,0),0)</f>
        <v>0</v>
      </c>
      <c r="L386" s="2">
        <f t="shared" si="11"/>
        <v>0</v>
      </c>
    </row>
    <row r="387" spans="5:12" x14ac:dyDescent="0.35">
      <c r="E387" s="2"/>
      <c r="F387" s="2">
        <f>_xlfn.XLOOKUP(D387,TIPOS_CAMBIO!A:A,TIPOS_CAMBIO!B:B,"",0)</f>
        <v>0</v>
      </c>
      <c r="G387" s="3">
        <f t="shared" si="12"/>
        <v>0</v>
      </c>
      <c r="H387" s="3"/>
      <c r="I387" s="3">
        <f ca="1">IFERROR(_xludf.XLOOKUP("Seguro",PARAMETROS_IMPORTACION!$A:$A,PARAMETROS_IMPORTACION!$C:$C,0),0)</f>
        <v>0</v>
      </c>
      <c r="J387" s="3">
        <f ca="1">IFERROR(_xludf.XLOOKUP("Arancel",PARAMETROS_IMPORTACION!$A:$A,PARAMETROS_IMPORTACION!$C:$C,0),0)</f>
        <v>0</v>
      </c>
      <c r="K387" s="2">
        <f ca="1">IFERROR(_xludf.XLOOKUP("Gastos_Aduana",PARAMETROS_IMPORTACION!$A:$A,PARAMETROS_IMPORTACION!$C:$C,0),0)</f>
        <v>0</v>
      </c>
      <c r="L387" s="2">
        <f t="shared" ref="L387:L450" si="13">IF($C387="Importado",$G387*(1+$H387+$I387+$J387)+$K387,$G387)</f>
        <v>0</v>
      </c>
    </row>
    <row r="388" spans="5:12" x14ac:dyDescent="0.35">
      <c r="E388" s="2"/>
      <c r="F388" s="2">
        <f>_xlfn.XLOOKUP(D388,TIPOS_CAMBIO!A:A,TIPOS_CAMBIO!B:B,"",0)</f>
        <v>0</v>
      </c>
      <c r="G388" s="3">
        <f t="shared" si="12"/>
        <v>0</v>
      </c>
      <c r="H388" s="3"/>
      <c r="I388" s="3">
        <f ca="1">IFERROR(_xludf.XLOOKUP("Seguro",PARAMETROS_IMPORTACION!$A:$A,PARAMETROS_IMPORTACION!$C:$C,0),0)</f>
        <v>0</v>
      </c>
      <c r="J388" s="3">
        <f ca="1">IFERROR(_xludf.XLOOKUP("Arancel",PARAMETROS_IMPORTACION!$A:$A,PARAMETROS_IMPORTACION!$C:$C,0),0)</f>
        <v>0</v>
      </c>
      <c r="K388" s="2">
        <f ca="1">IFERROR(_xludf.XLOOKUP("Gastos_Aduana",PARAMETROS_IMPORTACION!$A:$A,PARAMETROS_IMPORTACION!$C:$C,0),0)</f>
        <v>0</v>
      </c>
      <c r="L388" s="2">
        <f t="shared" si="13"/>
        <v>0</v>
      </c>
    </row>
    <row r="389" spans="5:12" x14ac:dyDescent="0.35">
      <c r="E389" s="2"/>
      <c r="F389" s="2">
        <f>_xlfn.XLOOKUP(D389,TIPOS_CAMBIO!A:A,TIPOS_CAMBIO!B:B,"",0)</f>
        <v>0</v>
      </c>
      <c r="G389" s="3">
        <f t="shared" si="12"/>
        <v>0</v>
      </c>
      <c r="H389" s="3"/>
      <c r="I389" s="3">
        <f ca="1">IFERROR(_xludf.XLOOKUP("Seguro",PARAMETROS_IMPORTACION!$A:$A,PARAMETROS_IMPORTACION!$C:$C,0),0)</f>
        <v>0</v>
      </c>
      <c r="J389" s="3">
        <f ca="1">IFERROR(_xludf.XLOOKUP("Arancel",PARAMETROS_IMPORTACION!$A:$A,PARAMETROS_IMPORTACION!$C:$C,0),0)</f>
        <v>0</v>
      </c>
      <c r="K389" s="2">
        <f ca="1">IFERROR(_xludf.XLOOKUP("Gastos_Aduana",PARAMETROS_IMPORTACION!$A:$A,PARAMETROS_IMPORTACION!$C:$C,0),0)</f>
        <v>0</v>
      </c>
      <c r="L389" s="2">
        <f t="shared" si="13"/>
        <v>0</v>
      </c>
    </row>
    <row r="390" spans="5:12" x14ac:dyDescent="0.35">
      <c r="E390" s="2"/>
      <c r="F390" s="2">
        <f>_xlfn.XLOOKUP(D390,TIPOS_CAMBIO!A:A,TIPOS_CAMBIO!B:B,"",0)</f>
        <v>0</v>
      </c>
      <c r="G390" s="3">
        <f t="shared" si="12"/>
        <v>0</v>
      </c>
      <c r="H390" s="3"/>
      <c r="I390" s="3">
        <f ca="1">IFERROR(_xludf.XLOOKUP("Seguro",PARAMETROS_IMPORTACION!$A:$A,PARAMETROS_IMPORTACION!$C:$C,0),0)</f>
        <v>0</v>
      </c>
      <c r="J390" s="3">
        <f ca="1">IFERROR(_xludf.XLOOKUP("Arancel",PARAMETROS_IMPORTACION!$A:$A,PARAMETROS_IMPORTACION!$C:$C,0),0)</f>
        <v>0</v>
      </c>
      <c r="K390" s="2">
        <f ca="1">IFERROR(_xludf.XLOOKUP("Gastos_Aduana",PARAMETROS_IMPORTACION!$A:$A,PARAMETROS_IMPORTACION!$C:$C,0),0)</f>
        <v>0</v>
      </c>
      <c r="L390" s="2">
        <f t="shared" si="13"/>
        <v>0</v>
      </c>
    </row>
    <row r="391" spans="5:12" x14ac:dyDescent="0.35">
      <c r="E391" s="2"/>
      <c r="F391" s="2">
        <f>_xlfn.XLOOKUP(D391,TIPOS_CAMBIO!A:A,TIPOS_CAMBIO!B:B,"",0)</f>
        <v>0</v>
      </c>
      <c r="G391" s="3">
        <f t="shared" si="12"/>
        <v>0</v>
      </c>
      <c r="H391" s="3"/>
      <c r="I391" s="3">
        <f ca="1">IFERROR(_xludf.XLOOKUP("Seguro",PARAMETROS_IMPORTACION!$A:$A,PARAMETROS_IMPORTACION!$C:$C,0),0)</f>
        <v>0</v>
      </c>
      <c r="J391" s="3">
        <f ca="1">IFERROR(_xludf.XLOOKUP("Arancel",PARAMETROS_IMPORTACION!$A:$A,PARAMETROS_IMPORTACION!$C:$C,0),0)</f>
        <v>0</v>
      </c>
      <c r="K391" s="2">
        <f ca="1">IFERROR(_xludf.XLOOKUP("Gastos_Aduana",PARAMETROS_IMPORTACION!$A:$A,PARAMETROS_IMPORTACION!$C:$C,0),0)</f>
        <v>0</v>
      </c>
      <c r="L391" s="2">
        <f t="shared" si="13"/>
        <v>0</v>
      </c>
    </row>
    <row r="392" spans="5:12" x14ac:dyDescent="0.35">
      <c r="E392" s="2"/>
      <c r="F392" s="2">
        <f>_xlfn.XLOOKUP(D392,TIPOS_CAMBIO!A:A,TIPOS_CAMBIO!B:B,"",0)</f>
        <v>0</v>
      </c>
      <c r="G392" s="3">
        <f t="shared" si="12"/>
        <v>0</v>
      </c>
      <c r="H392" s="3"/>
      <c r="I392" s="3">
        <f ca="1">IFERROR(_xludf.XLOOKUP("Seguro",PARAMETROS_IMPORTACION!$A:$A,PARAMETROS_IMPORTACION!$C:$C,0),0)</f>
        <v>0</v>
      </c>
      <c r="J392" s="3">
        <f ca="1">IFERROR(_xludf.XLOOKUP("Arancel",PARAMETROS_IMPORTACION!$A:$A,PARAMETROS_IMPORTACION!$C:$C,0),0)</f>
        <v>0</v>
      </c>
      <c r="K392" s="2">
        <f ca="1">IFERROR(_xludf.XLOOKUP("Gastos_Aduana",PARAMETROS_IMPORTACION!$A:$A,PARAMETROS_IMPORTACION!$C:$C,0),0)</f>
        <v>0</v>
      </c>
      <c r="L392" s="2">
        <f t="shared" si="13"/>
        <v>0</v>
      </c>
    </row>
    <row r="393" spans="5:12" x14ac:dyDescent="0.35">
      <c r="E393" s="2"/>
      <c r="F393" s="2">
        <f>_xlfn.XLOOKUP(D393,TIPOS_CAMBIO!A:A,TIPOS_CAMBIO!B:B,"",0)</f>
        <v>0</v>
      </c>
      <c r="G393" s="3">
        <f t="shared" si="12"/>
        <v>0</v>
      </c>
      <c r="H393" s="3"/>
      <c r="I393" s="3">
        <f ca="1">IFERROR(_xludf.XLOOKUP("Seguro",PARAMETROS_IMPORTACION!$A:$A,PARAMETROS_IMPORTACION!$C:$C,0),0)</f>
        <v>0</v>
      </c>
      <c r="J393" s="3">
        <f ca="1">IFERROR(_xludf.XLOOKUP("Arancel",PARAMETROS_IMPORTACION!$A:$A,PARAMETROS_IMPORTACION!$C:$C,0),0)</f>
        <v>0</v>
      </c>
      <c r="K393" s="2">
        <f ca="1">IFERROR(_xludf.XLOOKUP("Gastos_Aduana",PARAMETROS_IMPORTACION!$A:$A,PARAMETROS_IMPORTACION!$C:$C,0),0)</f>
        <v>0</v>
      </c>
      <c r="L393" s="2">
        <f t="shared" si="13"/>
        <v>0</v>
      </c>
    </row>
    <row r="394" spans="5:12" x14ac:dyDescent="0.35">
      <c r="E394" s="2"/>
      <c r="F394" s="2">
        <f>_xlfn.XLOOKUP(D394,TIPOS_CAMBIO!A:A,TIPOS_CAMBIO!B:B,"",0)</f>
        <v>0</v>
      </c>
      <c r="G394" s="3">
        <f t="shared" si="12"/>
        <v>0</v>
      </c>
      <c r="H394" s="3"/>
      <c r="I394" s="3">
        <f ca="1">IFERROR(_xludf.XLOOKUP("Seguro",PARAMETROS_IMPORTACION!$A:$A,PARAMETROS_IMPORTACION!$C:$C,0),0)</f>
        <v>0</v>
      </c>
      <c r="J394" s="3">
        <f ca="1">IFERROR(_xludf.XLOOKUP("Arancel",PARAMETROS_IMPORTACION!$A:$A,PARAMETROS_IMPORTACION!$C:$C,0),0)</f>
        <v>0</v>
      </c>
      <c r="K394" s="2">
        <f ca="1">IFERROR(_xludf.XLOOKUP("Gastos_Aduana",PARAMETROS_IMPORTACION!$A:$A,PARAMETROS_IMPORTACION!$C:$C,0),0)</f>
        <v>0</v>
      </c>
      <c r="L394" s="2">
        <f t="shared" si="13"/>
        <v>0</v>
      </c>
    </row>
    <row r="395" spans="5:12" x14ac:dyDescent="0.35">
      <c r="E395" s="2"/>
      <c r="F395" s="2">
        <f>_xlfn.XLOOKUP(D395,TIPOS_CAMBIO!A:A,TIPOS_CAMBIO!B:B,"",0)</f>
        <v>0</v>
      </c>
      <c r="G395" s="3">
        <f t="shared" si="12"/>
        <v>0</v>
      </c>
      <c r="H395" s="3"/>
      <c r="I395" s="3">
        <f ca="1">IFERROR(_xludf.XLOOKUP("Seguro",PARAMETROS_IMPORTACION!$A:$A,PARAMETROS_IMPORTACION!$C:$C,0),0)</f>
        <v>0</v>
      </c>
      <c r="J395" s="3">
        <f ca="1">IFERROR(_xludf.XLOOKUP("Arancel",PARAMETROS_IMPORTACION!$A:$A,PARAMETROS_IMPORTACION!$C:$C,0),0)</f>
        <v>0</v>
      </c>
      <c r="K395" s="2">
        <f ca="1">IFERROR(_xludf.XLOOKUP("Gastos_Aduana",PARAMETROS_IMPORTACION!$A:$A,PARAMETROS_IMPORTACION!$C:$C,0),0)</f>
        <v>0</v>
      </c>
      <c r="L395" s="2">
        <f t="shared" si="13"/>
        <v>0</v>
      </c>
    </row>
    <row r="396" spans="5:12" x14ac:dyDescent="0.35">
      <c r="E396" s="2"/>
      <c r="F396" s="2">
        <f>_xlfn.XLOOKUP(D396,TIPOS_CAMBIO!A:A,TIPOS_CAMBIO!B:B,"",0)</f>
        <v>0</v>
      </c>
      <c r="G396" s="3">
        <f t="shared" si="12"/>
        <v>0</v>
      </c>
      <c r="H396" s="3"/>
      <c r="I396" s="3">
        <f ca="1">IFERROR(_xludf.XLOOKUP("Seguro",PARAMETROS_IMPORTACION!$A:$A,PARAMETROS_IMPORTACION!$C:$C,0),0)</f>
        <v>0</v>
      </c>
      <c r="J396" s="3">
        <f ca="1">IFERROR(_xludf.XLOOKUP("Arancel",PARAMETROS_IMPORTACION!$A:$A,PARAMETROS_IMPORTACION!$C:$C,0),0)</f>
        <v>0</v>
      </c>
      <c r="K396" s="2">
        <f ca="1">IFERROR(_xludf.XLOOKUP("Gastos_Aduana",PARAMETROS_IMPORTACION!$A:$A,PARAMETROS_IMPORTACION!$C:$C,0),0)</f>
        <v>0</v>
      </c>
      <c r="L396" s="2">
        <f t="shared" si="13"/>
        <v>0</v>
      </c>
    </row>
    <row r="397" spans="5:12" x14ac:dyDescent="0.35">
      <c r="E397" s="2"/>
      <c r="F397" s="2">
        <f>_xlfn.XLOOKUP(D397,TIPOS_CAMBIO!A:A,TIPOS_CAMBIO!B:B,"",0)</f>
        <v>0</v>
      </c>
      <c r="G397" s="3">
        <f t="shared" si="12"/>
        <v>0</v>
      </c>
      <c r="H397" s="3"/>
      <c r="I397" s="3">
        <f ca="1">IFERROR(_xludf.XLOOKUP("Seguro",PARAMETROS_IMPORTACION!$A:$A,PARAMETROS_IMPORTACION!$C:$C,0),0)</f>
        <v>0</v>
      </c>
      <c r="J397" s="3">
        <f ca="1">IFERROR(_xludf.XLOOKUP("Arancel",PARAMETROS_IMPORTACION!$A:$A,PARAMETROS_IMPORTACION!$C:$C,0),0)</f>
        <v>0</v>
      </c>
      <c r="K397" s="2">
        <f ca="1">IFERROR(_xludf.XLOOKUP("Gastos_Aduana",PARAMETROS_IMPORTACION!$A:$A,PARAMETROS_IMPORTACION!$C:$C,0),0)</f>
        <v>0</v>
      </c>
      <c r="L397" s="2">
        <f t="shared" si="13"/>
        <v>0</v>
      </c>
    </row>
    <row r="398" spans="5:12" x14ac:dyDescent="0.35">
      <c r="E398" s="2"/>
      <c r="F398" s="2">
        <f>_xlfn.XLOOKUP(D398,TIPOS_CAMBIO!A:A,TIPOS_CAMBIO!B:B,"",0)</f>
        <v>0</v>
      </c>
      <c r="G398" s="3">
        <f t="shared" si="12"/>
        <v>0</v>
      </c>
      <c r="H398" s="3"/>
      <c r="I398" s="3">
        <f ca="1">IFERROR(_xludf.XLOOKUP("Seguro",PARAMETROS_IMPORTACION!$A:$A,PARAMETROS_IMPORTACION!$C:$C,0),0)</f>
        <v>0</v>
      </c>
      <c r="J398" s="3">
        <f ca="1">IFERROR(_xludf.XLOOKUP("Arancel",PARAMETROS_IMPORTACION!$A:$A,PARAMETROS_IMPORTACION!$C:$C,0),0)</f>
        <v>0</v>
      </c>
      <c r="K398" s="2">
        <f ca="1">IFERROR(_xludf.XLOOKUP("Gastos_Aduana",PARAMETROS_IMPORTACION!$A:$A,PARAMETROS_IMPORTACION!$C:$C,0),0)</f>
        <v>0</v>
      </c>
      <c r="L398" s="2">
        <f t="shared" si="13"/>
        <v>0</v>
      </c>
    </row>
    <row r="399" spans="5:12" x14ac:dyDescent="0.35">
      <c r="E399" s="2"/>
      <c r="F399" s="2">
        <f>_xlfn.XLOOKUP(D399,TIPOS_CAMBIO!A:A,TIPOS_CAMBIO!B:B,"",0)</f>
        <v>0</v>
      </c>
      <c r="G399" s="3">
        <f t="shared" si="12"/>
        <v>0</v>
      </c>
      <c r="H399" s="3"/>
      <c r="I399" s="3">
        <f ca="1">IFERROR(_xludf.XLOOKUP("Seguro",PARAMETROS_IMPORTACION!$A:$A,PARAMETROS_IMPORTACION!$C:$C,0),0)</f>
        <v>0</v>
      </c>
      <c r="J399" s="3">
        <f ca="1">IFERROR(_xludf.XLOOKUP("Arancel",PARAMETROS_IMPORTACION!$A:$A,PARAMETROS_IMPORTACION!$C:$C,0),0)</f>
        <v>0</v>
      </c>
      <c r="K399" s="2">
        <f ca="1">IFERROR(_xludf.XLOOKUP("Gastos_Aduana",PARAMETROS_IMPORTACION!$A:$A,PARAMETROS_IMPORTACION!$C:$C,0),0)</f>
        <v>0</v>
      </c>
      <c r="L399" s="2">
        <f t="shared" si="13"/>
        <v>0</v>
      </c>
    </row>
    <row r="400" spans="5:12" x14ac:dyDescent="0.35">
      <c r="E400" s="2"/>
      <c r="F400" s="2">
        <f>_xlfn.XLOOKUP(D400,TIPOS_CAMBIO!A:A,TIPOS_CAMBIO!B:B,"",0)</f>
        <v>0</v>
      </c>
      <c r="G400" s="3">
        <f t="shared" si="12"/>
        <v>0</v>
      </c>
      <c r="H400" s="3"/>
      <c r="I400" s="3">
        <f ca="1">IFERROR(_xludf.XLOOKUP("Seguro",PARAMETROS_IMPORTACION!$A:$A,PARAMETROS_IMPORTACION!$C:$C,0),0)</f>
        <v>0</v>
      </c>
      <c r="J400" s="3">
        <f ca="1">IFERROR(_xludf.XLOOKUP("Arancel",PARAMETROS_IMPORTACION!$A:$A,PARAMETROS_IMPORTACION!$C:$C,0),0)</f>
        <v>0</v>
      </c>
      <c r="K400" s="2">
        <f ca="1">IFERROR(_xludf.XLOOKUP("Gastos_Aduana",PARAMETROS_IMPORTACION!$A:$A,PARAMETROS_IMPORTACION!$C:$C,0),0)</f>
        <v>0</v>
      </c>
      <c r="L400" s="2">
        <f t="shared" si="13"/>
        <v>0</v>
      </c>
    </row>
    <row r="401" spans="5:12" x14ac:dyDescent="0.35">
      <c r="E401" s="2"/>
      <c r="F401" s="2">
        <f>_xlfn.XLOOKUP(D401,TIPOS_CAMBIO!A:A,TIPOS_CAMBIO!B:B,"",0)</f>
        <v>0</v>
      </c>
      <c r="G401" s="3">
        <f t="shared" si="12"/>
        <v>0</v>
      </c>
      <c r="H401" s="3"/>
      <c r="I401" s="3">
        <f ca="1">IFERROR(_xludf.XLOOKUP("Seguro",PARAMETROS_IMPORTACION!$A:$A,PARAMETROS_IMPORTACION!$C:$C,0),0)</f>
        <v>0</v>
      </c>
      <c r="J401" s="3">
        <f ca="1">IFERROR(_xludf.XLOOKUP("Arancel",PARAMETROS_IMPORTACION!$A:$A,PARAMETROS_IMPORTACION!$C:$C,0),0)</f>
        <v>0</v>
      </c>
      <c r="K401" s="2">
        <f ca="1">IFERROR(_xludf.XLOOKUP("Gastos_Aduana",PARAMETROS_IMPORTACION!$A:$A,PARAMETROS_IMPORTACION!$C:$C,0),0)</f>
        <v>0</v>
      </c>
      <c r="L401" s="2">
        <f t="shared" si="13"/>
        <v>0</v>
      </c>
    </row>
    <row r="402" spans="5:12" x14ac:dyDescent="0.35">
      <c r="E402" s="2"/>
      <c r="F402" s="2">
        <f>_xlfn.XLOOKUP(D402,TIPOS_CAMBIO!A:A,TIPOS_CAMBIO!B:B,"",0)</f>
        <v>0</v>
      </c>
      <c r="G402" s="3">
        <f t="shared" si="12"/>
        <v>0</v>
      </c>
      <c r="H402" s="3"/>
      <c r="I402" s="3">
        <f ca="1">IFERROR(_xludf.XLOOKUP("Seguro",PARAMETROS_IMPORTACION!$A:$A,PARAMETROS_IMPORTACION!$C:$C,0),0)</f>
        <v>0</v>
      </c>
      <c r="J402" s="3">
        <f ca="1">IFERROR(_xludf.XLOOKUP("Arancel",PARAMETROS_IMPORTACION!$A:$A,PARAMETROS_IMPORTACION!$C:$C,0),0)</f>
        <v>0</v>
      </c>
      <c r="K402" s="2">
        <f ca="1">IFERROR(_xludf.XLOOKUP("Gastos_Aduana",PARAMETROS_IMPORTACION!$A:$A,PARAMETROS_IMPORTACION!$C:$C,0),0)</f>
        <v>0</v>
      </c>
      <c r="L402" s="2">
        <f t="shared" si="13"/>
        <v>0</v>
      </c>
    </row>
    <row r="403" spans="5:12" x14ac:dyDescent="0.35">
      <c r="E403" s="2"/>
      <c r="F403" s="2">
        <f>_xlfn.XLOOKUP(D403,TIPOS_CAMBIO!A:A,TIPOS_CAMBIO!B:B,"",0)</f>
        <v>0</v>
      </c>
      <c r="G403" s="3">
        <f t="shared" si="12"/>
        <v>0</v>
      </c>
      <c r="H403" s="3"/>
      <c r="I403" s="3">
        <f ca="1">IFERROR(_xludf.XLOOKUP("Seguro",PARAMETROS_IMPORTACION!$A:$A,PARAMETROS_IMPORTACION!$C:$C,0),0)</f>
        <v>0</v>
      </c>
      <c r="J403" s="3">
        <f ca="1">IFERROR(_xludf.XLOOKUP("Arancel",PARAMETROS_IMPORTACION!$A:$A,PARAMETROS_IMPORTACION!$C:$C,0),0)</f>
        <v>0</v>
      </c>
      <c r="K403" s="2">
        <f ca="1">IFERROR(_xludf.XLOOKUP("Gastos_Aduana",PARAMETROS_IMPORTACION!$A:$A,PARAMETROS_IMPORTACION!$C:$C,0),0)</f>
        <v>0</v>
      </c>
      <c r="L403" s="2">
        <f t="shared" si="13"/>
        <v>0</v>
      </c>
    </row>
    <row r="404" spans="5:12" x14ac:dyDescent="0.35">
      <c r="E404" s="2"/>
      <c r="F404" s="2">
        <f>_xlfn.XLOOKUP(D404,TIPOS_CAMBIO!A:A,TIPOS_CAMBIO!B:B,"",0)</f>
        <v>0</v>
      </c>
      <c r="G404" s="3">
        <f t="shared" si="12"/>
        <v>0</v>
      </c>
      <c r="H404" s="3"/>
      <c r="I404" s="3">
        <f ca="1">IFERROR(_xludf.XLOOKUP("Seguro",PARAMETROS_IMPORTACION!$A:$A,PARAMETROS_IMPORTACION!$C:$C,0),0)</f>
        <v>0</v>
      </c>
      <c r="J404" s="3">
        <f ca="1">IFERROR(_xludf.XLOOKUP("Arancel",PARAMETROS_IMPORTACION!$A:$A,PARAMETROS_IMPORTACION!$C:$C,0),0)</f>
        <v>0</v>
      </c>
      <c r="K404" s="2">
        <f ca="1">IFERROR(_xludf.XLOOKUP("Gastos_Aduana",PARAMETROS_IMPORTACION!$A:$A,PARAMETROS_IMPORTACION!$C:$C,0),0)</f>
        <v>0</v>
      </c>
      <c r="L404" s="2">
        <f t="shared" si="13"/>
        <v>0</v>
      </c>
    </row>
    <row r="405" spans="5:12" x14ac:dyDescent="0.35">
      <c r="E405" s="2"/>
      <c r="F405" s="2">
        <f>_xlfn.XLOOKUP(D405,TIPOS_CAMBIO!A:A,TIPOS_CAMBIO!B:B,"",0)</f>
        <v>0</v>
      </c>
      <c r="G405" s="3">
        <f t="shared" si="12"/>
        <v>0</v>
      </c>
      <c r="H405" s="3"/>
      <c r="I405" s="3">
        <f ca="1">IFERROR(_xludf.XLOOKUP("Seguro",PARAMETROS_IMPORTACION!$A:$A,PARAMETROS_IMPORTACION!$C:$C,0),0)</f>
        <v>0</v>
      </c>
      <c r="J405" s="3">
        <f ca="1">IFERROR(_xludf.XLOOKUP("Arancel",PARAMETROS_IMPORTACION!$A:$A,PARAMETROS_IMPORTACION!$C:$C,0),0)</f>
        <v>0</v>
      </c>
      <c r="K405" s="2">
        <f ca="1">IFERROR(_xludf.XLOOKUP("Gastos_Aduana",PARAMETROS_IMPORTACION!$A:$A,PARAMETROS_IMPORTACION!$C:$C,0),0)</f>
        <v>0</v>
      </c>
      <c r="L405" s="2">
        <f t="shared" si="13"/>
        <v>0</v>
      </c>
    </row>
    <row r="406" spans="5:12" x14ac:dyDescent="0.35">
      <c r="E406" s="2"/>
      <c r="F406" s="2">
        <f>_xlfn.XLOOKUP(D406,TIPOS_CAMBIO!A:A,TIPOS_CAMBIO!B:B,"",0)</f>
        <v>0</v>
      </c>
      <c r="G406" s="3">
        <f t="shared" si="12"/>
        <v>0</v>
      </c>
      <c r="H406" s="3"/>
      <c r="I406" s="3">
        <f ca="1">IFERROR(_xludf.XLOOKUP("Seguro",PARAMETROS_IMPORTACION!$A:$A,PARAMETROS_IMPORTACION!$C:$C,0),0)</f>
        <v>0</v>
      </c>
      <c r="J406" s="3">
        <f ca="1">IFERROR(_xludf.XLOOKUP("Arancel",PARAMETROS_IMPORTACION!$A:$A,PARAMETROS_IMPORTACION!$C:$C,0),0)</f>
        <v>0</v>
      </c>
      <c r="K406" s="2">
        <f ca="1">IFERROR(_xludf.XLOOKUP("Gastos_Aduana",PARAMETROS_IMPORTACION!$A:$A,PARAMETROS_IMPORTACION!$C:$C,0),0)</f>
        <v>0</v>
      </c>
      <c r="L406" s="2">
        <f t="shared" si="13"/>
        <v>0</v>
      </c>
    </row>
    <row r="407" spans="5:12" x14ac:dyDescent="0.35">
      <c r="E407" s="2"/>
      <c r="F407" s="2">
        <f>_xlfn.XLOOKUP(D407,TIPOS_CAMBIO!A:A,TIPOS_CAMBIO!B:B,"",0)</f>
        <v>0</v>
      </c>
      <c r="G407" s="3">
        <f t="shared" si="12"/>
        <v>0</v>
      </c>
      <c r="H407" s="3"/>
      <c r="I407" s="3">
        <f ca="1">IFERROR(_xludf.XLOOKUP("Seguro",PARAMETROS_IMPORTACION!$A:$A,PARAMETROS_IMPORTACION!$C:$C,0),0)</f>
        <v>0</v>
      </c>
      <c r="J407" s="3">
        <f ca="1">IFERROR(_xludf.XLOOKUP("Arancel",PARAMETROS_IMPORTACION!$A:$A,PARAMETROS_IMPORTACION!$C:$C,0),0)</f>
        <v>0</v>
      </c>
      <c r="K407" s="2">
        <f ca="1">IFERROR(_xludf.XLOOKUP("Gastos_Aduana",PARAMETROS_IMPORTACION!$A:$A,PARAMETROS_IMPORTACION!$C:$C,0),0)</f>
        <v>0</v>
      </c>
      <c r="L407" s="2">
        <f t="shared" si="13"/>
        <v>0</v>
      </c>
    </row>
    <row r="408" spans="5:12" x14ac:dyDescent="0.35">
      <c r="E408" s="2"/>
      <c r="F408" s="2">
        <f>_xlfn.XLOOKUP(D408,TIPOS_CAMBIO!A:A,TIPOS_CAMBIO!B:B,"",0)</f>
        <v>0</v>
      </c>
      <c r="G408" s="3">
        <f t="shared" si="12"/>
        <v>0</v>
      </c>
      <c r="H408" s="3"/>
      <c r="I408" s="3">
        <f ca="1">IFERROR(_xludf.XLOOKUP("Seguro",PARAMETROS_IMPORTACION!$A:$A,PARAMETROS_IMPORTACION!$C:$C,0),0)</f>
        <v>0</v>
      </c>
      <c r="J408" s="3">
        <f ca="1">IFERROR(_xludf.XLOOKUP("Arancel",PARAMETROS_IMPORTACION!$A:$A,PARAMETROS_IMPORTACION!$C:$C,0),0)</f>
        <v>0</v>
      </c>
      <c r="K408" s="2">
        <f ca="1">IFERROR(_xludf.XLOOKUP("Gastos_Aduana",PARAMETROS_IMPORTACION!$A:$A,PARAMETROS_IMPORTACION!$C:$C,0),0)</f>
        <v>0</v>
      </c>
      <c r="L408" s="2">
        <f t="shared" si="13"/>
        <v>0</v>
      </c>
    </row>
    <row r="409" spans="5:12" x14ac:dyDescent="0.35">
      <c r="E409" s="2"/>
      <c r="F409" s="2">
        <f>_xlfn.XLOOKUP(D409,TIPOS_CAMBIO!A:A,TIPOS_CAMBIO!B:B,"",0)</f>
        <v>0</v>
      </c>
      <c r="G409" s="3">
        <f t="shared" si="12"/>
        <v>0</v>
      </c>
      <c r="H409" s="3"/>
      <c r="I409" s="3">
        <f ca="1">IFERROR(_xludf.XLOOKUP("Seguro",PARAMETROS_IMPORTACION!$A:$A,PARAMETROS_IMPORTACION!$C:$C,0),0)</f>
        <v>0</v>
      </c>
      <c r="J409" s="3">
        <f ca="1">IFERROR(_xludf.XLOOKUP("Arancel",PARAMETROS_IMPORTACION!$A:$A,PARAMETROS_IMPORTACION!$C:$C,0),0)</f>
        <v>0</v>
      </c>
      <c r="K409" s="2">
        <f ca="1">IFERROR(_xludf.XLOOKUP("Gastos_Aduana",PARAMETROS_IMPORTACION!$A:$A,PARAMETROS_IMPORTACION!$C:$C,0),0)</f>
        <v>0</v>
      </c>
      <c r="L409" s="2">
        <f t="shared" si="13"/>
        <v>0</v>
      </c>
    </row>
    <row r="410" spans="5:12" x14ac:dyDescent="0.35">
      <c r="E410" s="2"/>
      <c r="F410" s="2">
        <f>_xlfn.XLOOKUP(D410,TIPOS_CAMBIO!A:A,TIPOS_CAMBIO!B:B,"",0)</f>
        <v>0</v>
      </c>
      <c r="G410" s="3">
        <f t="shared" si="12"/>
        <v>0</v>
      </c>
      <c r="H410" s="3"/>
      <c r="I410" s="3">
        <f ca="1">IFERROR(_xludf.XLOOKUP("Seguro",PARAMETROS_IMPORTACION!$A:$A,PARAMETROS_IMPORTACION!$C:$C,0),0)</f>
        <v>0</v>
      </c>
      <c r="J410" s="3">
        <f ca="1">IFERROR(_xludf.XLOOKUP("Arancel",PARAMETROS_IMPORTACION!$A:$A,PARAMETROS_IMPORTACION!$C:$C,0),0)</f>
        <v>0</v>
      </c>
      <c r="K410" s="2">
        <f ca="1">IFERROR(_xludf.XLOOKUP("Gastos_Aduana",PARAMETROS_IMPORTACION!$A:$A,PARAMETROS_IMPORTACION!$C:$C,0),0)</f>
        <v>0</v>
      </c>
      <c r="L410" s="2">
        <f t="shared" si="13"/>
        <v>0</v>
      </c>
    </row>
    <row r="411" spans="5:12" x14ac:dyDescent="0.35">
      <c r="E411" s="2"/>
      <c r="F411" s="2">
        <f>_xlfn.XLOOKUP(D411,TIPOS_CAMBIO!A:A,TIPOS_CAMBIO!B:B,"",0)</f>
        <v>0</v>
      </c>
      <c r="G411" s="3">
        <f t="shared" si="12"/>
        <v>0</v>
      </c>
      <c r="H411" s="3"/>
      <c r="I411" s="3">
        <f ca="1">IFERROR(_xludf.XLOOKUP("Seguro",PARAMETROS_IMPORTACION!$A:$A,PARAMETROS_IMPORTACION!$C:$C,0),0)</f>
        <v>0</v>
      </c>
      <c r="J411" s="3">
        <f ca="1">IFERROR(_xludf.XLOOKUP("Arancel",PARAMETROS_IMPORTACION!$A:$A,PARAMETROS_IMPORTACION!$C:$C,0),0)</f>
        <v>0</v>
      </c>
      <c r="K411" s="2">
        <f ca="1">IFERROR(_xludf.XLOOKUP("Gastos_Aduana",PARAMETROS_IMPORTACION!$A:$A,PARAMETROS_IMPORTACION!$C:$C,0),0)</f>
        <v>0</v>
      </c>
      <c r="L411" s="2">
        <f t="shared" si="13"/>
        <v>0</v>
      </c>
    </row>
    <row r="412" spans="5:12" x14ac:dyDescent="0.35">
      <c r="E412" s="2"/>
      <c r="F412" s="2">
        <f>_xlfn.XLOOKUP(D412,TIPOS_CAMBIO!A:A,TIPOS_CAMBIO!B:B,"",0)</f>
        <v>0</v>
      </c>
      <c r="G412" s="3">
        <f t="shared" si="12"/>
        <v>0</v>
      </c>
      <c r="H412" s="3"/>
      <c r="I412" s="3">
        <f ca="1">IFERROR(_xludf.XLOOKUP("Seguro",PARAMETROS_IMPORTACION!$A:$A,PARAMETROS_IMPORTACION!$C:$C,0),0)</f>
        <v>0</v>
      </c>
      <c r="J412" s="3">
        <f ca="1">IFERROR(_xludf.XLOOKUP("Arancel",PARAMETROS_IMPORTACION!$A:$A,PARAMETROS_IMPORTACION!$C:$C,0),0)</f>
        <v>0</v>
      </c>
      <c r="K412" s="2">
        <f ca="1">IFERROR(_xludf.XLOOKUP("Gastos_Aduana",PARAMETROS_IMPORTACION!$A:$A,PARAMETROS_IMPORTACION!$C:$C,0),0)</f>
        <v>0</v>
      </c>
      <c r="L412" s="2">
        <f t="shared" si="13"/>
        <v>0</v>
      </c>
    </row>
    <row r="413" spans="5:12" x14ac:dyDescent="0.35">
      <c r="E413" s="2"/>
      <c r="F413" s="2">
        <f>_xlfn.XLOOKUP(D413,TIPOS_CAMBIO!A:A,TIPOS_CAMBIO!B:B,"",0)</f>
        <v>0</v>
      </c>
      <c r="G413" s="3">
        <f t="shared" si="12"/>
        <v>0</v>
      </c>
      <c r="H413" s="3"/>
      <c r="I413" s="3">
        <f ca="1">IFERROR(_xludf.XLOOKUP("Seguro",PARAMETROS_IMPORTACION!$A:$A,PARAMETROS_IMPORTACION!$C:$C,0),0)</f>
        <v>0</v>
      </c>
      <c r="J413" s="3">
        <f ca="1">IFERROR(_xludf.XLOOKUP("Arancel",PARAMETROS_IMPORTACION!$A:$A,PARAMETROS_IMPORTACION!$C:$C,0),0)</f>
        <v>0</v>
      </c>
      <c r="K413" s="2">
        <f ca="1">IFERROR(_xludf.XLOOKUP("Gastos_Aduana",PARAMETROS_IMPORTACION!$A:$A,PARAMETROS_IMPORTACION!$C:$C,0),0)</f>
        <v>0</v>
      </c>
      <c r="L413" s="2">
        <f t="shared" si="13"/>
        <v>0</v>
      </c>
    </row>
    <row r="414" spans="5:12" x14ac:dyDescent="0.35">
      <c r="E414" s="2"/>
      <c r="F414" s="2">
        <f>_xlfn.XLOOKUP(D414,TIPOS_CAMBIO!A:A,TIPOS_CAMBIO!B:B,"",0)</f>
        <v>0</v>
      </c>
      <c r="G414" s="3">
        <f t="shared" si="12"/>
        <v>0</v>
      </c>
      <c r="H414" s="3"/>
      <c r="I414" s="3">
        <f ca="1">IFERROR(_xludf.XLOOKUP("Seguro",PARAMETROS_IMPORTACION!$A:$A,PARAMETROS_IMPORTACION!$C:$C,0),0)</f>
        <v>0</v>
      </c>
      <c r="J414" s="3">
        <f ca="1">IFERROR(_xludf.XLOOKUP("Arancel",PARAMETROS_IMPORTACION!$A:$A,PARAMETROS_IMPORTACION!$C:$C,0),0)</f>
        <v>0</v>
      </c>
      <c r="K414" s="2">
        <f ca="1">IFERROR(_xludf.XLOOKUP("Gastos_Aduana",PARAMETROS_IMPORTACION!$A:$A,PARAMETROS_IMPORTACION!$C:$C,0),0)</f>
        <v>0</v>
      </c>
      <c r="L414" s="2">
        <f t="shared" si="13"/>
        <v>0</v>
      </c>
    </row>
    <row r="415" spans="5:12" x14ac:dyDescent="0.35">
      <c r="E415" s="2"/>
      <c r="F415" s="2">
        <f>_xlfn.XLOOKUP(D415,TIPOS_CAMBIO!A:A,TIPOS_CAMBIO!B:B,"",0)</f>
        <v>0</v>
      </c>
      <c r="G415" s="3">
        <f t="shared" si="12"/>
        <v>0</v>
      </c>
      <c r="H415" s="3"/>
      <c r="I415" s="3">
        <f ca="1">IFERROR(_xludf.XLOOKUP("Seguro",PARAMETROS_IMPORTACION!$A:$A,PARAMETROS_IMPORTACION!$C:$C,0),0)</f>
        <v>0</v>
      </c>
      <c r="J415" s="3">
        <f ca="1">IFERROR(_xludf.XLOOKUP("Arancel",PARAMETROS_IMPORTACION!$A:$A,PARAMETROS_IMPORTACION!$C:$C,0),0)</f>
        <v>0</v>
      </c>
      <c r="K415" s="2">
        <f ca="1">IFERROR(_xludf.XLOOKUP("Gastos_Aduana",PARAMETROS_IMPORTACION!$A:$A,PARAMETROS_IMPORTACION!$C:$C,0),0)</f>
        <v>0</v>
      </c>
      <c r="L415" s="2">
        <f t="shared" si="13"/>
        <v>0</v>
      </c>
    </row>
    <row r="416" spans="5:12" x14ac:dyDescent="0.35">
      <c r="E416" s="2"/>
      <c r="F416" s="2">
        <f>_xlfn.XLOOKUP(D416,TIPOS_CAMBIO!A:A,TIPOS_CAMBIO!B:B,"",0)</f>
        <v>0</v>
      </c>
      <c r="G416" s="3">
        <f t="shared" si="12"/>
        <v>0</v>
      </c>
      <c r="H416" s="3"/>
      <c r="I416" s="3">
        <f ca="1">IFERROR(_xludf.XLOOKUP("Seguro",PARAMETROS_IMPORTACION!$A:$A,PARAMETROS_IMPORTACION!$C:$C,0),0)</f>
        <v>0</v>
      </c>
      <c r="J416" s="3">
        <f ca="1">IFERROR(_xludf.XLOOKUP("Arancel",PARAMETROS_IMPORTACION!$A:$A,PARAMETROS_IMPORTACION!$C:$C,0),0)</f>
        <v>0</v>
      </c>
      <c r="K416" s="2">
        <f ca="1">IFERROR(_xludf.XLOOKUP("Gastos_Aduana",PARAMETROS_IMPORTACION!$A:$A,PARAMETROS_IMPORTACION!$C:$C,0),0)</f>
        <v>0</v>
      </c>
      <c r="L416" s="2">
        <f t="shared" si="13"/>
        <v>0</v>
      </c>
    </row>
    <row r="417" spans="5:12" x14ac:dyDescent="0.35">
      <c r="E417" s="2"/>
      <c r="F417" s="2">
        <f>_xlfn.XLOOKUP(D417,TIPOS_CAMBIO!A:A,TIPOS_CAMBIO!B:B,"",0)</f>
        <v>0</v>
      </c>
      <c r="G417" s="3">
        <f t="shared" si="12"/>
        <v>0</v>
      </c>
      <c r="H417" s="3"/>
      <c r="I417" s="3">
        <f ca="1">IFERROR(_xludf.XLOOKUP("Seguro",PARAMETROS_IMPORTACION!$A:$A,PARAMETROS_IMPORTACION!$C:$C,0),0)</f>
        <v>0</v>
      </c>
      <c r="J417" s="3">
        <f ca="1">IFERROR(_xludf.XLOOKUP("Arancel",PARAMETROS_IMPORTACION!$A:$A,PARAMETROS_IMPORTACION!$C:$C,0),0)</f>
        <v>0</v>
      </c>
      <c r="K417" s="2">
        <f ca="1">IFERROR(_xludf.XLOOKUP("Gastos_Aduana",PARAMETROS_IMPORTACION!$A:$A,PARAMETROS_IMPORTACION!$C:$C,0),0)</f>
        <v>0</v>
      </c>
      <c r="L417" s="2">
        <f t="shared" si="13"/>
        <v>0</v>
      </c>
    </row>
    <row r="418" spans="5:12" x14ac:dyDescent="0.35">
      <c r="E418" s="2"/>
      <c r="F418" s="2">
        <f>_xlfn.XLOOKUP(D418,TIPOS_CAMBIO!A:A,TIPOS_CAMBIO!B:B,"",0)</f>
        <v>0</v>
      </c>
      <c r="G418" s="3">
        <f t="shared" si="12"/>
        <v>0</v>
      </c>
      <c r="H418" s="3"/>
      <c r="I418" s="3">
        <f ca="1">IFERROR(_xludf.XLOOKUP("Seguro",PARAMETROS_IMPORTACION!$A:$A,PARAMETROS_IMPORTACION!$C:$C,0),0)</f>
        <v>0</v>
      </c>
      <c r="J418" s="3">
        <f ca="1">IFERROR(_xludf.XLOOKUP("Arancel",PARAMETROS_IMPORTACION!$A:$A,PARAMETROS_IMPORTACION!$C:$C,0),0)</f>
        <v>0</v>
      </c>
      <c r="K418" s="2">
        <f ca="1">IFERROR(_xludf.XLOOKUP("Gastos_Aduana",PARAMETROS_IMPORTACION!$A:$A,PARAMETROS_IMPORTACION!$C:$C,0),0)</f>
        <v>0</v>
      </c>
      <c r="L418" s="2">
        <f t="shared" si="13"/>
        <v>0</v>
      </c>
    </row>
    <row r="419" spans="5:12" x14ac:dyDescent="0.35">
      <c r="E419" s="2"/>
      <c r="F419" s="2">
        <f>_xlfn.XLOOKUP(D419,TIPOS_CAMBIO!A:A,TIPOS_CAMBIO!B:B,"",0)</f>
        <v>0</v>
      </c>
      <c r="G419" s="3">
        <f t="shared" si="12"/>
        <v>0</v>
      </c>
      <c r="H419" s="3"/>
      <c r="I419" s="3">
        <f ca="1">IFERROR(_xludf.XLOOKUP("Seguro",PARAMETROS_IMPORTACION!$A:$A,PARAMETROS_IMPORTACION!$C:$C,0),0)</f>
        <v>0</v>
      </c>
      <c r="J419" s="3">
        <f ca="1">IFERROR(_xludf.XLOOKUP("Arancel",PARAMETROS_IMPORTACION!$A:$A,PARAMETROS_IMPORTACION!$C:$C,0),0)</f>
        <v>0</v>
      </c>
      <c r="K419" s="2">
        <f ca="1">IFERROR(_xludf.XLOOKUP("Gastos_Aduana",PARAMETROS_IMPORTACION!$A:$A,PARAMETROS_IMPORTACION!$C:$C,0),0)</f>
        <v>0</v>
      </c>
      <c r="L419" s="2">
        <f t="shared" si="13"/>
        <v>0</v>
      </c>
    </row>
    <row r="420" spans="5:12" x14ac:dyDescent="0.35">
      <c r="E420" s="2"/>
      <c r="F420" s="2">
        <f>_xlfn.XLOOKUP(D420,TIPOS_CAMBIO!A:A,TIPOS_CAMBIO!B:B,"",0)</f>
        <v>0</v>
      </c>
      <c r="G420" s="3">
        <f t="shared" si="12"/>
        <v>0</v>
      </c>
      <c r="H420" s="3"/>
      <c r="I420" s="3">
        <f ca="1">IFERROR(_xludf.XLOOKUP("Seguro",PARAMETROS_IMPORTACION!$A:$A,PARAMETROS_IMPORTACION!$C:$C,0),0)</f>
        <v>0</v>
      </c>
      <c r="J420" s="3">
        <f ca="1">IFERROR(_xludf.XLOOKUP("Arancel",PARAMETROS_IMPORTACION!$A:$A,PARAMETROS_IMPORTACION!$C:$C,0),0)</f>
        <v>0</v>
      </c>
      <c r="K420" s="2">
        <f ca="1">IFERROR(_xludf.XLOOKUP("Gastos_Aduana",PARAMETROS_IMPORTACION!$A:$A,PARAMETROS_IMPORTACION!$C:$C,0),0)</f>
        <v>0</v>
      </c>
      <c r="L420" s="2">
        <f t="shared" si="13"/>
        <v>0</v>
      </c>
    </row>
    <row r="421" spans="5:12" x14ac:dyDescent="0.35">
      <c r="E421" s="2"/>
      <c r="F421" s="2">
        <f>_xlfn.XLOOKUP(D421,TIPOS_CAMBIO!A:A,TIPOS_CAMBIO!B:B,"",0)</f>
        <v>0</v>
      </c>
      <c r="G421" s="3">
        <f t="shared" si="12"/>
        <v>0</v>
      </c>
      <c r="H421" s="3"/>
      <c r="I421" s="3">
        <f ca="1">IFERROR(_xludf.XLOOKUP("Seguro",PARAMETROS_IMPORTACION!$A:$A,PARAMETROS_IMPORTACION!$C:$C,0),0)</f>
        <v>0</v>
      </c>
      <c r="J421" s="3">
        <f ca="1">IFERROR(_xludf.XLOOKUP("Arancel",PARAMETROS_IMPORTACION!$A:$A,PARAMETROS_IMPORTACION!$C:$C,0),0)</f>
        <v>0</v>
      </c>
      <c r="K421" s="2">
        <f ca="1">IFERROR(_xludf.XLOOKUP("Gastos_Aduana",PARAMETROS_IMPORTACION!$A:$A,PARAMETROS_IMPORTACION!$C:$C,0),0)</f>
        <v>0</v>
      </c>
      <c r="L421" s="2">
        <f t="shared" si="13"/>
        <v>0</v>
      </c>
    </row>
    <row r="422" spans="5:12" x14ac:dyDescent="0.35">
      <c r="E422" s="2"/>
      <c r="F422" s="2">
        <f>_xlfn.XLOOKUP(D422,TIPOS_CAMBIO!A:A,TIPOS_CAMBIO!B:B,"",0)</f>
        <v>0</v>
      </c>
      <c r="G422" s="3">
        <f t="shared" si="12"/>
        <v>0</v>
      </c>
      <c r="H422" s="3"/>
      <c r="I422" s="3">
        <f ca="1">IFERROR(_xludf.XLOOKUP("Seguro",PARAMETROS_IMPORTACION!$A:$A,PARAMETROS_IMPORTACION!$C:$C,0),0)</f>
        <v>0</v>
      </c>
      <c r="J422" s="3">
        <f ca="1">IFERROR(_xludf.XLOOKUP("Arancel",PARAMETROS_IMPORTACION!$A:$A,PARAMETROS_IMPORTACION!$C:$C,0),0)</f>
        <v>0</v>
      </c>
      <c r="K422" s="2">
        <f ca="1">IFERROR(_xludf.XLOOKUP("Gastos_Aduana",PARAMETROS_IMPORTACION!$A:$A,PARAMETROS_IMPORTACION!$C:$C,0),0)</f>
        <v>0</v>
      </c>
      <c r="L422" s="2">
        <f t="shared" si="13"/>
        <v>0</v>
      </c>
    </row>
    <row r="423" spans="5:12" x14ac:dyDescent="0.35">
      <c r="E423" s="2"/>
      <c r="F423" s="2">
        <f>_xlfn.XLOOKUP(D423,TIPOS_CAMBIO!A:A,TIPOS_CAMBIO!B:B,"",0)</f>
        <v>0</v>
      </c>
      <c r="G423" s="3">
        <f t="shared" si="12"/>
        <v>0</v>
      </c>
      <c r="H423" s="3"/>
      <c r="I423" s="3">
        <f ca="1">IFERROR(_xludf.XLOOKUP("Seguro",PARAMETROS_IMPORTACION!$A:$A,PARAMETROS_IMPORTACION!$C:$C,0),0)</f>
        <v>0</v>
      </c>
      <c r="J423" s="3">
        <f ca="1">IFERROR(_xludf.XLOOKUP("Arancel",PARAMETROS_IMPORTACION!$A:$A,PARAMETROS_IMPORTACION!$C:$C,0),0)</f>
        <v>0</v>
      </c>
      <c r="K423" s="2">
        <f ca="1">IFERROR(_xludf.XLOOKUP("Gastos_Aduana",PARAMETROS_IMPORTACION!$A:$A,PARAMETROS_IMPORTACION!$C:$C,0),0)</f>
        <v>0</v>
      </c>
      <c r="L423" s="2">
        <f t="shared" si="13"/>
        <v>0</v>
      </c>
    </row>
    <row r="424" spans="5:12" x14ac:dyDescent="0.35">
      <c r="E424" s="2"/>
      <c r="F424" s="2">
        <f>_xlfn.XLOOKUP(D424,TIPOS_CAMBIO!A:A,TIPOS_CAMBIO!B:B,"",0)</f>
        <v>0</v>
      </c>
      <c r="G424" s="3">
        <f t="shared" si="12"/>
        <v>0</v>
      </c>
      <c r="H424" s="3"/>
      <c r="I424" s="3">
        <f ca="1">IFERROR(_xludf.XLOOKUP("Seguro",PARAMETROS_IMPORTACION!$A:$A,PARAMETROS_IMPORTACION!$C:$C,0),0)</f>
        <v>0</v>
      </c>
      <c r="J424" s="3">
        <f ca="1">IFERROR(_xludf.XLOOKUP("Arancel",PARAMETROS_IMPORTACION!$A:$A,PARAMETROS_IMPORTACION!$C:$C,0),0)</f>
        <v>0</v>
      </c>
      <c r="K424" s="2">
        <f ca="1">IFERROR(_xludf.XLOOKUP("Gastos_Aduana",PARAMETROS_IMPORTACION!$A:$A,PARAMETROS_IMPORTACION!$C:$C,0),0)</f>
        <v>0</v>
      </c>
      <c r="L424" s="2">
        <f t="shared" si="13"/>
        <v>0</v>
      </c>
    </row>
    <row r="425" spans="5:12" x14ac:dyDescent="0.35">
      <c r="E425" s="2"/>
      <c r="F425" s="2">
        <f>_xlfn.XLOOKUP(D425,TIPOS_CAMBIO!A:A,TIPOS_CAMBIO!B:B,"",0)</f>
        <v>0</v>
      </c>
      <c r="G425" s="3">
        <f t="shared" si="12"/>
        <v>0</v>
      </c>
      <c r="H425" s="3"/>
      <c r="I425" s="3">
        <f ca="1">IFERROR(_xludf.XLOOKUP("Seguro",PARAMETROS_IMPORTACION!$A:$A,PARAMETROS_IMPORTACION!$C:$C,0),0)</f>
        <v>0</v>
      </c>
      <c r="J425" s="3">
        <f ca="1">IFERROR(_xludf.XLOOKUP("Arancel",PARAMETROS_IMPORTACION!$A:$A,PARAMETROS_IMPORTACION!$C:$C,0),0)</f>
        <v>0</v>
      </c>
      <c r="K425" s="2">
        <f ca="1">IFERROR(_xludf.XLOOKUP("Gastos_Aduana",PARAMETROS_IMPORTACION!$A:$A,PARAMETROS_IMPORTACION!$C:$C,0),0)</f>
        <v>0</v>
      </c>
      <c r="L425" s="2">
        <f t="shared" si="13"/>
        <v>0</v>
      </c>
    </row>
    <row r="426" spans="5:12" x14ac:dyDescent="0.35">
      <c r="E426" s="2"/>
      <c r="F426" s="2">
        <f>_xlfn.XLOOKUP(D426,TIPOS_CAMBIO!A:A,TIPOS_CAMBIO!B:B,"",0)</f>
        <v>0</v>
      </c>
      <c r="G426" s="3">
        <f t="shared" si="12"/>
        <v>0</v>
      </c>
      <c r="H426" s="3"/>
      <c r="I426" s="3">
        <f ca="1">IFERROR(_xludf.XLOOKUP("Seguro",PARAMETROS_IMPORTACION!$A:$A,PARAMETROS_IMPORTACION!$C:$C,0),0)</f>
        <v>0</v>
      </c>
      <c r="J426" s="3">
        <f ca="1">IFERROR(_xludf.XLOOKUP("Arancel",PARAMETROS_IMPORTACION!$A:$A,PARAMETROS_IMPORTACION!$C:$C,0),0)</f>
        <v>0</v>
      </c>
      <c r="K426" s="2">
        <f ca="1">IFERROR(_xludf.XLOOKUP("Gastos_Aduana",PARAMETROS_IMPORTACION!$A:$A,PARAMETROS_IMPORTACION!$C:$C,0),0)</f>
        <v>0</v>
      </c>
      <c r="L426" s="2">
        <f t="shared" si="13"/>
        <v>0</v>
      </c>
    </row>
    <row r="427" spans="5:12" x14ac:dyDescent="0.35">
      <c r="E427" s="2"/>
      <c r="F427" s="2">
        <f>_xlfn.XLOOKUP(D427,TIPOS_CAMBIO!A:A,TIPOS_CAMBIO!B:B,"",0)</f>
        <v>0</v>
      </c>
      <c r="G427" s="3">
        <f t="shared" si="12"/>
        <v>0</v>
      </c>
      <c r="H427" s="3"/>
      <c r="I427" s="3">
        <f ca="1">IFERROR(_xludf.XLOOKUP("Seguro",PARAMETROS_IMPORTACION!$A:$A,PARAMETROS_IMPORTACION!$C:$C,0),0)</f>
        <v>0</v>
      </c>
      <c r="J427" s="3">
        <f ca="1">IFERROR(_xludf.XLOOKUP("Arancel",PARAMETROS_IMPORTACION!$A:$A,PARAMETROS_IMPORTACION!$C:$C,0),0)</f>
        <v>0</v>
      </c>
      <c r="K427" s="2">
        <f ca="1">IFERROR(_xludf.XLOOKUP("Gastos_Aduana",PARAMETROS_IMPORTACION!$A:$A,PARAMETROS_IMPORTACION!$C:$C,0),0)</f>
        <v>0</v>
      </c>
      <c r="L427" s="2">
        <f t="shared" si="13"/>
        <v>0</v>
      </c>
    </row>
    <row r="428" spans="5:12" x14ac:dyDescent="0.35">
      <c r="E428" s="2"/>
      <c r="F428" s="2">
        <f>_xlfn.XLOOKUP(D428,TIPOS_CAMBIO!A:A,TIPOS_CAMBIO!B:B,"",0)</f>
        <v>0</v>
      </c>
      <c r="G428" s="3">
        <f t="shared" si="12"/>
        <v>0</v>
      </c>
      <c r="H428" s="3"/>
      <c r="I428" s="3">
        <f ca="1">IFERROR(_xludf.XLOOKUP("Seguro",PARAMETROS_IMPORTACION!$A:$A,PARAMETROS_IMPORTACION!$C:$C,0),0)</f>
        <v>0</v>
      </c>
      <c r="J428" s="3">
        <f ca="1">IFERROR(_xludf.XLOOKUP("Arancel",PARAMETROS_IMPORTACION!$A:$A,PARAMETROS_IMPORTACION!$C:$C,0),0)</f>
        <v>0</v>
      </c>
      <c r="K428" s="2">
        <f ca="1">IFERROR(_xludf.XLOOKUP("Gastos_Aduana",PARAMETROS_IMPORTACION!$A:$A,PARAMETROS_IMPORTACION!$C:$C,0),0)</f>
        <v>0</v>
      </c>
      <c r="L428" s="2">
        <f t="shared" si="13"/>
        <v>0</v>
      </c>
    </row>
    <row r="429" spans="5:12" x14ac:dyDescent="0.35">
      <c r="E429" s="2"/>
      <c r="F429" s="2">
        <f>_xlfn.XLOOKUP(D429,TIPOS_CAMBIO!A:A,TIPOS_CAMBIO!B:B,"",0)</f>
        <v>0</v>
      </c>
      <c r="G429" s="3">
        <f t="shared" si="12"/>
        <v>0</v>
      </c>
      <c r="H429" s="3"/>
      <c r="I429" s="3">
        <f ca="1">IFERROR(_xludf.XLOOKUP("Seguro",PARAMETROS_IMPORTACION!$A:$A,PARAMETROS_IMPORTACION!$C:$C,0),0)</f>
        <v>0</v>
      </c>
      <c r="J429" s="3">
        <f ca="1">IFERROR(_xludf.XLOOKUP("Arancel",PARAMETROS_IMPORTACION!$A:$A,PARAMETROS_IMPORTACION!$C:$C,0),0)</f>
        <v>0</v>
      </c>
      <c r="K429" s="2">
        <f ca="1">IFERROR(_xludf.XLOOKUP("Gastos_Aduana",PARAMETROS_IMPORTACION!$A:$A,PARAMETROS_IMPORTACION!$C:$C,0),0)</f>
        <v>0</v>
      </c>
      <c r="L429" s="2">
        <f t="shared" si="13"/>
        <v>0</v>
      </c>
    </row>
    <row r="430" spans="5:12" x14ac:dyDescent="0.35">
      <c r="E430" s="2"/>
      <c r="F430" s="2">
        <f>_xlfn.XLOOKUP(D430,TIPOS_CAMBIO!A:A,TIPOS_CAMBIO!B:B,"",0)</f>
        <v>0</v>
      </c>
      <c r="G430" s="3">
        <f t="shared" si="12"/>
        <v>0</v>
      </c>
      <c r="H430" s="3"/>
      <c r="I430" s="3">
        <f ca="1">IFERROR(_xludf.XLOOKUP("Seguro",PARAMETROS_IMPORTACION!$A:$A,PARAMETROS_IMPORTACION!$C:$C,0),0)</f>
        <v>0</v>
      </c>
      <c r="J430" s="3">
        <f ca="1">IFERROR(_xludf.XLOOKUP("Arancel",PARAMETROS_IMPORTACION!$A:$A,PARAMETROS_IMPORTACION!$C:$C,0),0)</f>
        <v>0</v>
      </c>
      <c r="K430" s="2">
        <f ca="1">IFERROR(_xludf.XLOOKUP("Gastos_Aduana",PARAMETROS_IMPORTACION!$A:$A,PARAMETROS_IMPORTACION!$C:$C,0),0)</f>
        <v>0</v>
      </c>
      <c r="L430" s="2">
        <f t="shared" si="13"/>
        <v>0</v>
      </c>
    </row>
    <row r="431" spans="5:12" x14ac:dyDescent="0.35">
      <c r="E431" s="2"/>
      <c r="F431" s="2">
        <f>_xlfn.XLOOKUP(D431,TIPOS_CAMBIO!A:A,TIPOS_CAMBIO!B:B,"",0)</f>
        <v>0</v>
      </c>
      <c r="G431" s="3">
        <f t="shared" si="12"/>
        <v>0</v>
      </c>
      <c r="H431" s="3"/>
      <c r="I431" s="3">
        <f ca="1">IFERROR(_xludf.XLOOKUP("Seguro",PARAMETROS_IMPORTACION!$A:$A,PARAMETROS_IMPORTACION!$C:$C,0),0)</f>
        <v>0</v>
      </c>
      <c r="J431" s="3">
        <f ca="1">IFERROR(_xludf.XLOOKUP("Arancel",PARAMETROS_IMPORTACION!$A:$A,PARAMETROS_IMPORTACION!$C:$C,0),0)</f>
        <v>0</v>
      </c>
      <c r="K431" s="2">
        <f ca="1">IFERROR(_xludf.XLOOKUP("Gastos_Aduana",PARAMETROS_IMPORTACION!$A:$A,PARAMETROS_IMPORTACION!$C:$C,0),0)</f>
        <v>0</v>
      </c>
      <c r="L431" s="2">
        <f t="shared" si="13"/>
        <v>0</v>
      </c>
    </row>
    <row r="432" spans="5:12" x14ac:dyDescent="0.35">
      <c r="E432" s="2"/>
      <c r="F432" s="2">
        <f>_xlfn.XLOOKUP(D432,TIPOS_CAMBIO!A:A,TIPOS_CAMBIO!B:B,"",0)</f>
        <v>0</v>
      </c>
      <c r="G432" s="3">
        <f t="shared" si="12"/>
        <v>0</v>
      </c>
      <c r="H432" s="3"/>
      <c r="I432" s="3">
        <f ca="1">IFERROR(_xludf.XLOOKUP("Seguro",PARAMETROS_IMPORTACION!$A:$A,PARAMETROS_IMPORTACION!$C:$C,0),0)</f>
        <v>0</v>
      </c>
      <c r="J432" s="3">
        <f ca="1">IFERROR(_xludf.XLOOKUP("Arancel",PARAMETROS_IMPORTACION!$A:$A,PARAMETROS_IMPORTACION!$C:$C,0),0)</f>
        <v>0</v>
      </c>
      <c r="K432" s="2">
        <f ca="1">IFERROR(_xludf.XLOOKUP("Gastos_Aduana",PARAMETROS_IMPORTACION!$A:$A,PARAMETROS_IMPORTACION!$C:$C,0),0)</f>
        <v>0</v>
      </c>
      <c r="L432" s="2">
        <f t="shared" si="13"/>
        <v>0</v>
      </c>
    </row>
    <row r="433" spans="5:12" x14ac:dyDescent="0.35">
      <c r="E433" s="2"/>
      <c r="F433" s="2">
        <f>_xlfn.XLOOKUP(D433,TIPOS_CAMBIO!A:A,TIPOS_CAMBIO!B:B,"",0)</f>
        <v>0</v>
      </c>
      <c r="G433" s="3">
        <f t="shared" si="12"/>
        <v>0</v>
      </c>
      <c r="H433" s="3"/>
      <c r="I433" s="3">
        <f ca="1">IFERROR(_xludf.XLOOKUP("Seguro",PARAMETROS_IMPORTACION!$A:$A,PARAMETROS_IMPORTACION!$C:$C,0),0)</f>
        <v>0</v>
      </c>
      <c r="J433" s="3">
        <f ca="1">IFERROR(_xludf.XLOOKUP("Arancel",PARAMETROS_IMPORTACION!$A:$A,PARAMETROS_IMPORTACION!$C:$C,0),0)</f>
        <v>0</v>
      </c>
      <c r="K433" s="2">
        <f ca="1">IFERROR(_xludf.XLOOKUP("Gastos_Aduana",PARAMETROS_IMPORTACION!$A:$A,PARAMETROS_IMPORTACION!$C:$C,0),0)</f>
        <v>0</v>
      </c>
      <c r="L433" s="2">
        <f t="shared" si="13"/>
        <v>0</v>
      </c>
    </row>
    <row r="434" spans="5:12" x14ac:dyDescent="0.35">
      <c r="E434" s="2"/>
      <c r="F434" s="2">
        <f>_xlfn.XLOOKUP(D434,TIPOS_CAMBIO!A:A,TIPOS_CAMBIO!B:B,"",0)</f>
        <v>0</v>
      </c>
      <c r="G434" s="3">
        <f t="shared" si="12"/>
        <v>0</v>
      </c>
      <c r="H434" s="3"/>
      <c r="I434" s="3">
        <f ca="1">IFERROR(_xludf.XLOOKUP("Seguro",PARAMETROS_IMPORTACION!$A:$A,PARAMETROS_IMPORTACION!$C:$C,0),0)</f>
        <v>0</v>
      </c>
      <c r="J434" s="3">
        <f ca="1">IFERROR(_xludf.XLOOKUP("Arancel",PARAMETROS_IMPORTACION!$A:$A,PARAMETROS_IMPORTACION!$C:$C,0),0)</f>
        <v>0</v>
      </c>
      <c r="K434" s="2">
        <f ca="1">IFERROR(_xludf.XLOOKUP("Gastos_Aduana",PARAMETROS_IMPORTACION!$A:$A,PARAMETROS_IMPORTACION!$C:$C,0),0)</f>
        <v>0</v>
      </c>
      <c r="L434" s="2">
        <f t="shared" si="13"/>
        <v>0</v>
      </c>
    </row>
    <row r="435" spans="5:12" x14ac:dyDescent="0.35">
      <c r="E435" s="2"/>
      <c r="F435" s="2">
        <f>_xlfn.XLOOKUP(D435,TIPOS_CAMBIO!A:A,TIPOS_CAMBIO!B:B,"",0)</f>
        <v>0</v>
      </c>
      <c r="G435" s="3">
        <f t="shared" si="12"/>
        <v>0</v>
      </c>
      <c r="H435" s="3"/>
      <c r="I435" s="3">
        <f ca="1">IFERROR(_xludf.XLOOKUP("Seguro",PARAMETROS_IMPORTACION!$A:$A,PARAMETROS_IMPORTACION!$C:$C,0),0)</f>
        <v>0</v>
      </c>
      <c r="J435" s="3">
        <f ca="1">IFERROR(_xludf.XLOOKUP("Arancel",PARAMETROS_IMPORTACION!$A:$A,PARAMETROS_IMPORTACION!$C:$C,0),0)</f>
        <v>0</v>
      </c>
      <c r="K435" s="2">
        <f ca="1">IFERROR(_xludf.XLOOKUP("Gastos_Aduana",PARAMETROS_IMPORTACION!$A:$A,PARAMETROS_IMPORTACION!$C:$C,0),0)</f>
        <v>0</v>
      </c>
      <c r="L435" s="2">
        <f t="shared" si="13"/>
        <v>0</v>
      </c>
    </row>
    <row r="436" spans="5:12" x14ac:dyDescent="0.35">
      <c r="E436" s="2"/>
      <c r="F436" s="2">
        <f>_xlfn.XLOOKUP(D436,TIPOS_CAMBIO!A:A,TIPOS_CAMBIO!B:B,"",0)</f>
        <v>0</v>
      </c>
      <c r="G436" s="3">
        <f t="shared" si="12"/>
        <v>0</v>
      </c>
      <c r="H436" s="3"/>
      <c r="I436" s="3">
        <f ca="1">IFERROR(_xludf.XLOOKUP("Seguro",PARAMETROS_IMPORTACION!$A:$A,PARAMETROS_IMPORTACION!$C:$C,0),0)</f>
        <v>0</v>
      </c>
      <c r="J436" s="3">
        <f ca="1">IFERROR(_xludf.XLOOKUP("Arancel",PARAMETROS_IMPORTACION!$A:$A,PARAMETROS_IMPORTACION!$C:$C,0),0)</f>
        <v>0</v>
      </c>
      <c r="K436" s="2">
        <f ca="1">IFERROR(_xludf.XLOOKUP("Gastos_Aduana",PARAMETROS_IMPORTACION!$A:$A,PARAMETROS_IMPORTACION!$C:$C,0),0)</f>
        <v>0</v>
      </c>
      <c r="L436" s="2">
        <f t="shared" si="13"/>
        <v>0</v>
      </c>
    </row>
    <row r="437" spans="5:12" x14ac:dyDescent="0.35">
      <c r="E437" s="2"/>
      <c r="F437" s="2">
        <f>_xlfn.XLOOKUP(D437,TIPOS_CAMBIO!A:A,TIPOS_CAMBIO!B:B,"",0)</f>
        <v>0</v>
      </c>
      <c r="G437" s="3">
        <f t="shared" si="12"/>
        <v>0</v>
      </c>
      <c r="H437" s="3"/>
      <c r="I437" s="3">
        <f ca="1">IFERROR(_xludf.XLOOKUP("Seguro",PARAMETROS_IMPORTACION!$A:$A,PARAMETROS_IMPORTACION!$C:$C,0),0)</f>
        <v>0</v>
      </c>
      <c r="J437" s="3">
        <f ca="1">IFERROR(_xludf.XLOOKUP("Arancel",PARAMETROS_IMPORTACION!$A:$A,PARAMETROS_IMPORTACION!$C:$C,0),0)</f>
        <v>0</v>
      </c>
      <c r="K437" s="2">
        <f ca="1">IFERROR(_xludf.XLOOKUP("Gastos_Aduana",PARAMETROS_IMPORTACION!$A:$A,PARAMETROS_IMPORTACION!$C:$C,0),0)</f>
        <v>0</v>
      </c>
      <c r="L437" s="2">
        <f t="shared" si="13"/>
        <v>0</v>
      </c>
    </row>
    <row r="438" spans="5:12" x14ac:dyDescent="0.35">
      <c r="E438" s="2"/>
      <c r="F438" s="2">
        <f>_xlfn.XLOOKUP(D438,TIPOS_CAMBIO!A:A,TIPOS_CAMBIO!B:B,"",0)</f>
        <v>0</v>
      </c>
      <c r="G438" s="3">
        <f t="shared" si="12"/>
        <v>0</v>
      </c>
      <c r="H438" s="3"/>
      <c r="I438" s="3">
        <f ca="1">IFERROR(_xludf.XLOOKUP("Seguro",PARAMETROS_IMPORTACION!$A:$A,PARAMETROS_IMPORTACION!$C:$C,0),0)</f>
        <v>0</v>
      </c>
      <c r="J438" s="3">
        <f ca="1">IFERROR(_xludf.XLOOKUP("Arancel",PARAMETROS_IMPORTACION!$A:$A,PARAMETROS_IMPORTACION!$C:$C,0),0)</f>
        <v>0</v>
      </c>
      <c r="K438" s="2">
        <f ca="1">IFERROR(_xludf.XLOOKUP("Gastos_Aduana",PARAMETROS_IMPORTACION!$A:$A,PARAMETROS_IMPORTACION!$C:$C,0),0)</f>
        <v>0</v>
      </c>
      <c r="L438" s="2">
        <f t="shared" si="13"/>
        <v>0</v>
      </c>
    </row>
    <row r="439" spans="5:12" x14ac:dyDescent="0.35">
      <c r="E439" s="2"/>
      <c r="F439" s="2">
        <f>_xlfn.XLOOKUP(D439,TIPOS_CAMBIO!A:A,TIPOS_CAMBIO!B:B,"",0)</f>
        <v>0</v>
      </c>
      <c r="G439" s="3">
        <f t="shared" si="12"/>
        <v>0</v>
      </c>
      <c r="H439" s="3"/>
      <c r="I439" s="3">
        <f ca="1">IFERROR(_xludf.XLOOKUP("Seguro",PARAMETROS_IMPORTACION!$A:$A,PARAMETROS_IMPORTACION!$C:$C,0),0)</f>
        <v>0</v>
      </c>
      <c r="J439" s="3">
        <f ca="1">IFERROR(_xludf.XLOOKUP("Arancel",PARAMETROS_IMPORTACION!$A:$A,PARAMETROS_IMPORTACION!$C:$C,0),0)</f>
        <v>0</v>
      </c>
      <c r="K439" s="2">
        <f ca="1">IFERROR(_xludf.XLOOKUP("Gastos_Aduana",PARAMETROS_IMPORTACION!$A:$A,PARAMETROS_IMPORTACION!$C:$C,0),0)</f>
        <v>0</v>
      </c>
      <c r="L439" s="2">
        <f t="shared" si="13"/>
        <v>0</v>
      </c>
    </row>
    <row r="440" spans="5:12" x14ac:dyDescent="0.35">
      <c r="E440" s="2"/>
      <c r="F440" s="2">
        <f>_xlfn.XLOOKUP(D440,TIPOS_CAMBIO!A:A,TIPOS_CAMBIO!B:B,"",0)</f>
        <v>0</v>
      </c>
      <c r="G440" s="3">
        <f t="shared" si="12"/>
        <v>0</v>
      </c>
      <c r="H440" s="3"/>
      <c r="I440" s="3">
        <f ca="1">IFERROR(_xludf.XLOOKUP("Seguro",PARAMETROS_IMPORTACION!$A:$A,PARAMETROS_IMPORTACION!$C:$C,0),0)</f>
        <v>0</v>
      </c>
      <c r="J440" s="3">
        <f ca="1">IFERROR(_xludf.XLOOKUP("Arancel",PARAMETROS_IMPORTACION!$A:$A,PARAMETROS_IMPORTACION!$C:$C,0),0)</f>
        <v>0</v>
      </c>
      <c r="K440" s="2">
        <f ca="1">IFERROR(_xludf.XLOOKUP("Gastos_Aduana",PARAMETROS_IMPORTACION!$A:$A,PARAMETROS_IMPORTACION!$C:$C,0),0)</f>
        <v>0</v>
      </c>
      <c r="L440" s="2">
        <f t="shared" si="13"/>
        <v>0</v>
      </c>
    </row>
    <row r="441" spans="5:12" x14ac:dyDescent="0.35">
      <c r="E441" s="2"/>
      <c r="F441" s="2">
        <f>_xlfn.XLOOKUP(D441,TIPOS_CAMBIO!A:A,TIPOS_CAMBIO!B:B,"",0)</f>
        <v>0</v>
      </c>
      <c r="G441" s="3">
        <f t="shared" si="12"/>
        <v>0</v>
      </c>
      <c r="H441" s="3"/>
      <c r="I441" s="3">
        <f ca="1">IFERROR(_xludf.XLOOKUP("Seguro",PARAMETROS_IMPORTACION!$A:$A,PARAMETROS_IMPORTACION!$C:$C,0),0)</f>
        <v>0</v>
      </c>
      <c r="J441" s="3">
        <f ca="1">IFERROR(_xludf.XLOOKUP("Arancel",PARAMETROS_IMPORTACION!$A:$A,PARAMETROS_IMPORTACION!$C:$C,0),0)</f>
        <v>0</v>
      </c>
      <c r="K441" s="2">
        <f ca="1">IFERROR(_xludf.XLOOKUP("Gastos_Aduana",PARAMETROS_IMPORTACION!$A:$A,PARAMETROS_IMPORTACION!$C:$C,0),0)</f>
        <v>0</v>
      </c>
      <c r="L441" s="2">
        <f t="shared" si="13"/>
        <v>0</v>
      </c>
    </row>
    <row r="442" spans="5:12" x14ac:dyDescent="0.35">
      <c r="E442" s="2"/>
      <c r="F442" s="2">
        <f>_xlfn.XLOOKUP(D442,TIPOS_CAMBIO!A:A,TIPOS_CAMBIO!B:B,"",0)</f>
        <v>0</v>
      </c>
      <c r="G442" s="3">
        <f t="shared" si="12"/>
        <v>0</v>
      </c>
      <c r="H442" s="3"/>
      <c r="I442" s="3">
        <f ca="1">IFERROR(_xludf.XLOOKUP("Seguro",PARAMETROS_IMPORTACION!$A:$A,PARAMETROS_IMPORTACION!$C:$C,0),0)</f>
        <v>0</v>
      </c>
      <c r="J442" s="3">
        <f ca="1">IFERROR(_xludf.XLOOKUP("Arancel",PARAMETROS_IMPORTACION!$A:$A,PARAMETROS_IMPORTACION!$C:$C,0),0)</f>
        <v>0</v>
      </c>
      <c r="K442" s="2">
        <f ca="1">IFERROR(_xludf.XLOOKUP("Gastos_Aduana",PARAMETROS_IMPORTACION!$A:$A,PARAMETROS_IMPORTACION!$C:$C,0),0)</f>
        <v>0</v>
      </c>
      <c r="L442" s="2">
        <f t="shared" si="13"/>
        <v>0</v>
      </c>
    </row>
    <row r="443" spans="5:12" x14ac:dyDescent="0.35">
      <c r="E443" s="2"/>
      <c r="F443" s="2">
        <f>_xlfn.XLOOKUP(D443,TIPOS_CAMBIO!A:A,TIPOS_CAMBIO!B:B,"",0)</f>
        <v>0</v>
      </c>
      <c r="G443" s="3">
        <f t="shared" si="12"/>
        <v>0</v>
      </c>
      <c r="H443" s="3"/>
      <c r="I443" s="3">
        <f ca="1">IFERROR(_xludf.XLOOKUP("Seguro",PARAMETROS_IMPORTACION!$A:$A,PARAMETROS_IMPORTACION!$C:$C,0),0)</f>
        <v>0</v>
      </c>
      <c r="J443" s="3">
        <f ca="1">IFERROR(_xludf.XLOOKUP("Arancel",PARAMETROS_IMPORTACION!$A:$A,PARAMETROS_IMPORTACION!$C:$C,0),0)</f>
        <v>0</v>
      </c>
      <c r="K443" s="2">
        <f ca="1">IFERROR(_xludf.XLOOKUP("Gastos_Aduana",PARAMETROS_IMPORTACION!$A:$A,PARAMETROS_IMPORTACION!$C:$C,0),0)</f>
        <v>0</v>
      </c>
      <c r="L443" s="2">
        <f t="shared" si="13"/>
        <v>0</v>
      </c>
    </row>
    <row r="444" spans="5:12" x14ac:dyDescent="0.35">
      <c r="E444" s="2"/>
      <c r="F444" s="2">
        <f>_xlfn.XLOOKUP(D444,TIPOS_CAMBIO!A:A,TIPOS_CAMBIO!B:B,"",0)</f>
        <v>0</v>
      </c>
      <c r="G444" s="3">
        <f t="shared" si="12"/>
        <v>0</v>
      </c>
      <c r="H444" s="3"/>
      <c r="I444" s="3">
        <f ca="1">IFERROR(_xludf.XLOOKUP("Seguro",PARAMETROS_IMPORTACION!$A:$A,PARAMETROS_IMPORTACION!$C:$C,0),0)</f>
        <v>0</v>
      </c>
      <c r="J444" s="3">
        <f ca="1">IFERROR(_xludf.XLOOKUP("Arancel",PARAMETROS_IMPORTACION!$A:$A,PARAMETROS_IMPORTACION!$C:$C,0),0)</f>
        <v>0</v>
      </c>
      <c r="K444" s="2">
        <f ca="1">IFERROR(_xludf.XLOOKUP("Gastos_Aduana",PARAMETROS_IMPORTACION!$A:$A,PARAMETROS_IMPORTACION!$C:$C,0),0)</f>
        <v>0</v>
      </c>
      <c r="L444" s="2">
        <f t="shared" si="13"/>
        <v>0</v>
      </c>
    </row>
    <row r="445" spans="5:12" x14ac:dyDescent="0.35">
      <c r="E445" s="2"/>
      <c r="F445" s="2">
        <f>_xlfn.XLOOKUP(D445,TIPOS_CAMBIO!A:A,TIPOS_CAMBIO!B:B,"",0)</f>
        <v>0</v>
      </c>
      <c r="G445" s="3">
        <f t="shared" si="12"/>
        <v>0</v>
      </c>
      <c r="H445" s="3"/>
      <c r="I445" s="3">
        <f ca="1">IFERROR(_xludf.XLOOKUP("Seguro",PARAMETROS_IMPORTACION!$A:$A,PARAMETROS_IMPORTACION!$C:$C,0),0)</f>
        <v>0</v>
      </c>
      <c r="J445" s="3">
        <f ca="1">IFERROR(_xludf.XLOOKUP("Arancel",PARAMETROS_IMPORTACION!$A:$A,PARAMETROS_IMPORTACION!$C:$C,0),0)</f>
        <v>0</v>
      </c>
      <c r="K445" s="2">
        <f ca="1">IFERROR(_xludf.XLOOKUP("Gastos_Aduana",PARAMETROS_IMPORTACION!$A:$A,PARAMETROS_IMPORTACION!$C:$C,0),0)</f>
        <v>0</v>
      </c>
      <c r="L445" s="2">
        <f t="shared" si="13"/>
        <v>0</v>
      </c>
    </row>
    <row r="446" spans="5:12" x14ac:dyDescent="0.35">
      <c r="E446" s="2"/>
      <c r="F446" s="2">
        <f>_xlfn.XLOOKUP(D446,TIPOS_CAMBIO!A:A,TIPOS_CAMBIO!B:B,"",0)</f>
        <v>0</v>
      </c>
      <c r="G446" s="3">
        <f t="shared" si="12"/>
        <v>0</v>
      </c>
      <c r="H446" s="3"/>
      <c r="I446" s="3">
        <f ca="1">IFERROR(_xludf.XLOOKUP("Seguro",PARAMETROS_IMPORTACION!$A:$A,PARAMETROS_IMPORTACION!$C:$C,0),0)</f>
        <v>0</v>
      </c>
      <c r="J446" s="3">
        <f ca="1">IFERROR(_xludf.XLOOKUP("Arancel",PARAMETROS_IMPORTACION!$A:$A,PARAMETROS_IMPORTACION!$C:$C,0),0)</f>
        <v>0</v>
      </c>
      <c r="K446" s="2">
        <f ca="1">IFERROR(_xludf.XLOOKUP("Gastos_Aduana",PARAMETROS_IMPORTACION!$A:$A,PARAMETROS_IMPORTACION!$C:$C,0),0)</f>
        <v>0</v>
      </c>
      <c r="L446" s="2">
        <f t="shared" si="13"/>
        <v>0</v>
      </c>
    </row>
    <row r="447" spans="5:12" x14ac:dyDescent="0.35">
      <c r="E447" s="2"/>
      <c r="F447" s="2">
        <f>_xlfn.XLOOKUP(D447,TIPOS_CAMBIO!A:A,TIPOS_CAMBIO!B:B,"",0)</f>
        <v>0</v>
      </c>
      <c r="G447" s="3">
        <f t="shared" si="12"/>
        <v>0</v>
      </c>
      <c r="H447" s="3"/>
      <c r="I447" s="3">
        <f ca="1">IFERROR(_xludf.XLOOKUP("Seguro",PARAMETROS_IMPORTACION!$A:$A,PARAMETROS_IMPORTACION!$C:$C,0),0)</f>
        <v>0</v>
      </c>
      <c r="J447" s="3">
        <f ca="1">IFERROR(_xludf.XLOOKUP("Arancel",PARAMETROS_IMPORTACION!$A:$A,PARAMETROS_IMPORTACION!$C:$C,0),0)</f>
        <v>0</v>
      </c>
      <c r="K447" s="2">
        <f ca="1">IFERROR(_xludf.XLOOKUP("Gastos_Aduana",PARAMETROS_IMPORTACION!$A:$A,PARAMETROS_IMPORTACION!$C:$C,0),0)</f>
        <v>0</v>
      </c>
      <c r="L447" s="2">
        <f t="shared" si="13"/>
        <v>0</v>
      </c>
    </row>
    <row r="448" spans="5:12" x14ac:dyDescent="0.35">
      <c r="E448" s="2"/>
      <c r="F448" s="2">
        <f>_xlfn.XLOOKUP(D448,TIPOS_CAMBIO!A:A,TIPOS_CAMBIO!B:B,"",0)</f>
        <v>0</v>
      </c>
      <c r="G448" s="3">
        <f t="shared" si="12"/>
        <v>0</v>
      </c>
      <c r="H448" s="3"/>
      <c r="I448" s="3">
        <f ca="1">IFERROR(_xludf.XLOOKUP("Seguro",PARAMETROS_IMPORTACION!$A:$A,PARAMETROS_IMPORTACION!$C:$C,0),0)</f>
        <v>0</v>
      </c>
      <c r="J448" s="3">
        <f ca="1">IFERROR(_xludf.XLOOKUP("Arancel",PARAMETROS_IMPORTACION!$A:$A,PARAMETROS_IMPORTACION!$C:$C,0),0)</f>
        <v>0</v>
      </c>
      <c r="K448" s="2">
        <f ca="1">IFERROR(_xludf.XLOOKUP("Gastos_Aduana",PARAMETROS_IMPORTACION!$A:$A,PARAMETROS_IMPORTACION!$C:$C,0),0)</f>
        <v>0</v>
      </c>
      <c r="L448" s="2">
        <f t="shared" si="13"/>
        <v>0</v>
      </c>
    </row>
    <row r="449" spans="5:12" x14ac:dyDescent="0.35">
      <c r="E449" s="2"/>
      <c r="F449" s="2">
        <f>_xlfn.XLOOKUP(D449,TIPOS_CAMBIO!A:A,TIPOS_CAMBIO!B:B,"",0)</f>
        <v>0</v>
      </c>
      <c r="G449" s="3">
        <f t="shared" si="12"/>
        <v>0</v>
      </c>
      <c r="H449" s="3"/>
      <c r="I449" s="3">
        <f ca="1">IFERROR(_xludf.XLOOKUP("Seguro",PARAMETROS_IMPORTACION!$A:$A,PARAMETROS_IMPORTACION!$C:$C,0),0)</f>
        <v>0</v>
      </c>
      <c r="J449" s="3">
        <f ca="1">IFERROR(_xludf.XLOOKUP("Arancel",PARAMETROS_IMPORTACION!$A:$A,PARAMETROS_IMPORTACION!$C:$C,0),0)</f>
        <v>0</v>
      </c>
      <c r="K449" s="2">
        <f ca="1">IFERROR(_xludf.XLOOKUP("Gastos_Aduana",PARAMETROS_IMPORTACION!$A:$A,PARAMETROS_IMPORTACION!$C:$C,0),0)</f>
        <v>0</v>
      </c>
      <c r="L449" s="2">
        <f t="shared" si="13"/>
        <v>0</v>
      </c>
    </row>
    <row r="450" spans="5:12" x14ac:dyDescent="0.35">
      <c r="E450" s="2"/>
      <c r="F450" s="2">
        <f>_xlfn.XLOOKUP(D450,TIPOS_CAMBIO!A:A,TIPOS_CAMBIO!B:B,"",0)</f>
        <v>0</v>
      </c>
      <c r="G450" s="3">
        <f t="shared" ref="G450:G513" si="14">$E450*$F450</f>
        <v>0</v>
      </c>
      <c r="H450" s="3"/>
      <c r="I450" s="3">
        <f ca="1">IFERROR(_xludf.XLOOKUP("Seguro",PARAMETROS_IMPORTACION!$A:$A,PARAMETROS_IMPORTACION!$C:$C,0),0)</f>
        <v>0</v>
      </c>
      <c r="J450" s="3">
        <f ca="1">IFERROR(_xludf.XLOOKUP("Arancel",PARAMETROS_IMPORTACION!$A:$A,PARAMETROS_IMPORTACION!$C:$C,0),0)</f>
        <v>0</v>
      </c>
      <c r="K450" s="2">
        <f ca="1">IFERROR(_xludf.XLOOKUP("Gastos_Aduana",PARAMETROS_IMPORTACION!$A:$A,PARAMETROS_IMPORTACION!$C:$C,0),0)</f>
        <v>0</v>
      </c>
      <c r="L450" s="2">
        <f t="shared" si="13"/>
        <v>0</v>
      </c>
    </row>
    <row r="451" spans="5:12" x14ac:dyDescent="0.35">
      <c r="E451" s="2"/>
      <c r="F451" s="2">
        <f>_xlfn.XLOOKUP(D451,TIPOS_CAMBIO!A:A,TIPOS_CAMBIO!B:B,"",0)</f>
        <v>0</v>
      </c>
      <c r="G451" s="3">
        <f t="shared" si="14"/>
        <v>0</v>
      </c>
      <c r="H451" s="3"/>
      <c r="I451" s="3">
        <f ca="1">IFERROR(_xludf.XLOOKUP("Seguro",PARAMETROS_IMPORTACION!$A:$A,PARAMETROS_IMPORTACION!$C:$C,0),0)</f>
        <v>0</v>
      </c>
      <c r="J451" s="3">
        <f ca="1">IFERROR(_xludf.XLOOKUP("Arancel",PARAMETROS_IMPORTACION!$A:$A,PARAMETROS_IMPORTACION!$C:$C,0),0)</f>
        <v>0</v>
      </c>
      <c r="K451" s="2">
        <f ca="1">IFERROR(_xludf.XLOOKUP("Gastos_Aduana",PARAMETROS_IMPORTACION!$A:$A,PARAMETROS_IMPORTACION!$C:$C,0),0)</f>
        <v>0</v>
      </c>
      <c r="L451" s="2">
        <f t="shared" ref="L451:L514" si="15">IF($C451="Importado",$G451*(1+$H451+$I451+$J451)+$K451,$G451)</f>
        <v>0</v>
      </c>
    </row>
    <row r="452" spans="5:12" x14ac:dyDescent="0.35">
      <c r="E452" s="2"/>
      <c r="F452" s="2">
        <f>_xlfn.XLOOKUP(D452,TIPOS_CAMBIO!A:A,TIPOS_CAMBIO!B:B,"",0)</f>
        <v>0</v>
      </c>
      <c r="G452" s="3">
        <f t="shared" si="14"/>
        <v>0</v>
      </c>
      <c r="H452" s="3"/>
      <c r="I452" s="3">
        <f ca="1">IFERROR(_xludf.XLOOKUP("Seguro",PARAMETROS_IMPORTACION!$A:$A,PARAMETROS_IMPORTACION!$C:$C,0),0)</f>
        <v>0</v>
      </c>
      <c r="J452" s="3">
        <f ca="1">IFERROR(_xludf.XLOOKUP("Arancel",PARAMETROS_IMPORTACION!$A:$A,PARAMETROS_IMPORTACION!$C:$C,0),0)</f>
        <v>0</v>
      </c>
      <c r="K452" s="2">
        <f ca="1">IFERROR(_xludf.XLOOKUP("Gastos_Aduana",PARAMETROS_IMPORTACION!$A:$A,PARAMETROS_IMPORTACION!$C:$C,0),0)</f>
        <v>0</v>
      </c>
      <c r="L452" s="2">
        <f t="shared" si="15"/>
        <v>0</v>
      </c>
    </row>
    <row r="453" spans="5:12" x14ac:dyDescent="0.35">
      <c r="E453" s="2"/>
      <c r="F453" s="2">
        <f>_xlfn.XLOOKUP(D453,TIPOS_CAMBIO!A:A,TIPOS_CAMBIO!B:B,"",0)</f>
        <v>0</v>
      </c>
      <c r="G453" s="3">
        <f t="shared" si="14"/>
        <v>0</v>
      </c>
      <c r="H453" s="3"/>
      <c r="I453" s="3">
        <f ca="1">IFERROR(_xludf.XLOOKUP("Seguro",PARAMETROS_IMPORTACION!$A:$A,PARAMETROS_IMPORTACION!$C:$C,0),0)</f>
        <v>0</v>
      </c>
      <c r="J453" s="3">
        <f ca="1">IFERROR(_xludf.XLOOKUP("Arancel",PARAMETROS_IMPORTACION!$A:$A,PARAMETROS_IMPORTACION!$C:$C,0),0)</f>
        <v>0</v>
      </c>
      <c r="K453" s="2">
        <f ca="1">IFERROR(_xludf.XLOOKUP("Gastos_Aduana",PARAMETROS_IMPORTACION!$A:$A,PARAMETROS_IMPORTACION!$C:$C,0),0)</f>
        <v>0</v>
      </c>
      <c r="L453" s="2">
        <f t="shared" si="15"/>
        <v>0</v>
      </c>
    </row>
    <row r="454" spans="5:12" x14ac:dyDescent="0.35">
      <c r="E454" s="2"/>
      <c r="F454" s="2">
        <f>_xlfn.XLOOKUP(D454,TIPOS_CAMBIO!A:A,TIPOS_CAMBIO!B:B,"",0)</f>
        <v>0</v>
      </c>
      <c r="G454" s="3">
        <f t="shared" si="14"/>
        <v>0</v>
      </c>
      <c r="H454" s="3"/>
      <c r="I454" s="3">
        <f ca="1">IFERROR(_xludf.XLOOKUP("Seguro",PARAMETROS_IMPORTACION!$A:$A,PARAMETROS_IMPORTACION!$C:$C,0),0)</f>
        <v>0</v>
      </c>
      <c r="J454" s="3">
        <f ca="1">IFERROR(_xludf.XLOOKUP("Arancel",PARAMETROS_IMPORTACION!$A:$A,PARAMETROS_IMPORTACION!$C:$C,0),0)</f>
        <v>0</v>
      </c>
      <c r="K454" s="2">
        <f ca="1">IFERROR(_xludf.XLOOKUP("Gastos_Aduana",PARAMETROS_IMPORTACION!$A:$A,PARAMETROS_IMPORTACION!$C:$C,0),0)</f>
        <v>0</v>
      </c>
      <c r="L454" s="2">
        <f t="shared" si="15"/>
        <v>0</v>
      </c>
    </row>
    <row r="455" spans="5:12" x14ac:dyDescent="0.35">
      <c r="E455" s="2"/>
      <c r="F455" s="2">
        <f>_xlfn.XLOOKUP(D455,TIPOS_CAMBIO!A:A,TIPOS_CAMBIO!B:B,"",0)</f>
        <v>0</v>
      </c>
      <c r="G455" s="3">
        <f t="shared" si="14"/>
        <v>0</v>
      </c>
      <c r="H455" s="3"/>
      <c r="I455" s="3">
        <f ca="1">IFERROR(_xludf.XLOOKUP("Seguro",PARAMETROS_IMPORTACION!$A:$A,PARAMETROS_IMPORTACION!$C:$C,0),0)</f>
        <v>0</v>
      </c>
      <c r="J455" s="3">
        <f ca="1">IFERROR(_xludf.XLOOKUP("Arancel",PARAMETROS_IMPORTACION!$A:$A,PARAMETROS_IMPORTACION!$C:$C,0),0)</f>
        <v>0</v>
      </c>
      <c r="K455" s="2">
        <f ca="1">IFERROR(_xludf.XLOOKUP("Gastos_Aduana",PARAMETROS_IMPORTACION!$A:$A,PARAMETROS_IMPORTACION!$C:$C,0),0)</f>
        <v>0</v>
      </c>
      <c r="L455" s="2">
        <f t="shared" si="15"/>
        <v>0</v>
      </c>
    </row>
    <row r="456" spans="5:12" x14ac:dyDescent="0.35">
      <c r="E456" s="2"/>
      <c r="F456" s="2">
        <f>_xlfn.XLOOKUP(D456,TIPOS_CAMBIO!A:A,TIPOS_CAMBIO!B:B,"",0)</f>
        <v>0</v>
      </c>
      <c r="G456" s="3">
        <f t="shared" si="14"/>
        <v>0</v>
      </c>
      <c r="H456" s="3"/>
      <c r="I456" s="3">
        <f ca="1">IFERROR(_xludf.XLOOKUP("Seguro",PARAMETROS_IMPORTACION!$A:$A,PARAMETROS_IMPORTACION!$C:$C,0),0)</f>
        <v>0</v>
      </c>
      <c r="J456" s="3">
        <f ca="1">IFERROR(_xludf.XLOOKUP("Arancel",PARAMETROS_IMPORTACION!$A:$A,PARAMETROS_IMPORTACION!$C:$C,0),0)</f>
        <v>0</v>
      </c>
      <c r="K456" s="2">
        <f ca="1">IFERROR(_xludf.XLOOKUP("Gastos_Aduana",PARAMETROS_IMPORTACION!$A:$A,PARAMETROS_IMPORTACION!$C:$C,0),0)</f>
        <v>0</v>
      </c>
      <c r="L456" s="2">
        <f t="shared" si="15"/>
        <v>0</v>
      </c>
    </row>
    <row r="457" spans="5:12" x14ac:dyDescent="0.35">
      <c r="E457" s="2"/>
      <c r="F457" s="2">
        <f>_xlfn.XLOOKUP(D457,TIPOS_CAMBIO!A:A,TIPOS_CAMBIO!B:B,"",0)</f>
        <v>0</v>
      </c>
      <c r="G457" s="3">
        <f t="shared" si="14"/>
        <v>0</v>
      </c>
      <c r="H457" s="3"/>
      <c r="I457" s="3">
        <f ca="1">IFERROR(_xludf.XLOOKUP("Seguro",PARAMETROS_IMPORTACION!$A:$A,PARAMETROS_IMPORTACION!$C:$C,0),0)</f>
        <v>0</v>
      </c>
      <c r="J457" s="3">
        <f ca="1">IFERROR(_xludf.XLOOKUP("Arancel",PARAMETROS_IMPORTACION!$A:$A,PARAMETROS_IMPORTACION!$C:$C,0),0)</f>
        <v>0</v>
      </c>
      <c r="K457" s="2">
        <f ca="1">IFERROR(_xludf.XLOOKUP("Gastos_Aduana",PARAMETROS_IMPORTACION!$A:$A,PARAMETROS_IMPORTACION!$C:$C,0),0)</f>
        <v>0</v>
      </c>
      <c r="L457" s="2">
        <f t="shared" si="15"/>
        <v>0</v>
      </c>
    </row>
    <row r="458" spans="5:12" x14ac:dyDescent="0.35">
      <c r="E458" s="2"/>
      <c r="F458" s="2">
        <f>_xlfn.XLOOKUP(D458,TIPOS_CAMBIO!A:A,TIPOS_CAMBIO!B:B,"",0)</f>
        <v>0</v>
      </c>
      <c r="G458" s="3">
        <f t="shared" si="14"/>
        <v>0</v>
      </c>
      <c r="H458" s="3"/>
      <c r="I458" s="3">
        <f ca="1">IFERROR(_xludf.XLOOKUP("Seguro",PARAMETROS_IMPORTACION!$A:$A,PARAMETROS_IMPORTACION!$C:$C,0),0)</f>
        <v>0</v>
      </c>
      <c r="J458" s="3">
        <f ca="1">IFERROR(_xludf.XLOOKUP("Arancel",PARAMETROS_IMPORTACION!$A:$A,PARAMETROS_IMPORTACION!$C:$C,0),0)</f>
        <v>0</v>
      </c>
      <c r="K458" s="2">
        <f ca="1">IFERROR(_xludf.XLOOKUP("Gastos_Aduana",PARAMETROS_IMPORTACION!$A:$A,PARAMETROS_IMPORTACION!$C:$C,0),0)</f>
        <v>0</v>
      </c>
      <c r="L458" s="2">
        <f t="shared" si="15"/>
        <v>0</v>
      </c>
    </row>
    <row r="459" spans="5:12" x14ac:dyDescent="0.35">
      <c r="E459" s="2"/>
      <c r="F459" s="2">
        <f>_xlfn.XLOOKUP(D459,TIPOS_CAMBIO!A:A,TIPOS_CAMBIO!B:B,"",0)</f>
        <v>0</v>
      </c>
      <c r="G459" s="3">
        <f t="shared" si="14"/>
        <v>0</v>
      </c>
      <c r="H459" s="3"/>
      <c r="I459" s="3">
        <f ca="1">IFERROR(_xludf.XLOOKUP("Seguro",PARAMETROS_IMPORTACION!$A:$A,PARAMETROS_IMPORTACION!$C:$C,0),0)</f>
        <v>0</v>
      </c>
      <c r="J459" s="3">
        <f ca="1">IFERROR(_xludf.XLOOKUP("Arancel",PARAMETROS_IMPORTACION!$A:$A,PARAMETROS_IMPORTACION!$C:$C,0),0)</f>
        <v>0</v>
      </c>
      <c r="K459" s="2">
        <f ca="1">IFERROR(_xludf.XLOOKUP("Gastos_Aduana",PARAMETROS_IMPORTACION!$A:$A,PARAMETROS_IMPORTACION!$C:$C,0),0)</f>
        <v>0</v>
      </c>
      <c r="L459" s="2">
        <f t="shared" si="15"/>
        <v>0</v>
      </c>
    </row>
    <row r="460" spans="5:12" x14ac:dyDescent="0.35">
      <c r="E460" s="2"/>
      <c r="F460" s="2">
        <f>_xlfn.XLOOKUP(D460,TIPOS_CAMBIO!A:A,TIPOS_CAMBIO!B:B,"",0)</f>
        <v>0</v>
      </c>
      <c r="G460" s="3">
        <f t="shared" si="14"/>
        <v>0</v>
      </c>
      <c r="H460" s="3"/>
      <c r="I460" s="3">
        <f ca="1">IFERROR(_xludf.XLOOKUP("Seguro",PARAMETROS_IMPORTACION!$A:$A,PARAMETROS_IMPORTACION!$C:$C,0),0)</f>
        <v>0</v>
      </c>
      <c r="J460" s="3">
        <f ca="1">IFERROR(_xludf.XLOOKUP("Arancel",PARAMETROS_IMPORTACION!$A:$A,PARAMETROS_IMPORTACION!$C:$C,0),0)</f>
        <v>0</v>
      </c>
      <c r="K460" s="2">
        <f ca="1">IFERROR(_xludf.XLOOKUP("Gastos_Aduana",PARAMETROS_IMPORTACION!$A:$A,PARAMETROS_IMPORTACION!$C:$C,0),0)</f>
        <v>0</v>
      </c>
      <c r="L460" s="2">
        <f t="shared" si="15"/>
        <v>0</v>
      </c>
    </row>
    <row r="461" spans="5:12" x14ac:dyDescent="0.35">
      <c r="E461" s="2"/>
      <c r="F461" s="2">
        <f>_xlfn.XLOOKUP(D461,TIPOS_CAMBIO!A:A,TIPOS_CAMBIO!B:B,"",0)</f>
        <v>0</v>
      </c>
      <c r="G461" s="3">
        <f t="shared" si="14"/>
        <v>0</v>
      </c>
      <c r="H461" s="3"/>
      <c r="I461" s="3">
        <f ca="1">IFERROR(_xludf.XLOOKUP("Seguro",PARAMETROS_IMPORTACION!$A:$A,PARAMETROS_IMPORTACION!$C:$C,0),0)</f>
        <v>0</v>
      </c>
      <c r="J461" s="3">
        <f ca="1">IFERROR(_xludf.XLOOKUP("Arancel",PARAMETROS_IMPORTACION!$A:$A,PARAMETROS_IMPORTACION!$C:$C,0),0)</f>
        <v>0</v>
      </c>
      <c r="K461" s="2">
        <f ca="1">IFERROR(_xludf.XLOOKUP("Gastos_Aduana",PARAMETROS_IMPORTACION!$A:$A,PARAMETROS_IMPORTACION!$C:$C,0),0)</f>
        <v>0</v>
      </c>
      <c r="L461" s="2">
        <f t="shared" si="15"/>
        <v>0</v>
      </c>
    </row>
    <row r="462" spans="5:12" x14ac:dyDescent="0.35">
      <c r="E462" s="2"/>
      <c r="F462" s="2">
        <f>_xlfn.XLOOKUP(D462,TIPOS_CAMBIO!A:A,TIPOS_CAMBIO!B:B,"",0)</f>
        <v>0</v>
      </c>
      <c r="G462" s="3">
        <f t="shared" si="14"/>
        <v>0</v>
      </c>
      <c r="H462" s="3"/>
      <c r="I462" s="3">
        <f ca="1">IFERROR(_xludf.XLOOKUP("Seguro",PARAMETROS_IMPORTACION!$A:$A,PARAMETROS_IMPORTACION!$C:$C,0),0)</f>
        <v>0</v>
      </c>
      <c r="J462" s="3">
        <f ca="1">IFERROR(_xludf.XLOOKUP("Arancel",PARAMETROS_IMPORTACION!$A:$A,PARAMETROS_IMPORTACION!$C:$C,0),0)</f>
        <v>0</v>
      </c>
      <c r="K462" s="2">
        <f ca="1">IFERROR(_xludf.XLOOKUP("Gastos_Aduana",PARAMETROS_IMPORTACION!$A:$A,PARAMETROS_IMPORTACION!$C:$C,0),0)</f>
        <v>0</v>
      </c>
      <c r="L462" s="2">
        <f t="shared" si="15"/>
        <v>0</v>
      </c>
    </row>
    <row r="463" spans="5:12" x14ac:dyDescent="0.35">
      <c r="E463" s="2"/>
      <c r="F463" s="2">
        <f>_xlfn.XLOOKUP(D463,TIPOS_CAMBIO!A:A,TIPOS_CAMBIO!B:B,"",0)</f>
        <v>0</v>
      </c>
      <c r="G463" s="3">
        <f t="shared" si="14"/>
        <v>0</v>
      </c>
      <c r="H463" s="3"/>
      <c r="I463" s="3">
        <f ca="1">IFERROR(_xludf.XLOOKUP("Seguro",PARAMETROS_IMPORTACION!$A:$A,PARAMETROS_IMPORTACION!$C:$C,0),0)</f>
        <v>0</v>
      </c>
      <c r="J463" s="3">
        <f ca="1">IFERROR(_xludf.XLOOKUP("Arancel",PARAMETROS_IMPORTACION!$A:$A,PARAMETROS_IMPORTACION!$C:$C,0),0)</f>
        <v>0</v>
      </c>
      <c r="K463" s="2">
        <f ca="1">IFERROR(_xludf.XLOOKUP("Gastos_Aduana",PARAMETROS_IMPORTACION!$A:$A,PARAMETROS_IMPORTACION!$C:$C,0),0)</f>
        <v>0</v>
      </c>
      <c r="L463" s="2">
        <f t="shared" si="15"/>
        <v>0</v>
      </c>
    </row>
    <row r="464" spans="5:12" x14ac:dyDescent="0.35">
      <c r="E464" s="2"/>
      <c r="F464" s="2">
        <f>_xlfn.XLOOKUP(D464,TIPOS_CAMBIO!A:A,TIPOS_CAMBIO!B:B,"",0)</f>
        <v>0</v>
      </c>
      <c r="G464" s="3">
        <f t="shared" si="14"/>
        <v>0</v>
      </c>
      <c r="H464" s="3"/>
      <c r="I464" s="3">
        <f ca="1">IFERROR(_xludf.XLOOKUP("Seguro",PARAMETROS_IMPORTACION!$A:$A,PARAMETROS_IMPORTACION!$C:$C,0),0)</f>
        <v>0</v>
      </c>
      <c r="J464" s="3">
        <f ca="1">IFERROR(_xludf.XLOOKUP("Arancel",PARAMETROS_IMPORTACION!$A:$A,PARAMETROS_IMPORTACION!$C:$C,0),0)</f>
        <v>0</v>
      </c>
      <c r="K464" s="2">
        <f ca="1">IFERROR(_xludf.XLOOKUP("Gastos_Aduana",PARAMETROS_IMPORTACION!$A:$A,PARAMETROS_IMPORTACION!$C:$C,0),0)</f>
        <v>0</v>
      </c>
      <c r="L464" s="2">
        <f t="shared" si="15"/>
        <v>0</v>
      </c>
    </row>
    <row r="465" spans="5:12" x14ac:dyDescent="0.35">
      <c r="E465" s="2"/>
      <c r="F465" s="2">
        <f>_xlfn.XLOOKUP(D465,TIPOS_CAMBIO!A:A,TIPOS_CAMBIO!B:B,"",0)</f>
        <v>0</v>
      </c>
      <c r="G465" s="3">
        <f t="shared" si="14"/>
        <v>0</v>
      </c>
      <c r="H465" s="3"/>
      <c r="I465" s="3">
        <f ca="1">IFERROR(_xludf.XLOOKUP("Seguro",PARAMETROS_IMPORTACION!$A:$A,PARAMETROS_IMPORTACION!$C:$C,0),0)</f>
        <v>0</v>
      </c>
      <c r="J465" s="3">
        <f ca="1">IFERROR(_xludf.XLOOKUP("Arancel",PARAMETROS_IMPORTACION!$A:$A,PARAMETROS_IMPORTACION!$C:$C,0),0)</f>
        <v>0</v>
      </c>
      <c r="K465" s="2">
        <f ca="1">IFERROR(_xludf.XLOOKUP("Gastos_Aduana",PARAMETROS_IMPORTACION!$A:$A,PARAMETROS_IMPORTACION!$C:$C,0),0)</f>
        <v>0</v>
      </c>
      <c r="L465" s="2">
        <f t="shared" si="15"/>
        <v>0</v>
      </c>
    </row>
    <row r="466" spans="5:12" x14ac:dyDescent="0.35">
      <c r="E466" s="2"/>
      <c r="F466" s="2">
        <f>_xlfn.XLOOKUP(D466,TIPOS_CAMBIO!A:A,TIPOS_CAMBIO!B:B,"",0)</f>
        <v>0</v>
      </c>
      <c r="G466" s="3">
        <f t="shared" si="14"/>
        <v>0</v>
      </c>
      <c r="H466" s="3"/>
      <c r="I466" s="3">
        <f ca="1">IFERROR(_xludf.XLOOKUP("Seguro",PARAMETROS_IMPORTACION!$A:$A,PARAMETROS_IMPORTACION!$C:$C,0),0)</f>
        <v>0</v>
      </c>
      <c r="J466" s="3">
        <f ca="1">IFERROR(_xludf.XLOOKUP("Arancel",PARAMETROS_IMPORTACION!$A:$A,PARAMETROS_IMPORTACION!$C:$C,0),0)</f>
        <v>0</v>
      </c>
      <c r="K466" s="2">
        <f ca="1">IFERROR(_xludf.XLOOKUP("Gastos_Aduana",PARAMETROS_IMPORTACION!$A:$A,PARAMETROS_IMPORTACION!$C:$C,0),0)</f>
        <v>0</v>
      </c>
      <c r="L466" s="2">
        <f t="shared" si="15"/>
        <v>0</v>
      </c>
    </row>
    <row r="467" spans="5:12" x14ac:dyDescent="0.35">
      <c r="E467" s="2"/>
      <c r="F467" s="2">
        <f>_xlfn.XLOOKUP(D467,TIPOS_CAMBIO!A:A,TIPOS_CAMBIO!B:B,"",0)</f>
        <v>0</v>
      </c>
      <c r="G467" s="3">
        <f t="shared" si="14"/>
        <v>0</v>
      </c>
      <c r="H467" s="3"/>
      <c r="I467" s="3">
        <f ca="1">IFERROR(_xludf.XLOOKUP("Seguro",PARAMETROS_IMPORTACION!$A:$A,PARAMETROS_IMPORTACION!$C:$C,0),0)</f>
        <v>0</v>
      </c>
      <c r="J467" s="3">
        <f ca="1">IFERROR(_xludf.XLOOKUP("Arancel",PARAMETROS_IMPORTACION!$A:$A,PARAMETROS_IMPORTACION!$C:$C,0),0)</f>
        <v>0</v>
      </c>
      <c r="K467" s="2">
        <f ca="1">IFERROR(_xludf.XLOOKUP("Gastos_Aduana",PARAMETROS_IMPORTACION!$A:$A,PARAMETROS_IMPORTACION!$C:$C,0),0)</f>
        <v>0</v>
      </c>
      <c r="L467" s="2">
        <f t="shared" si="15"/>
        <v>0</v>
      </c>
    </row>
    <row r="468" spans="5:12" x14ac:dyDescent="0.35">
      <c r="E468" s="2"/>
      <c r="F468" s="2">
        <f>_xlfn.XLOOKUP(D468,TIPOS_CAMBIO!A:A,TIPOS_CAMBIO!B:B,"",0)</f>
        <v>0</v>
      </c>
      <c r="G468" s="3">
        <f t="shared" si="14"/>
        <v>0</v>
      </c>
      <c r="H468" s="3"/>
      <c r="I468" s="3">
        <f ca="1">IFERROR(_xludf.XLOOKUP("Seguro",PARAMETROS_IMPORTACION!$A:$A,PARAMETROS_IMPORTACION!$C:$C,0),0)</f>
        <v>0</v>
      </c>
      <c r="J468" s="3">
        <f ca="1">IFERROR(_xludf.XLOOKUP("Arancel",PARAMETROS_IMPORTACION!$A:$A,PARAMETROS_IMPORTACION!$C:$C,0),0)</f>
        <v>0</v>
      </c>
      <c r="K468" s="2">
        <f ca="1">IFERROR(_xludf.XLOOKUP("Gastos_Aduana",PARAMETROS_IMPORTACION!$A:$A,PARAMETROS_IMPORTACION!$C:$C,0),0)</f>
        <v>0</v>
      </c>
      <c r="L468" s="2">
        <f t="shared" si="15"/>
        <v>0</v>
      </c>
    </row>
    <row r="469" spans="5:12" x14ac:dyDescent="0.35">
      <c r="E469" s="2"/>
      <c r="F469" s="2">
        <f>_xlfn.XLOOKUP(D469,TIPOS_CAMBIO!A:A,TIPOS_CAMBIO!B:B,"",0)</f>
        <v>0</v>
      </c>
      <c r="G469" s="3">
        <f t="shared" si="14"/>
        <v>0</v>
      </c>
      <c r="H469" s="3"/>
      <c r="I469" s="3">
        <f ca="1">IFERROR(_xludf.XLOOKUP("Seguro",PARAMETROS_IMPORTACION!$A:$A,PARAMETROS_IMPORTACION!$C:$C,0),0)</f>
        <v>0</v>
      </c>
      <c r="J469" s="3">
        <f ca="1">IFERROR(_xludf.XLOOKUP("Arancel",PARAMETROS_IMPORTACION!$A:$A,PARAMETROS_IMPORTACION!$C:$C,0),0)</f>
        <v>0</v>
      </c>
      <c r="K469" s="2">
        <f ca="1">IFERROR(_xludf.XLOOKUP("Gastos_Aduana",PARAMETROS_IMPORTACION!$A:$A,PARAMETROS_IMPORTACION!$C:$C,0),0)</f>
        <v>0</v>
      </c>
      <c r="L469" s="2">
        <f t="shared" si="15"/>
        <v>0</v>
      </c>
    </row>
    <row r="470" spans="5:12" x14ac:dyDescent="0.35">
      <c r="E470" s="2"/>
      <c r="F470" s="2">
        <f>_xlfn.XLOOKUP(D470,TIPOS_CAMBIO!A:A,TIPOS_CAMBIO!B:B,"",0)</f>
        <v>0</v>
      </c>
      <c r="G470" s="3">
        <f t="shared" si="14"/>
        <v>0</v>
      </c>
      <c r="H470" s="3"/>
      <c r="I470" s="3">
        <f ca="1">IFERROR(_xludf.XLOOKUP("Seguro",PARAMETROS_IMPORTACION!$A:$A,PARAMETROS_IMPORTACION!$C:$C,0),0)</f>
        <v>0</v>
      </c>
      <c r="J470" s="3">
        <f ca="1">IFERROR(_xludf.XLOOKUP("Arancel",PARAMETROS_IMPORTACION!$A:$A,PARAMETROS_IMPORTACION!$C:$C,0),0)</f>
        <v>0</v>
      </c>
      <c r="K470" s="2">
        <f ca="1">IFERROR(_xludf.XLOOKUP("Gastos_Aduana",PARAMETROS_IMPORTACION!$A:$A,PARAMETROS_IMPORTACION!$C:$C,0),0)</f>
        <v>0</v>
      </c>
      <c r="L470" s="2">
        <f t="shared" si="15"/>
        <v>0</v>
      </c>
    </row>
    <row r="471" spans="5:12" x14ac:dyDescent="0.35">
      <c r="E471" s="2"/>
      <c r="F471" s="2">
        <f>_xlfn.XLOOKUP(D471,TIPOS_CAMBIO!A:A,TIPOS_CAMBIO!B:B,"",0)</f>
        <v>0</v>
      </c>
      <c r="G471" s="3">
        <f t="shared" si="14"/>
        <v>0</v>
      </c>
      <c r="H471" s="3"/>
      <c r="I471" s="3">
        <f ca="1">IFERROR(_xludf.XLOOKUP("Seguro",PARAMETROS_IMPORTACION!$A:$A,PARAMETROS_IMPORTACION!$C:$C,0),0)</f>
        <v>0</v>
      </c>
      <c r="J471" s="3">
        <f ca="1">IFERROR(_xludf.XLOOKUP("Arancel",PARAMETROS_IMPORTACION!$A:$A,PARAMETROS_IMPORTACION!$C:$C,0),0)</f>
        <v>0</v>
      </c>
      <c r="K471" s="2">
        <f ca="1">IFERROR(_xludf.XLOOKUP("Gastos_Aduana",PARAMETROS_IMPORTACION!$A:$A,PARAMETROS_IMPORTACION!$C:$C,0),0)</f>
        <v>0</v>
      </c>
      <c r="L471" s="2">
        <f t="shared" si="15"/>
        <v>0</v>
      </c>
    </row>
    <row r="472" spans="5:12" x14ac:dyDescent="0.35">
      <c r="E472" s="2"/>
      <c r="F472" s="2">
        <f>_xlfn.XLOOKUP(D472,TIPOS_CAMBIO!A:A,TIPOS_CAMBIO!B:B,"",0)</f>
        <v>0</v>
      </c>
      <c r="G472" s="3">
        <f t="shared" si="14"/>
        <v>0</v>
      </c>
      <c r="H472" s="3"/>
      <c r="I472" s="3">
        <f ca="1">IFERROR(_xludf.XLOOKUP("Seguro",PARAMETROS_IMPORTACION!$A:$A,PARAMETROS_IMPORTACION!$C:$C,0),0)</f>
        <v>0</v>
      </c>
      <c r="J472" s="3">
        <f ca="1">IFERROR(_xludf.XLOOKUP("Arancel",PARAMETROS_IMPORTACION!$A:$A,PARAMETROS_IMPORTACION!$C:$C,0),0)</f>
        <v>0</v>
      </c>
      <c r="K472" s="2">
        <f ca="1">IFERROR(_xludf.XLOOKUP("Gastos_Aduana",PARAMETROS_IMPORTACION!$A:$A,PARAMETROS_IMPORTACION!$C:$C,0),0)</f>
        <v>0</v>
      </c>
      <c r="L472" s="2">
        <f t="shared" si="15"/>
        <v>0</v>
      </c>
    </row>
    <row r="473" spans="5:12" x14ac:dyDescent="0.35">
      <c r="E473" s="2"/>
      <c r="F473" s="2">
        <f>_xlfn.XLOOKUP(D473,TIPOS_CAMBIO!A:A,TIPOS_CAMBIO!B:B,"",0)</f>
        <v>0</v>
      </c>
      <c r="G473" s="3">
        <f t="shared" si="14"/>
        <v>0</v>
      </c>
      <c r="H473" s="3"/>
      <c r="I473" s="3">
        <f ca="1">IFERROR(_xludf.XLOOKUP("Seguro",PARAMETROS_IMPORTACION!$A:$A,PARAMETROS_IMPORTACION!$C:$C,0),0)</f>
        <v>0</v>
      </c>
      <c r="J473" s="3">
        <f ca="1">IFERROR(_xludf.XLOOKUP("Arancel",PARAMETROS_IMPORTACION!$A:$A,PARAMETROS_IMPORTACION!$C:$C,0),0)</f>
        <v>0</v>
      </c>
      <c r="K473" s="2">
        <f ca="1">IFERROR(_xludf.XLOOKUP("Gastos_Aduana",PARAMETROS_IMPORTACION!$A:$A,PARAMETROS_IMPORTACION!$C:$C,0),0)</f>
        <v>0</v>
      </c>
      <c r="L473" s="2">
        <f t="shared" si="15"/>
        <v>0</v>
      </c>
    </row>
    <row r="474" spans="5:12" x14ac:dyDescent="0.35">
      <c r="E474" s="2"/>
      <c r="F474" s="2">
        <f>_xlfn.XLOOKUP(D474,TIPOS_CAMBIO!A:A,TIPOS_CAMBIO!B:B,"",0)</f>
        <v>0</v>
      </c>
      <c r="G474" s="3">
        <f t="shared" si="14"/>
        <v>0</v>
      </c>
      <c r="H474" s="3"/>
      <c r="I474" s="3">
        <f ca="1">IFERROR(_xludf.XLOOKUP("Seguro",PARAMETROS_IMPORTACION!$A:$A,PARAMETROS_IMPORTACION!$C:$C,0),0)</f>
        <v>0</v>
      </c>
      <c r="J474" s="3">
        <f ca="1">IFERROR(_xludf.XLOOKUP("Arancel",PARAMETROS_IMPORTACION!$A:$A,PARAMETROS_IMPORTACION!$C:$C,0),0)</f>
        <v>0</v>
      </c>
      <c r="K474" s="2">
        <f ca="1">IFERROR(_xludf.XLOOKUP("Gastos_Aduana",PARAMETROS_IMPORTACION!$A:$A,PARAMETROS_IMPORTACION!$C:$C,0),0)</f>
        <v>0</v>
      </c>
      <c r="L474" s="2">
        <f t="shared" si="15"/>
        <v>0</v>
      </c>
    </row>
    <row r="475" spans="5:12" x14ac:dyDescent="0.35">
      <c r="E475" s="2"/>
      <c r="F475" s="2">
        <f>_xlfn.XLOOKUP(D475,TIPOS_CAMBIO!A:A,TIPOS_CAMBIO!B:B,"",0)</f>
        <v>0</v>
      </c>
      <c r="G475" s="3">
        <f t="shared" si="14"/>
        <v>0</v>
      </c>
      <c r="H475" s="3"/>
      <c r="I475" s="3">
        <f ca="1">IFERROR(_xludf.XLOOKUP("Seguro",PARAMETROS_IMPORTACION!$A:$A,PARAMETROS_IMPORTACION!$C:$C,0),0)</f>
        <v>0</v>
      </c>
      <c r="J475" s="3">
        <f ca="1">IFERROR(_xludf.XLOOKUP("Arancel",PARAMETROS_IMPORTACION!$A:$A,PARAMETROS_IMPORTACION!$C:$C,0),0)</f>
        <v>0</v>
      </c>
      <c r="K475" s="2">
        <f ca="1">IFERROR(_xludf.XLOOKUP("Gastos_Aduana",PARAMETROS_IMPORTACION!$A:$A,PARAMETROS_IMPORTACION!$C:$C,0),0)</f>
        <v>0</v>
      </c>
      <c r="L475" s="2">
        <f t="shared" si="15"/>
        <v>0</v>
      </c>
    </row>
    <row r="476" spans="5:12" x14ac:dyDescent="0.35">
      <c r="E476" s="2"/>
      <c r="F476" s="2">
        <f>_xlfn.XLOOKUP(D476,TIPOS_CAMBIO!A:A,TIPOS_CAMBIO!B:B,"",0)</f>
        <v>0</v>
      </c>
      <c r="G476" s="3">
        <f t="shared" si="14"/>
        <v>0</v>
      </c>
      <c r="H476" s="3"/>
      <c r="I476" s="3">
        <f ca="1">IFERROR(_xludf.XLOOKUP("Seguro",PARAMETROS_IMPORTACION!$A:$A,PARAMETROS_IMPORTACION!$C:$C,0),0)</f>
        <v>0</v>
      </c>
      <c r="J476" s="3">
        <f ca="1">IFERROR(_xludf.XLOOKUP("Arancel",PARAMETROS_IMPORTACION!$A:$A,PARAMETROS_IMPORTACION!$C:$C,0),0)</f>
        <v>0</v>
      </c>
      <c r="K476" s="2">
        <f ca="1">IFERROR(_xludf.XLOOKUP("Gastos_Aduana",PARAMETROS_IMPORTACION!$A:$A,PARAMETROS_IMPORTACION!$C:$C,0),0)</f>
        <v>0</v>
      </c>
      <c r="L476" s="2">
        <f t="shared" si="15"/>
        <v>0</v>
      </c>
    </row>
    <row r="477" spans="5:12" x14ac:dyDescent="0.35">
      <c r="E477" s="2"/>
      <c r="F477" s="2">
        <f>_xlfn.XLOOKUP(D477,TIPOS_CAMBIO!A:A,TIPOS_CAMBIO!B:B,"",0)</f>
        <v>0</v>
      </c>
      <c r="G477" s="3">
        <f t="shared" si="14"/>
        <v>0</v>
      </c>
      <c r="H477" s="3"/>
      <c r="I477" s="3">
        <f ca="1">IFERROR(_xludf.XLOOKUP("Seguro",PARAMETROS_IMPORTACION!$A:$A,PARAMETROS_IMPORTACION!$C:$C,0),0)</f>
        <v>0</v>
      </c>
      <c r="J477" s="3">
        <f ca="1">IFERROR(_xludf.XLOOKUP("Arancel",PARAMETROS_IMPORTACION!$A:$A,PARAMETROS_IMPORTACION!$C:$C,0),0)</f>
        <v>0</v>
      </c>
      <c r="K477" s="2">
        <f ca="1">IFERROR(_xludf.XLOOKUP("Gastos_Aduana",PARAMETROS_IMPORTACION!$A:$A,PARAMETROS_IMPORTACION!$C:$C,0),0)</f>
        <v>0</v>
      </c>
      <c r="L477" s="2">
        <f t="shared" si="15"/>
        <v>0</v>
      </c>
    </row>
    <row r="478" spans="5:12" x14ac:dyDescent="0.35">
      <c r="E478" s="2"/>
      <c r="F478" s="2">
        <f>_xlfn.XLOOKUP(D478,TIPOS_CAMBIO!A:A,TIPOS_CAMBIO!B:B,"",0)</f>
        <v>0</v>
      </c>
      <c r="G478" s="3">
        <f t="shared" si="14"/>
        <v>0</v>
      </c>
      <c r="H478" s="3"/>
      <c r="I478" s="3">
        <f ca="1">IFERROR(_xludf.XLOOKUP("Seguro",PARAMETROS_IMPORTACION!$A:$A,PARAMETROS_IMPORTACION!$C:$C,0),0)</f>
        <v>0</v>
      </c>
      <c r="J478" s="3">
        <f ca="1">IFERROR(_xludf.XLOOKUP("Arancel",PARAMETROS_IMPORTACION!$A:$A,PARAMETROS_IMPORTACION!$C:$C,0),0)</f>
        <v>0</v>
      </c>
      <c r="K478" s="2">
        <f ca="1">IFERROR(_xludf.XLOOKUP("Gastos_Aduana",PARAMETROS_IMPORTACION!$A:$A,PARAMETROS_IMPORTACION!$C:$C,0),0)</f>
        <v>0</v>
      </c>
      <c r="L478" s="2">
        <f t="shared" si="15"/>
        <v>0</v>
      </c>
    </row>
    <row r="479" spans="5:12" x14ac:dyDescent="0.35">
      <c r="E479" s="2"/>
      <c r="F479" s="2">
        <f>_xlfn.XLOOKUP(D479,TIPOS_CAMBIO!A:A,TIPOS_CAMBIO!B:B,"",0)</f>
        <v>0</v>
      </c>
      <c r="G479" s="3">
        <f t="shared" si="14"/>
        <v>0</v>
      </c>
      <c r="H479" s="3"/>
      <c r="I479" s="3">
        <f ca="1">IFERROR(_xludf.XLOOKUP("Seguro",PARAMETROS_IMPORTACION!$A:$A,PARAMETROS_IMPORTACION!$C:$C,0),0)</f>
        <v>0</v>
      </c>
      <c r="J479" s="3">
        <f ca="1">IFERROR(_xludf.XLOOKUP("Arancel",PARAMETROS_IMPORTACION!$A:$A,PARAMETROS_IMPORTACION!$C:$C,0),0)</f>
        <v>0</v>
      </c>
      <c r="K479" s="2">
        <f ca="1">IFERROR(_xludf.XLOOKUP("Gastos_Aduana",PARAMETROS_IMPORTACION!$A:$A,PARAMETROS_IMPORTACION!$C:$C,0),0)</f>
        <v>0</v>
      </c>
      <c r="L479" s="2">
        <f t="shared" si="15"/>
        <v>0</v>
      </c>
    </row>
    <row r="480" spans="5:12" x14ac:dyDescent="0.35">
      <c r="E480" s="2"/>
      <c r="F480" s="2">
        <f>_xlfn.XLOOKUP(D480,TIPOS_CAMBIO!A:A,TIPOS_CAMBIO!B:B,"",0)</f>
        <v>0</v>
      </c>
      <c r="G480" s="3">
        <f t="shared" si="14"/>
        <v>0</v>
      </c>
      <c r="H480" s="3"/>
      <c r="I480" s="3">
        <f ca="1">IFERROR(_xludf.XLOOKUP("Seguro",PARAMETROS_IMPORTACION!$A:$A,PARAMETROS_IMPORTACION!$C:$C,0),0)</f>
        <v>0</v>
      </c>
      <c r="J480" s="3">
        <f ca="1">IFERROR(_xludf.XLOOKUP("Arancel",PARAMETROS_IMPORTACION!$A:$A,PARAMETROS_IMPORTACION!$C:$C,0),0)</f>
        <v>0</v>
      </c>
      <c r="K480" s="2">
        <f ca="1">IFERROR(_xludf.XLOOKUP("Gastos_Aduana",PARAMETROS_IMPORTACION!$A:$A,PARAMETROS_IMPORTACION!$C:$C,0),0)</f>
        <v>0</v>
      </c>
      <c r="L480" s="2">
        <f t="shared" si="15"/>
        <v>0</v>
      </c>
    </row>
    <row r="481" spans="5:12" x14ac:dyDescent="0.35">
      <c r="E481" s="2"/>
      <c r="F481" s="2">
        <f>_xlfn.XLOOKUP(D481,TIPOS_CAMBIO!A:A,TIPOS_CAMBIO!B:B,"",0)</f>
        <v>0</v>
      </c>
      <c r="G481" s="3">
        <f t="shared" si="14"/>
        <v>0</v>
      </c>
      <c r="H481" s="3"/>
      <c r="I481" s="3">
        <f ca="1">IFERROR(_xludf.XLOOKUP("Seguro",PARAMETROS_IMPORTACION!$A:$A,PARAMETROS_IMPORTACION!$C:$C,0),0)</f>
        <v>0</v>
      </c>
      <c r="J481" s="3">
        <f ca="1">IFERROR(_xludf.XLOOKUP("Arancel",PARAMETROS_IMPORTACION!$A:$A,PARAMETROS_IMPORTACION!$C:$C,0),0)</f>
        <v>0</v>
      </c>
      <c r="K481" s="2">
        <f ca="1">IFERROR(_xludf.XLOOKUP("Gastos_Aduana",PARAMETROS_IMPORTACION!$A:$A,PARAMETROS_IMPORTACION!$C:$C,0),0)</f>
        <v>0</v>
      </c>
      <c r="L481" s="2">
        <f t="shared" si="15"/>
        <v>0</v>
      </c>
    </row>
    <row r="482" spans="5:12" x14ac:dyDescent="0.35">
      <c r="E482" s="2"/>
      <c r="F482" s="2">
        <f>_xlfn.XLOOKUP(D482,TIPOS_CAMBIO!A:A,TIPOS_CAMBIO!B:B,"",0)</f>
        <v>0</v>
      </c>
      <c r="G482" s="3">
        <f t="shared" si="14"/>
        <v>0</v>
      </c>
      <c r="H482" s="3"/>
      <c r="I482" s="3">
        <f ca="1">IFERROR(_xludf.XLOOKUP("Seguro",PARAMETROS_IMPORTACION!$A:$A,PARAMETROS_IMPORTACION!$C:$C,0),0)</f>
        <v>0</v>
      </c>
      <c r="J482" s="3">
        <f ca="1">IFERROR(_xludf.XLOOKUP("Arancel",PARAMETROS_IMPORTACION!$A:$A,PARAMETROS_IMPORTACION!$C:$C,0),0)</f>
        <v>0</v>
      </c>
      <c r="K482" s="2">
        <f ca="1">IFERROR(_xludf.XLOOKUP("Gastos_Aduana",PARAMETROS_IMPORTACION!$A:$A,PARAMETROS_IMPORTACION!$C:$C,0),0)</f>
        <v>0</v>
      </c>
      <c r="L482" s="2">
        <f t="shared" si="15"/>
        <v>0</v>
      </c>
    </row>
    <row r="483" spans="5:12" x14ac:dyDescent="0.35">
      <c r="E483" s="2"/>
      <c r="F483" s="2">
        <f>_xlfn.XLOOKUP(D483,TIPOS_CAMBIO!A:A,TIPOS_CAMBIO!B:B,"",0)</f>
        <v>0</v>
      </c>
      <c r="G483" s="3">
        <f t="shared" si="14"/>
        <v>0</v>
      </c>
      <c r="H483" s="3"/>
      <c r="I483" s="3">
        <f ca="1">IFERROR(_xludf.XLOOKUP("Seguro",PARAMETROS_IMPORTACION!$A:$A,PARAMETROS_IMPORTACION!$C:$C,0),0)</f>
        <v>0</v>
      </c>
      <c r="J483" s="3">
        <f ca="1">IFERROR(_xludf.XLOOKUP("Arancel",PARAMETROS_IMPORTACION!$A:$A,PARAMETROS_IMPORTACION!$C:$C,0),0)</f>
        <v>0</v>
      </c>
      <c r="K483" s="2">
        <f ca="1">IFERROR(_xludf.XLOOKUP("Gastos_Aduana",PARAMETROS_IMPORTACION!$A:$A,PARAMETROS_IMPORTACION!$C:$C,0),0)</f>
        <v>0</v>
      </c>
      <c r="L483" s="2">
        <f t="shared" si="15"/>
        <v>0</v>
      </c>
    </row>
    <row r="484" spans="5:12" x14ac:dyDescent="0.35">
      <c r="E484" s="2"/>
      <c r="F484" s="2">
        <f>_xlfn.XLOOKUP(D484,TIPOS_CAMBIO!A:A,TIPOS_CAMBIO!B:B,"",0)</f>
        <v>0</v>
      </c>
      <c r="G484" s="3">
        <f t="shared" si="14"/>
        <v>0</v>
      </c>
      <c r="H484" s="3"/>
      <c r="I484" s="3">
        <f ca="1">IFERROR(_xludf.XLOOKUP("Seguro",PARAMETROS_IMPORTACION!$A:$A,PARAMETROS_IMPORTACION!$C:$C,0),0)</f>
        <v>0</v>
      </c>
      <c r="J484" s="3">
        <f ca="1">IFERROR(_xludf.XLOOKUP("Arancel",PARAMETROS_IMPORTACION!$A:$A,PARAMETROS_IMPORTACION!$C:$C,0),0)</f>
        <v>0</v>
      </c>
      <c r="K484" s="2">
        <f ca="1">IFERROR(_xludf.XLOOKUP("Gastos_Aduana",PARAMETROS_IMPORTACION!$A:$A,PARAMETROS_IMPORTACION!$C:$C,0),0)</f>
        <v>0</v>
      </c>
      <c r="L484" s="2">
        <f t="shared" si="15"/>
        <v>0</v>
      </c>
    </row>
    <row r="485" spans="5:12" x14ac:dyDescent="0.35">
      <c r="E485" s="2"/>
      <c r="F485" s="2">
        <f>_xlfn.XLOOKUP(D485,TIPOS_CAMBIO!A:A,TIPOS_CAMBIO!B:B,"",0)</f>
        <v>0</v>
      </c>
      <c r="G485" s="3">
        <f t="shared" si="14"/>
        <v>0</v>
      </c>
      <c r="H485" s="3"/>
      <c r="I485" s="3">
        <f ca="1">IFERROR(_xludf.XLOOKUP("Seguro",PARAMETROS_IMPORTACION!$A:$A,PARAMETROS_IMPORTACION!$C:$C,0),0)</f>
        <v>0</v>
      </c>
      <c r="J485" s="3">
        <f ca="1">IFERROR(_xludf.XLOOKUP("Arancel",PARAMETROS_IMPORTACION!$A:$A,PARAMETROS_IMPORTACION!$C:$C,0),0)</f>
        <v>0</v>
      </c>
      <c r="K485" s="2">
        <f ca="1">IFERROR(_xludf.XLOOKUP("Gastos_Aduana",PARAMETROS_IMPORTACION!$A:$A,PARAMETROS_IMPORTACION!$C:$C,0),0)</f>
        <v>0</v>
      </c>
      <c r="L485" s="2">
        <f t="shared" si="15"/>
        <v>0</v>
      </c>
    </row>
    <row r="486" spans="5:12" x14ac:dyDescent="0.35">
      <c r="E486" s="2"/>
      <c r="F486" s="2">
        <f>_xlfn.XLOOKUP(D486,TIPOS_CAMBIO!A:A,TIPOS_CAMBIO!B:B,"",0)</f>
        <v>0</v>
      </c>
      <c r="G486" s="3">
        <f t="shared" si="14"/>
        <v>0</v>
      </c>
      <c r="H486" s="3"/>
      <c r="I486" s="3">
        <f ca="1">IFERROR(_xludf.XLOOKUP("Seguro",PARAMETROS_IMPORTACION!$A:$A,PARAMETROS_IMPORTACION!$C:$C,0),0)</f>
        <v>0</v>
      </c>
      <c r="J486" s="3">
        <f ca="1">IFERROR(_xludf.XLOOKUP("Arancel",PARAMETROS_IMPORTACION!$A:$A,PARAMETROS_IMPORTACION!$C:$C,0),0)</f>
        <v>0</v>
      </c>
      <c r="K486" s="2">
        <f ca="1">IFERROR(_xludf.XLOOKUP("Gastos_Aduana",PARAMETROS_IMPORTACION!$A:$A,PARAMETROS_IMPORTACION!$C:$C,0),0)</f>
        <v>0</v>
      </c>
      <c r="L486" s="2">
        <f t="shared" si="15"/>
        <v>0</v>
      </c>
    </row>
    <row r="487" spans="5:12" x14ac:dyDescent="0.35">
      <c r="E487" s="2"/>
      <c r="F487" s="2">
        <f>_xlfn.XLOOKUP(D487,TIPOS_CAMBIO!A:A,TIPOS_CAMBIO!B:B,"",0)</f>
        <v>0</v>
      </c>
      <c r="G487" s="3">
        <f t="shared" si="14"/>
        <v>0</v>
      </c>
      <c r="H487" s="3"/>
      <c r="I487" s="3">
        <f ca="1">IFERROR(_xludf.XLOOKUP("Seguro",PARAMETROS_IMPORTACION!$A:$A,PARAMETROS_IMPORTACION!$C:$C,0),0)</f>
        <v>0</v>
      </c>
      <c r="J487" s="3">
        <f ca="1">IFERROR(_xludf.XLOOKUP("Arancel",PARAMETROS_IMPORTACION!$A:$A,PARAMETROS_IMPORTACION!$C:$C,0),0)</f>
        <v>0</v>
      </c>
      <c r="K487" s="2">
        <f ca="1">IFERROR(_xludf.XLOOKUP("Gastos_Aduana",PARAMETROS_IMPORTACION!$A:$A,PARAMETROS_IMPORTACION!$C:$C,0),0)</f>
        <v>0</v>
      </c>
      <c r="L487" s="2">
        <f t="shared" si="15"/>
        <v>0</v>
      </c>
    </row>
    <row r="488" spans="5:12" x14ac:dyDescent="0.35">
      <c r="E488" s="2"/>
      <c r="F488" s="2">
        <f>_xlfn.XLOOKUP(D488,TIPOS_CAMBIO!A:A,TIPOS_CAMBIO!B:B,"",0)</f>
        <v>0</v>
      </c>
      <c r="G488" s="3">
        <f t="shared" si="14"/>
        <v>0</v>
      </c>
      <c r="H488" s="3"/>
      <c r="I488" s="3">
        <f ca="1">IFERROR(_xludf.XLOOKUP("Seguro",PARAMETROS_IMPORTACION!$A:$A,PARAMETROS_IMPORTACION!$C:$C,0),0)</f>
        <v>0</v>
      </c>
      <c r="J488" s="3">
        <f ca="1">IFERROR(_xludf.XLOOKUP("Arancel",PARAMETROS_IMPORTACION!$A:$A,PARAMETROS_IMPORTACION!$C:$C,0),0)</f>
        <v>0</v>
      </c>
      <c r="K488" s="2">
        <f ca="1">IFERROR(_xludf.XLOOKUP("Gastos_Aduana",PARAMETROS_IMPORTACION!$A:$A,PARAMETROS_IMPORTACION!$C:$C,0),0)</f>
        <v>0</v>
      </c>
      <c r="L488" s="2">
        <f t="shared" si="15"/>
        <v>0</v>
      </c>
    </row>
    <row r="489" spans="5:12" x14ac:dyDescent="0.35">
      <c r="E489" s="2"/>
      <c r="F489" s="2">
        <f>_xlfn.XLOOKUP(D489,TIPOS_CAMBIO!A:A,TIPOS_CAMBIO!B:B,"",0)</f>
        <v>0</v>
      </c>
      <c r="G489" s="3">
        <f t="shared" si="14"/>
        <v>0</v>
      </c>
      <c r="H489" s="3"/>
      <c r="I489" s="3">
        <f ca="1">IFERROR(_xludf.XLOOKUP("Seguro",PARAMETROS_IMPORTACION!$A:$A,PARAMETROS_IMPORTACION!$C:$C,0),0)</f>
        <v>0</v>
      </c>
      <c r="J489" s="3">
        <f ca="1">IFERROR(_xludf.XLOOKUP("Arancel",PARAMETROS_IMPORTACION!$A:$A,PARAMETROS_IMPORTACION!$C:$C,0),0)</f>
        <v>0</v>
      </c>
      <c r="K489" s="2">
        <f ca="1">IFERROR(_xludf.XLOOKUP("Gastos_Aduana",PARAMETROS_IMPORTACION!$A:$A,PARAMETROS_IMPORTACION!$C:$C,0),0)</f>
        <v>0</v>
      </c>
      <c r="L489" s="2">
        <f t="shared" si="15"/>
        <v>0</v>
      </c>
    </row>
    <row r="490" spans="5:12" x14ac:dyDescent="0.35">
      <c r="E490" s="2"/>
      <c r="F490" s="2">
        <f>_xlfn.XLOOKUP(D490,TIPOS_CAMBIO!A:A,TIPOS_CAMBIO!B:B,"",0)</f>
        <v>0</v>
      </c>
      <c r="G490" s="3">
        <f t="shared" si="14"/>
        <v>0</v>
      </c>
      <c r="H490" s="3"/>
      <c r="I490" s="3">
        <f ca="1">IFERROR(_xludf.XLOOKUP("Seguro",PARAMETROS_IMPORTACION!$A:$A,PARAMETROS_IMPORTACION!$C:$C,0),0)</f>
        <v>0</v>
      </c>
      <c r="J490" s="3">
        <f ca="1">IFERROR(_xludf.XLOOKUP("Arancel",PARAMETROS_IMPORTACION!$A:$A,PARAMETROS_IMPORTACION!$C:$C,0),0)</f>
        <v>0</v>
      </c>
      <c r="K490" s="2">
        <f ca="1">IFERROR(_xludf.XLOOKUP("Gastos_Aduana",PARAMETROS_IMPORTACION!$A:$A,PARAMETROS_IMPORTACION!$C:$C,0),0)</f>
        <v>0</v>
      </c>
      <c r="L490" s="2">
        <f t="shared" si="15"/>
        <v>0</v>
      </c>
    </row>
    <row r="491" spans="5:12" x14ac:dyDescent="0.35">
      <c r="E491" s="2"/>
      <c r="F491" s="2">
        <f>_xlfn.XLOOKUP(D491,TIPOS_CAMBIO!A:A,TIPOS_CAMBIO!B:B,"",0)</f>
        <v>0</v>
      </c>
      <c r="G491" s="3">
        <f t="shared" si="14"/>
        <v>0</v>
      </c>
      <c r="H491" s="3"/>
      <c r="I491" s="3">
        <f ca="1">IFERROR(_xludf.XLOOKUP("Seguro",PARAMETROS_IMPORTACION!$A:$A,PARAMETROS_IMPORTACION!$C:$C,0),0)</f>
        <v>0</v>
      </c>
      <c r="J491" s="3">
        <f ca="1">IFERROR(_xludf.XLOOKUP("Arancel",PARAMETROS_IMPORTACION!$A:$A,PARAMETROS_IMPORTACION!$C:$C,0),0)</f>
        <v>0</v>
      </c>
      <c r="K491" s="2">
        <f ca="1">IFERROR(_xludf.XLOOKUP("Gastos_Aduana",PARAMETROS_IMPORTACION!$A:$A,PARAMETROS_IMPORTACION!$C:$C,0),0)</f>
        <v>0</v>
      </c>
      <c r="L491" s="2">
        <f t="shared" si="15"/>
        <v>0</v>
      </c>
    </row>
    <row r="492" spans="5:12" x14ac:dyDescent="0.35">
      <c r="E492" s="2"/>
      <c r="F492" s="2">
        <f>_xlfn.XLOOKUP(D492,TIPOS_CAMBIO!A:A,TIPOS_CAMBIO!B:B,"",0)</f>
        <v>0</v>
      </c>
      <c r="G492" s="3">
        <f t="shared" si="14"/>
        <v>0</v>
      </c>
      <c r="H492" s="3"/>
      <c r="I492" s="3">
        <f ca="1">IFERROR(_xludf.XLOOKUP("Seguro",PARAMETROS_IMPORTACION!$A:$A,PARAMETROS_IMPORTACION!$C:$C,0),0)</f>
        <v>0</v>
      </c>
      <c r="J492" s="3">
        <f ca="1">IFERROR(_xludf.XLOOKUP("Arancel",PARAMETROS_IMPORTACION!$A:$A,PARAMETROS_IMPORTACION!$C:$C,0),0)</f>
        <v>0</v>
      </c>
      <c r="K492" s="2">
        <f ca="1">IFERROR(_xludf.XLOOKUP("Gastos_Aduana",PARAMETROS_IMPORTACION!$A:$A,PARAMETROS_IMPORTACION!$C:$C,0),0)</f>
        <v>0</v>
      </c>
      <c r="L492" s="2">
        <f t="shared" si="15"/>
        <v>0</v>
      </c>
    </row>
    <row r="493" spans="5:12" x14ac:dyDescent="0.35">
      <c r="E493" s="2"/>
      <c r="F493" s="2">
        <f>_xlfn.XLOOKUP(D493,TIPOS_CAMBIO!A:A,TIPOS_CAMBIO!B:B,"",0)</f>
        <v>0</v>
      </c>
      <c r="G493" s="3">
        <f t="shared" si="14"/>
        <v>0</v>
      </c>
      <c r="H493" s="3"/>
      <c r="I493" s="3">
        <f ca="1">IFERROR(_xludf.XLOOKUP("Seguro",PARAMETROS_IMPORTACION!$A:$A,PARAMETROS_IMPORTACION!$C:$C,0),0)</f>
        <v>0</v>
      </c>
      <c r="J493" s="3">
        <f ca="1">IFERROR(_xludf.XLOOKUP("Arancel",PARAMETROS_IMPORTACION!$A:$A,PARAMETROS_IMPORTACION!$C:$C,0),0)</f>
        <v>0</v>
      </c>
      <c r="K493" s="2">
        <f ca="1">IFERROR(_xludf.XLOOKUP("Gastos_Aduana",PARAMETROS_IMPORTACION!$A:$A,PARAMETROS_IMPORTACION!$C:$C,0),0)</f>
        <v>0</v>
      </c>
      <c r="L493" s="2">
        <f t="shared" si="15"/>
        <v>0</v>
      </c>
    </row>
    <row r="494" spans="5:12" x14ac:dyDescent="0.35">
      <c r="E494" s="2"/>
      <c r="F494" s="2">
        <f>_xlfn.XLOOKUP(D494,TIPOS_CAMBIO!A:A,TIPOS_CAMBIO!B:B,"",0)</f>
        <v>0</v>
      </c>
      <c r="G494" s="3">
        <f t="shared" si="14"/>
        <v>0</v>
      </c>
      <c r="H494" s="3"/>
      <c r="I494" s="3">
        <f ca="1">IFERROR(_xludf.XLOOKUP("Seguro",PARAMETROS_IMPORTACION!$A:$A,PARAMETROS_IMPORTACION!$C:$C,0),0)</f>
        <v>0</v>
      </c>
      <c r="J494" s="3">
        <f ca="1">IFERROR(_xludf.XLOOKUP("Arancel",PARAMETROS_IMPORTACION!$A:$A,PARAMETROS_IMPORTACION!$C:$C,0),0)</f>
        <v>0</v>
      </c>
      <c r="K494" s="2">
        <f ca="1">IFERROR(_xludf.XLOOKUP("Gastos_Aduana",PARAMETROS_IMPORTACION!$A:$A,PARAMETROS_IMPORTACION!$C:$C,0),0)</f>
        <v>0</v>
      </c>
      <c r="L494" s="2">
        <f t="shared" si="15"/>
        <v>0</v>
      </c>
    </row>
    <row r="495" spans="5:12" x14ac:dyDescent="0.35">
      <c r="E495" s="2"/>
      <c r="F495" s="2">
        <f>_xlfn.XLOOKUP(D495,TIPOS_CAMBIO!A:A,TIPOS_CAMBIO!B:B,"",0)</f>
        <v>0</v>
      </c>
      <c r="G495" s="3">
        <f t="shared" si="14"/>
        <v>0</v>
      </c>
      <c r="H495" s="3"/>
      <c r="I495" s="3">
        <f ca="1">IFERROR(_xludf.XLOOKUP("Seguro",PARAMETROS_IMPORTACION!$A:$A,PARAMETROS_IMPORTACION!$C:$C,0),0)</f>
        <v>0</v>
      </c>
      <c r="J495" s="3">
        <f ca="1">IFERROR(_xludf.XLOOKUP("Arancel",PARAMETROS_IMPORTACION!$A:$A,PARAMETROS_IMPORTACION!$C:$C,0),0)</f>
        <v>0</v>
      </c>
      <c r="K495" s="2">
        <f ca="1">IFERROR(_xludf.XLOOKUP("Gastos_Aduana",PARAMETROS_IMPORTACION!$A:$A,PARAMETROS_IMPORTACION!$C:$C,0),0)</f>
        <v>0</v>
      </c>
      <c r="L495" s="2">
        <f t="shared" si="15"/>
        <v>0</v>
      </c>
    </row>
    <row r="496" spans="5:12" x14ac:dyDescent="0.35">
      <c r="E496" s="2"/>
      <c r="F496" s="2">
        <f>_xlfn.XLOOKUP(D496,TIPOS_CAMBIO!A:A,TIPOS_CAMBIO!B:B,"",0)</f>
        <v>0</v>
      </c>
      <c r="G496" s="3">
        <f t="shared" si="14"/>
        <v>0</v>
      </c>
      <c r="H496" s="3"/>
      <c r="I496" s="3">
        <f ca="1">IFERROR(_xludf.XLOOKUP("Seguro",PARAMETROS_IMPORTACION!$A:$A,PARAMETROS_IMPORTACION!$C:$C,0),0)</f>
        <v>0</v>
      </c>
      <c r="J496" s="3">
        <f ca="1">IFERROR(_xludf.XLOOKUP("Arancel",PARAMETROS_IMPORTACION!$A:$A,PARAMETROS_IMPORTACION!$C:$C,0),0)</f>
        <v>0</v>
      </c>
      <c r="K496" s="2">
        <f ca="1">IFERROR(_xludf.XLOOKUP("Gastos_Aduana",PARAMETROS_IMPORTACION!$A:$A,PARAMETROS_IMPORTACION!$C:$C,0),0)</f>
        <v>0</v>
      </c>
      <c r="L496" s="2">
        <f t="shared" si="15"/>
        <v>0</v>
      </c>
    </row>
    <row r="497" spans="5:12" x14ac:dyDescent="0.35">
      <c r="E497" s="2"/>
      <c r="F497" s="2">
        <f>_xlfn.XLOOKUP(D497,TIPOS_CAMBIO!A:A,TIPOS_CAMBIO!B:B,"",0)</f>
        <v>0</v>
      </c>
      <c r="G497" s="3">
        <f t="shared" si="14"/>
        <v>0</v>
      </c>
      <c r="H497" s="3"/>
      <c r="I497" s="3">
        <f ca="1">IFERROR(_xludf.XLOOKUP("Seguro",PARAMETROS_IMPORTACION!$A:$A,PARAMETROS_IMPORTACION!$C:$C,0),0)</f>
        <v>0</v>
      </c>
      <c r="J497" s="3">
        <f ca="1">IFERROR(_xludf.XLOOKUP("Arancel",PARAMETROS_IMPORTACION!$A:$A,PARAMETROS_IMPORTACION!$C:$C,0),0)</f>
        <v>0</v>
      </c>
      <c r="K497" s="2">
        <f ca="1">IFERROR(_xludf.XLOOKUP("Gastos_Aduana",PARAMETROS_IMPORTACION!$A:$A,PARAMETROS_IMPORTACION!$C:$C,0),0)</f>
        <v>0</v>
      </c>
      <c r="L497" s="2">
        <f t="shared" si="15"/>
        <v>0</v>
      </c>
    </row>
    <row r="498" spans="5:12" x14ac:dyDescent="0.35">
      <c r="E498" s="2"/>
      <c r="F498" s="2">
        <f>_xlfn.XLOOKUP(D498,TIPOS_CAMBIO!A:A,TIPOS_CAMBIO!B:B,"",0)</f>
        <v>0</v>
      </c>
      <c r="G498" s="3">
        <f t="shared" si="14"/>
        <v>0</v>
      </c>
      <c r="H498" s="3"/>
      <c r="I498" s="3">
        <f ca="1">IFERROR(_xludf.XLOOKUP("Seguro",PARAMETROS_IMPORTACION!$A:$A,PARAMETROS_IMPORTACION!$C:$C,0),0)</f>
        <v>0</v>
      </c>
      <c r="J498" s="3">
        <f ca="1">IFERROR(_xludf.XLOOKUP("Arancel",PARAMETROS_IMPORTACION!$A:$A,PARAMETROS_IMPORTACION!$C:$C,0),0)</f>
        <v>0</v>
      </c>
      <c r="K498" s="2">
        <f ca="1">IFERROR(_xludf.XLOOKUP("Gastos_Aduana",PARAMETROS_IMPORTACION!$A:$A,PARAMETROS_IMPORTACION!$C:$C,0),0)</f>
        <v>0</v>
      </c>
      <c r="L498" s="2">
        <f t="shared" si="15"/>
        <v>0</v>
      </c>
    </row>
    <row r="499" spans="5:12" x14ac:dyDescent="0.35">
      <c r="E499" s="2"/>
      <c r="F499" s="2">
        <f>_xlfn.XLOOKUP(D499,TIPOS_CAMBIO!A:A,TIPOS_CAMBIO!B:B,"",0)</f>
        <v>0</v>
      </c>
      <c r="G499" s="3">
        <f t="shared" si="14"/>
        <v>0</v>
      </c>
      <c r="H499" s="3"/>
      <c r="I499" s="3">
        <f ca="1">IFERROR(_xludf.XLOOKUP("Seguro",PARAMETROS_IMPORTACION!$A:$A,PARAMETROS_IMPORTACION!$C:$C,0),0)</f>
        <v>0</v>
      </c>
      <c r="J499" s="3">
        <f ca="1">IFERROR(_xludf.XLOOKUP("Arancel",PARAMETROS_IMPORTACION!$A:$A,PARAMETROS_IMPORTACION!$C:$C,0),0)</f>
        <v>0</v>
      </c>
      <c r="K499" s="2">
        <f ca="1">IFERROR(_xludf.XLOOKUP("Gastos_Aduana",PARAMETROS_IMPORTACION!$A:$A,PARAMETROS_IMPORTACION!$C:$C,0),0)</f>
        <v>0</v>
      </c>
      <c r="L499" s="2">
        <f t="shared" si="15"/>
        <v>0</v>
      </c>
    </row>
    <row r="500" spans="5:12" x14ac:dyDescent="0.35">
      <c r="E500" s="2"/>
      <c r="F500" s="2">
        <f>_xlfn.XLOOKUP(D500,TIPOS_CAMBIO!A:A,TIPOS_CAMBIO!B:B,"",0)</f>
        <v>0</v>
      </c>
      <c r="G500" s="3">
        <f t="shared" si="14"/>
        <v>0</v>
      </c>
      <c r="H500" s="3"/>
      <c r="I500" s="3">
        <f ca="1">IFERROR(_xludf.XLOOKUP("Seguro",PARAMETROS_IMPORTACION!$A:$A,PARAMETROS_IMPORTACION!$C:$C,0),0)</f>
        <v>0</v>
      </c>
      <c r="J500" s="3">
        <f ca="1">IFERROR(_xludf.XLOOKUP("Arancel",PARAMETROS_IMPORTACION!$A:$A,PARAMETROS_IMPORTACION!$C:$C,0),0)</f>
        <v>0</v>
      </c>
      <c r="K500" s="2">
        <f ca="1">IFERROR(_xludf.XLOOKUP("Gastos_Aduana",PARAMETROS_IMPORTACION!$A:$A,PARAMETROS_IMPORTACION!$C:$C,0),0)</f>
        <v>0</v>
      </c>
      <c r="L500" s="2">
        <f t="shared" si="15"/>
        <v>0</v>
      </c>
    </row>
    <row r="501" spans="5:12" x14ac:dyDescent="0.35">
      <c r="E501" s="2"/>
      <c r="F501" s="2">
        <f>_xlfn.XLOOKUP(D501,TIPOS_CAMBIO!A:A,TIPOS_CAMBIO!B:B,"",0)</f>
        <v>0</v>
      </c>
      <c r="G501" s="3">
        <f t="shared" si="14"/>
        <v>0</v>
      </c>
      <c r="H501" s="3"/>
      <c r="I501" s="3">
        <f ca="1">IFERROR(_xludf.XLOOKUP("Seguro",PARAMETROS_IMPORTACION!$A:$A,PARAMETROS_IMPORTACION!$C:$C,0),0)</f>
        <v>0</v>
      </c>
      <c r="J501" s="3">
        <f ca="1">IFERROR(_xludf.XLOOKUP("Arancel",PARAMETROS_IMPORTACION!$A:$A,PARAMETROS_IMPORTACION!$C:$C,0),0)</f>
        <v>0</v>
      </c>
      <c r="K501" s="2">
        <f ca="1">IFERROR(_xludf.XLOOKUP("Gastos_Aduana",PARAMETROS_IMPORTACION!$A:$A,PARAMETROS_IMPORTACION!$C:$C,0),0)</f>
        <v>0</v>
      </c>
      <c r="L501" s="2">
        <f t="shared" si="15"/>
        <v>0</v>
      </c>
    </row>
    <row r="502" spans="5:12" x14ac:dyDescent="0.35">
      <c r="E502" s="2"/>
      <c r="F502" s="2">
        <f>_xlfn.XLOOKUP(D502,TIPOS_CAMBIO!A:A,TIPOS_CAMBIO!B:B,"",0)</f>
        <v>0</v>
      </c>
      <c r="G502" s="3">
        <f t="shared" si="14"/>
        <v>0</v>
      </c>
      <c r="H502" s="3"/>
      <c r="I502" s="3">
        <f ca="1">IFERROR(_xludf.XLOOKUP("Seguro",PARAMETROS_IMPORTACION!$A:$A,PARAMETROS_IMPORTACION!$C:$C,0),0)</f>
        <v>0</v>
      </c>
      <c r="J502" s="3">
        <f ca="1">IFERROR(_xludf.XLOOKUP("Arancel",PARAMETROS_IMPORTACION!$A:$A,PARAMETROS_IMPORTACION!$C:$C,0),0)</f>
        <v>0</v>
      </c>
      <c r="K502" s="2">
        <f ca="1">IFERROR(_xludf.XLOOKUP("Gastos_Aduana",PARAMETROS_IMPORTACION!$A:$A,PARAMETROS_IMPORTACION!$C:$C,0),0)</f>
        <v>0</v>
      </c>
      <c r="L502" s="2">
        <f t="shared" si="15"/>
        <v>0</v>
      </c>
    </row>
    <row r="503" spans="5:12" x14ac:dyDescent="0.35">
      <c r="E503" s="2"/>
      <c r="F503" s="2">
        <f>_xlfn.XLOOKUP(D503,TIPOS_CAMBIO!A:A,TIPOS_CAMBIO!B:B,"",0)</f>
        <v>0</v>
      </c>
      <c r="G503" s="3">
        <f t="shared" si="14"/>
        <v>0</v>
      </c>
      <c r="H503" s="3"/>
      <c r="I503" s="3">
        <f ca="1">IFERROR(_xludf.XLOOKUP("Seguro",PARAMETROS_IMPORTACION!$A:$A,PARAMETROS_IMPORTACION!$C:$C,0),0)</f>
        <v>0</v>
      </c>
      <c r="J503" s="3">
        <f ca="1">IFERROR(_xludf.XLOOKUP("Arancel",PARAMETROS_IMPORTACION!$A:$A,PARAMETROS_IMPORTACION!$C:$C,0),0)</f>
        <v>0</v>
      </c>
      <c r="K503" s="2">
        <f ca="1">IFERROR(_xludf.XLOOKUP("Gastos_Aduana",PARAMETROS_IMPORTACION!$A:$A,PARAMETROS_IMPORTACION!$C:$C,0),0)</f>
        <v>0</v>
      </c>
      <c r="L503" s="2">
        <f t="shared" si="15"/>
        <v>0</v>
      </c>
    </row>
    <row r="504" spans="5:12" x14ac:dyDescent="0.35">
      <c r="E504" s="2"/>
      <c r="F504" s="2">
        <f>_xlfn.XLOOKUP(D504,TIPOS_CAMBIO!A:A,TIPOS_CAMBIO!B:B,"",0)</f>
        <v>0</v>
      </c>
      <c r="G504" s="3">
        <f t="shared" si="14"/>
        <v>0</v>
      </c>
      <c r="H504" s="3"/>
      <c r="I504" s="3">
        <f ca="1">IFERROR(_xludf.XLOOKUP("Seguro",PARAMETROS_IMPORTACION!$A:$A,PARAMETROS_IMPORTACION!$C:$C,0),0)</f>
        <v>0</v>
      </c>
      <c r="J504" s="3">
        <f ca="1">IFERROR(_xludf.XLOOKUP("Arancel",PARAMETROS_IMPORTACION!$A:$A,PARAMETROS_IMPORTACION!$C:$C,0),0)</f>
        <v>0</v>
      </c>
      <c r="K504" s="2">
        <f ca="1">IFERROR(_xludf.XLOOKUP("Gastos_Aduana",PARAMETROS_IMPORTACION!$A:$A,PARAMETROS_IMPORTACION!$C:$C,0),0)</f>
        <v>0</v>
      </c>
      <c r="L504" s="2">
        <f t="shared" si="15"/>
        <v>0</v>
      </c>
    </row>
    <row r="505" spans="5:12" x14ac:dyDescent="0.35">
      <c r="E505" s="2"/>
      <c r="F505" s="2">
        <f>_xlfn.XLOOKUP(D505,TIPOS_CAMBIO!A:A,TIPOS_CAMBIO!B:B,"",0)</f>
        <v>0</v>
      </c>
      <c r="G505" s="3">
        <f t="shared" si="14"/>
        <v>0</v>
      </c>
      <c r="H505" s="3"/>
      <c r="I505" s="3">
        <f ca="1">IFERROR(_xludf.XLOOKUP("Seguro",PARAMETROS_IMPORTACION!$A:$A,PARAMETROS_IMPORTACION!$C:$C,0),0)</f>
        <v>0</v>
      </c>
      <c r="J505" s="3">
        <f ca="1">IFERROR(_xludf.XLOOKUP("Arancel",PARAMETROS_IMPORTACION!$A:$A,PARAMETROS_IMPORTACION!$C:$C,0),0)</f>
        <v>0</v>
      </c>
      <c r="K505" s="2">
        <f ca="1">IFERROR(_xludf.XLOOKUP("Gastos_Aduana",PARAMETROS_IMPORTACION!$A:$A,PARAMETROS_IMPORTACION!$C:$C,0),0)</f>
        <v>0</v>
      </c>
      <c r="L505" s="2">
        <f t="shared" si="15"/>
        <v>0</v>
      </c>
    </row>
    <row r="506" spans="5:12" x14ac:dyDescent="0.35">
      <c r="E506" s="2"/>
      <c r="F506" s="2">
        <f>_xlfn.XLOOKUP(D506,TIPOS_CAMBIO!A:A,TIPOS_CAMBIO!B:B,"",0)</f>
        <v>0</v>
      </c>
      <c r="G506" s="3">
        <f t="shared" si="14"/>
        <v>0</v>
      </c>
      <c r="H506" s="3"/>
      <c r="I506" s="3">
        <f ca="1">IFERROR(_xludf.XLOOKUP("Seguro",PARAMETROS_IMPORTACION!$A:$A,PARAMETROS_IMPORTACION!$C:$C,0),0)</f>
        <v>0</v>
      </c>
      <c r="J506" s="3">
        <f ca="1">IFERROR(_xludf.XLOOKUP("Arancel",PARAMETROS_IMPORTACION!$A:$A,PARAMETROS_IMPORTACION!$C:$C,0),0)</f>
        <v>0</v>
      </c>
      <c r="K506" s="2">
        <f ca="1">IFERROR(_xludf.XLOOKUP("Gastos_Aduana",PARAMETROS_IMPORTACION!$A:$A,PARAMETROS_IMPORTACION!$C:$C,0),0)</f>
        <v>0</v>
      </c>
      <c r="L506" s="2">
        <f t="shared" si="15"/>
        <v>0</v>
      </c>
    </row>
    <row r="507" spans="5:12" x14ac:dyDescent="0.35">
      <c r="E507" s="2"/>
      <c r="F507" s="2">
        <f>_xlfn.XLOOKUP(D507,TIPOS_CAMBIO!A:A,TIPOS_CAMBIO!B:B,"",0)</f>
        <v>0</v>
      </c>
      <c r="G507" s="3">
        <f t="shared" si="14"/>
        <v>0</v>
      </c>
      <c r="H507" s="3"/>
      <c r="I507" s="3">
        <f ca="1">IFERROR(_xludf.XLOOKUP("Seguro",PARAMETROS_IMPORTACION!$A:$A,PARAMETROS_IMPORTACION!$C:$C,0),0)</f>
        <v>0</v>
      </c>
      <c r="J507" s="3">
        <f ca="1">IFERROR(_xludf.XLOOKUP("Arancel",PARAMETROS_IMPORTACION!$A:$A,PARAMETROS_IMPORTACION!$C:$C,0),0)</f>
        <v>0</v>
      </c>
      <c r="K507" s="2">
        <f ca="1">IFERROR(_xludf.XLOOKUP("Gastos_Aduana",PARAMETROS_IMPORTACION!$A:$A,PARAMETROS_IMPORTACION!$C:$C,0),0)</f>
        <v>0</v>
      </c>
      <c r="L507" s="2">
        <f t="shared" si="15"/>
        <v>0</v>
      </c>
    </row>
    <row r="508" spans="5:12" x14ac:dyDescent="0.35">
      <c r="E508" s="2"/>
      <c r="F508" s="2">
        <f>_xlfn.XLOOKUP(D508,TIPOS_CAMBIO!A:A,TIPOS_CAMBIO!B:B,"",0)</f>
        <v>0</v>
      </c>
      <c r="G508" s="3">
        <f t="shared" si="14"/>
        <v>0</v>
      </c>
      <c r="H508" s="3"/>
      <c r="I508" s="3">
        <f ca="1">IFERROR(_xludf.XLOOKUP("Seguro",PARAMETROS_IMPORTACION!$A:$A,PARAMETROS_IMPORTACION!$C:$C,0),0)</f>
        <v>0</v>
      </c>
      <c r="J508" s="3">
        <f ca="1">IFERROR(_xludf.XLOOKUP("Arancel",PARAMETROS_IMPORTACION!$A:$A,PARAMETROS_IMPORTACION!$C:$C,0),0)</f>
        <v>0</v>
      </c>
      <c r="K508" s="2">
        <f ca="1">IFERROR(_xludf.XLOOKUP("Gastos_Aduana",PARAMETROS_IMPORTACION!$A:$A,PARAMETROS_IMPORTACION!$C:$C,0),0)</f>
        <v>0</v>
      </c>
      <c r="L508" s="2">
        <f t="shared" si="15"/>
        <v>0</v>
      </c>
    </row>
    <row r="509" spans="5:12" x14ac:dyDescent="0.35">
      <c r="E509" s="2"/>
      <c r="F509" s="2">
        <f>_xlfn.XLOOKUP(D509,TIPOS_CAMBIO!A:A,TIPOS_CAMBIO!B:B,"",0)</f>
        <v>0</v>
      </c>
      <c r="G509" s="3">
        <f t="shared" si="14"/>
        <v>0</v>
      </c>
      <c r="H509" s="3"/>
      <c r="I509" s="3">
        <f ca="1">IFERROR(_xludf.XLOOKUP("Seguro",PARAMETROS_IMPORTACION!$A:$A,PARAMETROS_IMPORTACION!$C:$C,0),0)</f>
        <v>0</v>
      </c>
      <c r="J509" s="3">
        <f ca="1">IFERROR(_xludf.XLOOKUP("Arancel",PARAMETROS_IMPORTACION!$A:$A,PARAMETROS_IMPORTACION!$C:$C,0),0)</f>
        <v>0</v>
      </c>
      <c r="K509" s="2">
        <f ca="1">IFERROR(_xludf.XLOOKUP("Gastos_Aduana",PARAMETROS_IMPORTACION!$A:$A,PARAMETROS_IMPORTACION!$C:$C,0),0)</f>
        <v>0</v>
      </c>
      <c r="L509" s="2">
        <f t="shared" si="15"/>
        <v>0</v>
      </c>
    </row>
    <row r="510" spans="5:12" x14ac:dyDescent="0.35">
      <c r="E510" s="2"/>
      <c r="F510" s="2">
        <f>_xlfn.XLOOKUP(D510,TIPOS_CAMBIO!A:A,TIPOS_CAMBIO!B:B,"",0)</f>
        <v>0</v>
      </c>
      <c r="G510" s="3">
        <f t="shared" si="14"/>
        <v>0</v>
      </c>
      <c r="H510" s="3"/>
      <c r="I510" s="3">
        <f ca="1">IFERROR(_xludf.XLOOKUP("Seguro",PARAMETROS_IMPORTACION!$A:$A,PARAMETROS_IMPORTACION!$C:$C,0),0)</f>
        <v>0</v>
      </c>
      <c r="J510" s="3">
        <f ca="1">IFERROR(_xludf.XLOOKUP("Arancel",PARAMETROS_IMPORTACION!$A:$A,PARAMETROS_IMPORTACION!$C:$C,0),0)</f>
        <v>0</v>
      </c>
      <c r="K510" s="2">
        <f ca="1">IFERROR(_xludf.XLOOKUP("Gastos_Aduana",PARAMETROS_IMPORTACION!$A:$A,PARAMETROS_IMPORTACION!$C:$C,0),0)</f>
        <v>0</v>
      </c>
      <c r="L510" s="2">
        <f t="shared" si="15"/>
        <v>0</v>
      </c>
    </row>
    <row r="511" spans="5:12" x14ac:dyDescent="0.35">
      <c r="E511" s="2"/>
      <c r="F511" s="2">
        <f>_xlfn.XLOOKUP(D511,TIPOS_CAMBIO!A:A,TIPOS_CAMBIO!B:B,"",0)</f>
        <v>0</v>
      </c>
      <c r="G511" s="3">
        <f t="shared" si="14"/>
        <v>0</v>
      </c>
      <c r="H511" s="3"/>
      <c r="I511" s="3">
        <f ca="1">IFERROR(_xludf.XLOOKUP("Seguro",PARAMETROS_IMPORTACION!$A:$A,PARAMETROS_IMPORTACION!$C:$C,0),0)</f>
        <v>0</v>
      </c>
      <c r="J511" s="3">
        <f ca="1">IFERROR(_xludf.XLOOKUP("Arancel",PARAMETROS_IMPORTACION!$A:$A,PARAMETROS_IMPORTACION!$C:$C,0),0)</f>
        <v>0</v>
      </c>
      <c r="K511" s="2">
        <f ca="1">IFERROR(_xludf.XLOOKUP("Gastos_Aduana",PARAMETROS_IMPORTACION!$A:$A,PARAMETROS_IMPORTACION!$C:$C,0),0)</f>
        <v>0</v>
      </c>
      <c r="L511" s="2">
        <f t="shared" si="15"/>
        <v>0</v>
      </c>
    </row>
    <row r="512" spans="5:12" x14ac:dyDescent="0.35">
      <c r="E512" s="2"/>
      <c r="F512" s="2">
        <f>_xlfn.XLOOKUP(D512,TIPOS_CAMBIO!A:A,TIPOS_CAMBIO!B:B,"",0)</f>
        <v>0</v>
      </c>
      <c r="G512" s="3">
        <f t="shared" si="14"/>
        <v>0</v>
      </c>
      <c r="H512" s="3"/>
      <c r="I512" s="3">
        <f ca="1">IFERROR(_xludf.XLOOKUP("Seguro",PARAMETROS_IMPORTACION!$A:$A,PARAMETROS_IMPORTACION!$C:$C,0),0)</f>
        <v>0</v>
      </c>
      <c r="J512" s="3">
        <f ca="1">IFERROR(_xludf.XLOOKUP("Arancel",PARAMETROS_IMPORTACION!$A:$A,PARAMETROS_IMPORTACION!$C:$C,0),0)</f>
        <v>0</v>
      </c>
      <c r="K512" s="2">
        <f ca="1">IFERROR(_xludf.XLOOKUP("Gastos_Aduana",PARAMETROS_IMPORTACION!$A:$A,PARAMETROS_IMPORTACION!$C:$C,0),0)</f>
        <v>0</v>
      </c>
      <c r="L512" s="2">
        <f t="shared" si="15"/>
        <v>0</v>
      </c>
    </row>
    <row r="513" spans="5:12" x14ac:dyDescent="0.35">
      <c r="E513" s="2"/>
      <c r="F513" s="2">
        <f>_xlfn.XLOOKUP(D513,TIPOS_CAMBIO!A:A,TIPOS_CAMBIO!B:B,"",0)</f>
        <v>0</v>
      </c>
      <c r="G513" s="3">
        <f t="shared" si="14"/>
        <v>0</v>
      </c>
      <c r="H513" s="3"/>
      <c r="I513" s="3">
        <f ca="1">IFERROR(_xludf.XLOOKUP("Seguro",PARAMETROS_IMPORTACION!$A:$A,PARAMETROS_IMPORTACION!$C:$C,0),0)</f>
        <v>0</v>
      </c>
      <c r="J513" s="3">
        <f ca="1">IFERROR(_xludf.XLOOKUP("Arancel",PARAMETROS_IMPORTACION!$A:$A,PARAMETROS_IMPORTACION!$C:$C,0),0)</f>
        <v>0</v>
      </c>
      <c r="K513" s="2">
        <f ca="1">IFERROR(_xludf.XLOOKUP("Gastos_Aduana",PARAMETROS_IMPORTACION!$A:$A,PARAMETROS_IMPORTACION!$C:$C,0),0)</f>
        <v>0</v>
      </c>
      <c r="L513" s="2">
        <f t="shared" si="15"/>
        <v>0</v>
      </c>
    </row>
    <row r="514" spans="5:12" x14ac:dyDescent="0.35">
      <c r="E514" s="2"/>
      <c r="F514" s="2">
        <f>_xlfn.XLOOKUP(D514,TIPOS_CAMBIO!A:A,TIPOS_CAMBIO!B:B,"",0)</f>
        <v>0</v>
      </c>
      <c r="G514" s="3">
        <f t="shared" ref="G514:G577" si="16">$E514*$F514</f>
        <v>0</v>
      </c>
      <c r="H514" s="3"/>
      <c r="I514" s="3">
        <f ca="1">IFERROR(_xludf.XLOOKUP("Seguro",PARAMETROS_IMPORTACION!$A:$A,PARAMETROS_IMPORTACION!$C:$C,0),0)</f>
        <v>0</v>
      </c>
      <c r="J514" s="3">
        <f ca="1">IFERROR(_xludf.XLOOKUP("Arancel",PARAMETROS_IMPORTACION!$A:$A,PARAMETROS_IMPORTACION!$C:$C,0),0)</f>
        <v>0</v>
      </c>
      <c r="K514" s="2">
        <f ca="1">IFERROR(_xludf.XLOOKUP("Gastos_Aduana",PARAMETROS_IMPORTACION!$A:$A,PARAMETROS_IMPORTACION!$C:$C,0),0)</f>
        <v>0</v>
      </c>
      <c r="L514" s="2">
        <f t="shared" si="15"/>
        <v>0</v>
      </c>
    </row>
    <row r="515" spans="5:12" x14ac:dyDescent="0.35">
      <c r="E515" s="2"/>
      <c r="F515" s="2">
        <f>_xlfn.XLOOKUP(D515,TIPOS_CAMBIO!A:A,TIPOS_CAMBIO!B:B,"",0)</f>
        <v>0</v>
      </c>
      <c r="G515" s="3">
        <f t="shared" si="16"/>
        <v>0</v>
      </c>
      <c r="H515" s="3"/>
      <c r="I515" s="3">
        <f ca="1">IFERROR(_xludf.XLOOKUP("Seguro",PARAMETROS_IMPORTACION!$A:$A,PARAMETROS_IMPORTACION!$C:$C,0),0)</f>
        <v>0</v>
      </c>
      <c r="J515" s="3">
        <f ca="1">IFERROR(_xludf.XLOOKUP("Arancel",PARAMETROS_IMPORTACION!$A:$A,PARAMETROS_IMPORTACION!$C:$C,0),0)</f>
        <v>0</v>
      </c>
      <c r="K515" s="2">
        <f ca="1">IFERROR(_xludf.XLOOKUP("Gastos_Aduana",PARAMETROS_IMPORTACION!$A:$A,PARAMETROS_IMPORTACION!$C:$C,0),0)</f>
        <v>0</v>
      </c>
      <c r="L515" s="2">
        <f t="shared" ref="L515:L578" si="17">IF($C515="Importado",$G515*(1+$H515+$I515+$J515)+$K515,$G515)</f>
        <v>0</v>
      </c>
    </row>
    <row r="516" spans="5:12" x14ac:dyDescent="0.35">
      <c r="E516" s="2"/>
      <c r="F516" s="2">
        <f>_xlfn.XLOOKUP(D516,TIPOS_CAMBIO!A:A,TIPOS_CAMBIO!B:B,"",0)</f>
        <v>0</v>
      </c>
      <c r="G516" s="3">
        <f t="shared" si="16"/>
        <v>0</v>
      </c>
      <c r="H516" s="3"/>
      <c r="I516" s="3">
        <f ca="1">IFERROR(_xludf.XLOOKUP("Seguro",PARAMETROS_IMPORTACION!$A:$A,PARAMETROS_IMPORTACION!$C:$C,0),0)</f>
        <v>0</v>
      </c>
      <c r="J516" s="3">
        <f ca="1">IFERROR(_xludf.XLOOKUP("Arancel",PARAMETROS_IMPORTACION!$A:$A,PARAMETROS_IMPORTACION!$C:$C,0),0)</f>
        <v>0</v>
      </c>
      <c r="K516" s="2">
        <f ca="1">IFERROR(_xludf.XLOOKUP("Gastos_Aduana",PARAMETROS_IMPORTACION!$A:$A,PARAMETROS_IMPORTACION!$C:$C,0),0)</f>
        <v>0</v>
      </c>
      <c r="L516" s="2">
        <f t="shared" si="17"/>
        <v>0</v>
      </c>
    </row>
    <row r="517" spans="5:12" x14ac:dyDescent="0.35">
      <c r="E517" s="2"/>
      <c r="F517" s="2">
        <f>_xlfn.XLOOKUP(D517,TIPOS_CAMBIO!A:A,TIPOS_CAMBIO!B:B,"",0)</f>
        <v>0</v>
      </c>
      <c r="G517" s="3">
        <f t="shared" si="16"/>
        <v>0</v>
      </c>
      <c r="H517" s="3"/>
      <c r="I517" s="3">
        <f ca="1">IFERROR(_xludf.XLOOKUP("Seguro",PARAMETROS_IMPORTACION!$A:$A,PARAMETROS_IMPORTACION!$C:$C,0),0)</f>
        <v>0</v>
      </c>
      <c r="J517" s="3">
        <f ca="1">IFERROR(_xludf.XLOOKUP("Arancel",PARAMETROS_IMPORTACION!$A:$A,PARAMETROS_IMPORTACION!$C:$C,0),0)</f>
        <v>0</v>
      </c>
      <c r="K517" s="2">
        <f ca="1">IFERROR(_xludf.XLOOKUP("Gastos_Aduana",PARAMETROS_IMPORTACION!$A:$A,PARAMETROS_IMPORTACION!$C:$C,0),0)</f>
        <v>0</v>
      </c>
      <c r="L517" s="2">
        <f t="shared" si="17"/>
        <v>0</v>
      </c>
    </row>
    <row r="518" spans="5:12" x14ac:dyDescent="0.35">
      <c r="E518" s="2"/>
      <c r="F518" s="2">
        <f>_xlfn.XLOOKUP(D518,TIPOS_CAMBIO!A:A,TIPOS_CAMBIO!B:B,"",0)</f>
        <v>0</v>
      </c>
      <c r="G518" s="3">
        <f t="shared" si="16"/>
        <v>0</v>
      </c>
      <c r="H518" s="3"/>
      <c r="I518" s="3">
        <f ca="1">IFERROR(_xludf.XLOOKUP("Seguro",PARAMETROS_IMPORTACION!$A:$A,PARAMETROS_IMPORTACION!$C:$C,0),0)</f>
        <v>0</v>
      </c>
      <c r="J518" s="3">
        <f ca="1">IFERROR(_xludf.XLOOKUP("Arancel",PARAMETROS_IMPORTACION!$A:$A,PARAMETROS_IMPORTACION!$C:$C,0),0)</f>
        <v>0</v>
      </c>
      <c r="K518" s="2">
        <f ca="1">IFERROR(_xludf.XLOOKUP("Gastos_Aduana",PARAMETROS_IMPORTACION!$A:$A,PARAMETROS_IMPORTACION!$C:$C,0),0)</f>
        <v>0</v>
      </c>
      <c r="L518" s="2">
        <f t="shared" si="17"/>
        <v>0</v>
      </c>
    </row>
    <row r="519" spans="5:12" x14ac:dyDescent="0.35">
      <c r="E519" s="2"/>
      <c r="F519" s="2">
        <f>_xlfn.XLOOKUP(D519,TIPOS_CAMBIO!A:A,TIPOS_CAMBIO!B:B,"",0)</f>
        <v>0</v>
      </c>
      <c r="G519" s="3">
        <f t="shared" si="16"/>
        <v>0</v>
      </c>
      <c r="H519" s="3"/>
      <c r="I519" s="3">
        <f ca="1">IFERROR(_xludf.XLOOKUP("Seguro",PARAMETROS_IMPORTACION!$A:$A,PARAMETROS_IMPORTACION!$C:$C,0),0)</f>
        <v>0</v>
      </c>
      <c r="J519" s="3">
        <f ca="1">IFERROR(_xludf.XLOOKUP("Arancel",PARAMETROS_IMPORTACION!$A:$A,PARAMETROS_IMPORTACION!$C:$C,0),0)</f>
        <v>0</v>
      </c>
      <c r="K519" s="2">
        <f ca="1">IFERROR(_xludf.XLOOKUP("Gastos_Aduana",PARAMETROS_IMPORTACION!$A:$A,PARAMETROS_IMPORTACION!$C:$C,0),0)</f>
        <v>0</v>
      </c>
      <c r="L519" s="2">
        <f t="shared" si="17"/>
        <v>0</v>
      </c>
    </row>
    <row r="520" spans="5:12" x14ac:dyDescent="0.35">
      <c r="E520" s="2"/>
      <c r="F520" s="2">
        <f>_xlfn.XLOOKUP(D520,TIPOS_CAMBIO!A:A,TIPOS_CAMBIO!B:B,"",0)</f>
        <v>0</v>
      </c>
      <c r="G520" s="3">
        <f t="shared" si="16"/>
        <v>0</v>
      </c>
      <c r="H520" s="3"/>
      <c r="I520" s="3">
        <f ca="1">IFERROR(_xludf.XLOOKUP("Seguro",PARAMETROS_IMPORTACION!$A:$A,PARAMETROS_IMPORTACION!$C:$C,0),0)</f>
        <v>0</v>
      </c>
      <c r="J520" s="3">
        <f ca="1">IFERROR(_xludf.XLOOKUP("Arancel",PARAMETROS_IMPORTACION!$A:$A,PARAMETROS_IMPORTACION!$C:$C,0),0)</f>
        <v>0</v>
      </c>
      <c r="K520" s="2">
        <f ca="1">IFERROR(_xludf.XLOOKUP("Gastos_Aduana",PARAMETROS_IMPORTACION!$A:$A,PARAMETROS_IMPORTACION!$C:$C,0),0)</f>
        <v>0</v>
      </c>
      <c r="L520" s="2">
        <f t="shared" si="17"/>
        <v>0</v>
      </c>
    </row>
    <row r="521" spans="5:12" x14ac:dyDescent="0.35">
      <c r="E521" s="2"/>
      <c r="F521" s="2">
        <f>_xlfn.XLOOKUP(D521,TIPOS_CAMBIO!A:A,TIPOS_CAMBIO!B:B,"",0)</f>
        <v>0</v>
      </c>
      <c r="G521" s="3">
        <f t="shared" si="16"/>
        <v>0</v>
      </c>
      <c r="H521" s="3"/>
      <c r="I521" s="3">
        <f ca="1">IFERROR(_xludf.XLOOKUP("Seguro",PARAMETROS_IMPORTACION!$A:$A,PARAMETROS_IMPORTACION!$C:$C,0),0)</f>
        <v>0</v>
      </c>
      <c r="J521" s="3">
        <f ca="1">IFERROR(_xludf.XLOOKUP("Arancel",PARAMETROS_IMPORTACION!$A:$A,PARAMETROS_IMPORTACION!$C:$C,0),0)</f>
        <v>0</v>
      </c>
      <c r="K521" s="2">
        <f ca="1">IFERROR(_xludf.XLOOKUP("Gastos_Aduana",PARAMETROS_IMPORTACION!$A:$A,PARAMETROS_IMPORTACION!$C:$C,0),0)</f>
        <v>0</v>
      </c>
      <c r="L521" s="2">
        <f t="shared" si="17"/>
        <v>0</v>
      </c>
    </row>
    <row r="522" spans="5:12" x14ac:dyDescent="0.35">
      <c r="E522" s="2"/>
      <c r="F522" s="2">
        <f>_xlfn.XLOOKUP(D522,TIPOS_CAMBIO!A:A,TIPOS_CAMBIO!B:B,"",0)</f>
        <v>0</v>
      </c>
      <c r="G522" s="3">
        <f t="shared" si="16"/>
        <v>0</v>
      </c>
      <c r="H522" s="3"/>
      <c r="I522" s="3">
        <f ca="1">IFERROR(_xludf.XLOOKUP("Seguro",PARAMETROS_IMPORTACION!$A:$A,PARAMETROS_IMPORTACION!$C:$C,0),0)</f>
        <v>0</v>
      </c>
      <c r="J522" s="3">
        <f ca="1">IFERROR(_xludf.XLOOKUP("Arancel",PARAMETROS_IMPORTACION!$A:$A,PARAMETROS_IMPORTACION!$C:$C,0),0)</f>
        <v>0</v>
      </c>
      <c r="K522" s="2">
        <f ca="1">IFERROR(_xludf.XLOOKUP("Gastos_Aduana",PARAMETROS_IMPORTACION!$A:$A,PARAMETROS_IMPORTACION!$C:$C,0),0)</f>
        <v>0</v>
      </c>
      <c r="L522" s="2">
        <f t="shared" si="17"/>
        <v>0</v>
      </c>
    </row>
    <row r="523" spans="5:12" x14ac:dyDescent="0.35">
      <c r="E523" s="2"/>
      <c r="F523" s="2">
        <f>_xlfn.XLOOKUP(D523,TIPOS_CAMBIO!A:A,TIPOS_CAMBIO!B:B,"",0)</f>
        <v>0</v>
      </c>
      <c r="G523" s="3">
        <f t="shared" si="16"/>
        <v>0</v>
      </c>
      <c r="H523" s="3"/>
      <c r="I523" s="3">
        <f ca="1">IFERROR(_xludf.XLOOKUP("Seguro",PARAMETROS_IMPORTACION!$A:$A,PARAMETROS_IMPORTACION!$C:$C,0),0)</f>
        <v>0</v>
      </c>
      <c r="J523" s="3">
        <f ca="1">IFERROR(_xludf.XLOOKUP("Arancel",PARAMETROS_IMPORTACION!$A:$A,PARAMETROS_IMPORTACION!$C:$C,0),0)</f>
        <v>0</v>
      </c>
      <c r="K523" s="2">
        <f ca="1">IFERROR(_xludf.XLOOKUP("Gastos_Aduana",PARAMETROS_IMPORTACION!$A:$A,PARAMETROS_IMPORTACION!$C:$C,0),0)</f>
        <v>0</v>
      </c>
      <c r="L523" s="2">
        <f t="shared" si="17"/>
        <v>0</v>
      </c>
    </row>
    <row r="524" spans="5:12" x14ac:dyDescent="0.35">
      <c r="E524" s="2"/>
      <c r="F524" s="2">
        <f>_xlfn.XLOOKUP(D524,TIPOS_CAMBIO!A:A,TIPOS_CAMBIO!B:B,"",0)</f>
        <v>0</v>
      </c>
      <c r="G524" s="3">
        <f t="shared" si="16"/>
        <v>0</v>
      </c>
      <c r="H524" s="3"/>
      <c r="I524" s="3">
        <f ca="1">IFERROR(_xludf.XLOOKUP("Seguro",PARAMETROS_IMPORTACION!$A:$A,PARAMETROS_IMPORTACION!$C:$C,0),0)</f>
        <v>0</v>
      </c>
      <c r="J524" s="3">
        <f ca="1">IFERROR(_xludf.XLOOKUP("Arancel",PARAMETROS_IMPORTACION!$A:$A,PARAMETROS_IMPORTACION!$C:$C,0),0)</f>
        <v>0</v>
      </c>
      <c r="K524" s="2">
        <f ca="1">IFERROR(_xludf.XLOOKUP("Gastos_Aduana",PARAMETROS_IMPORTACION!$A:$A,PARAMETROS_IMPORTACION!$C:$C,0),0)</f>
        <v>0</v>
      </c>
      <c r="L524" s="2">
        <f t="shared" si="17"/>
        <v>0</v>
      </c>
    </row>
    <row r="525" spans="5:12" x14ac:dyDescent="0.35">
      <c r="E525" s="2"/>
      <c r="F525" s="2">
        <f>_xlfn.XLOOKUP(D525,TIPOS_CAMBIO!A:A,TIPOS_CAMBIO!B:B,"",0)</f>
        <v>0</v>
      </c>
      <c r="G525" s="3">
        <f t="shared" si="16"/>
        <v>0</v>
      </c>
      <c r="H525" s="3"/>
      <c r="I525" s="3">
        <f ca="1">IFERROR(_xludf.XLOOKUP("Seguro",PARAMETROS_IMPORTACION!$A:$A,PARAMETROS_IMPORTACION!$C:$C,0),0)</f>
        <v>0</v>
      </c>
      <c r="J525" s="3">
        <f ca="1">IFERROR(_xludf.XLOOKUP("Arancel",PARAMETROS_IMPORTACION!$A:$A,PARAMETROS_IMPORTACION!$C:$C,0),0)</f>
        <v>0</v>
      </c>
      <c r="K525" s="2">
        <f ca="1">IFERROR(_xludf.XLOOKUP("Gastos_Aduana",PARAMETROS_IMPORTACION!$A:$A,PARAMETROS_IMPORTACION!$C:$C,0),0)</f>
        <v>0</v>
      </c>
      <c r="L525" s="2">
        <f t="shared" si="17"/>
        <v>0</v>
      </c>
    </row>
    <row r="526" spans="5:12" x14ac:dyDescent="0.35">
      <c r="E526" s="2"/>
      <c r="F526" s="2">
        <f>_xlfn.XLOOKUP(D526,TIPOS_CAMBIO!A:A,TIPOS_CAMBIO!B:B,"",0)</f>
        <v>0</v>
      </c>
      <c r="G526" s="3">
        <f t="shared" si="16"/>
        <v>0</v>
      </c>
      <c r="H526" s="3"/>
      <c r="I526" s="3">
        <f ca="1">IFERROR(_xludf.XLOOKUP("Seguro",PARAMETROS_IMPORTACION!$A:$A,PARAMETROS_IMPORTACION!$C:$C,0),0)</f>
        <v>0</v>
      </c>
      <c r="J526" s="3">
        <f ca="1">IFERROR(_xludf.XLOOKUP("Arancel",PARAMETROS_IMPORTACION!$A:$A,PARAMETROS_IMPORTACION!$C:$C,0),0)</f>
        <v>0</v>
      </c>
      <c r="K526" s="2">
        <f ca="1">IFERROR(_xludf.XLOOKUP("Gastos_Aduana",PARAMETROS_IMPORTACION!$A:$A,PARAMETROS_IMPORTACION!$C:$C,0),0)</f>
        <v>0</v>
      </c>
      <c r="L526" s="2">
        <f t="shared" si="17"/>
        <v>0</v>
      </c>
    </row>
    <row r="527" spans="5:12" x14ac:dyDescent="0.35">
      <c r="E527" s="2"/>
      <c r="F527" s="2">
        <f>_xlfn.XLOOKUP(D527,TIPOS_CAMBIO!A:A,TIPOS_CAMBIO!B:B,"",0)</f>
        <v>0</v>
      </c>
      <c r="G527" s="3">
        <f t="shared" si="16"/>
        <v>0</v>
      </c>
      <c r="H527" s="3"/>
      <c r="I527" s="3">
        <f ca="1">IFERROR(_xludf.XLOOKUP("Seguro",PARAMETROS_IMPORTACION!$A:$A,PARAMETROS_IMPORTACION!$C:$C,0),0)</f>
        <v>0</v>
      </c>
      <c r="J527" s="3">
        <f ca="1">IFERROR(_xludf.XLOOKUP("Arancel",PARAMETROS_IMPORTACION!$A:$A,PARAMETROS_IMPORTACION!$C:$C,0),0)</f>
        <v>0</v>
      </c>
      <c r="K527" s="2">
        <f ca="1">IFERROR(_xludf.XLOOKUP("Gastos_Aduana",PARAMETROS_IMPORTACION!$A:$A,PARAMETROS_IMPORTACION!$C:$C,0),0)</f>
        <v>0</v>
      </c>
      <c r="L527" s="2">
        <f t="shared" si="17"/>
        <v>0</v>
      </c>
    </row>
    <row r="528" spans="5:12" x14ac:dyDescent="0.35">
      <c r="E528" s="2"/>
      <c r="F528" s="2">
        <f>_xlfn.XLOOKUP(D528,TIPOS_CAMBIO!A:A,TIPOS_CAMBIO!B:B,"",0)</f>
        <v>0</v>
      </c>
      <c r="G528" s="3">
        <f t="shared" si="16"/>
        <v>0</v>
      </c>
      <c r="H528" s="3"/>
      <c r="I528" s="3">
        <f ca="1">IFERROR(_xludf.XLOOKUP("Seguro",PARAMETROS_IMPORTACION!$A:$A,PARAMETROS_IMPORTACION!$C:$C,0),0)</f>
        <v>0</v>
      </c>
      <c r="J528" s="3">
        <f ca="1">IFERROR(_xludf.XLOOKUP("Arancel",PARAMETROS_IMPORTACION!$A:$A,PARAMETROS_IMPORTACION!$C:$C,0),0)</f>
        <v>0</v>
      </c>
      <c r="K528" s="2">
        <f ca="1">IFERROR(_xludf.XLOOKUP("Gastos_Aduana",PARAMETROS_IMPORTACION!$A:$A,PARAMETROS_IMPORTACION!$C:$C,0),0)</f>
        <v>0</v>
      </c>
      <c r="L528" s="2">
        <f t="shared" si="17"/>
        <v>0</v>
      </c>
    </row>
    <row r="529" spans="5:12" x14ac:dyDescent="0.35">
      <c r="E529" s="2"/>
      <c r="F529" s="2">
        <f>_xlfn.XLOOKUP(D529,TIPOS_CAMBIO!A:A,TIPOS_CAMBIO!B:B,"",0)</f>
        <v>0</v>
      </c>
      <c r="G529" s="3">
        <f t="shared" si="16"/>
        <v>0</v>
      </c>
      <c r="H529" s="3"/>
      <c r="I529" s="3">
        <f ca="1">IFERROR(_xludf.XLOOKUP("Seguro",PARAMETROS_IMPORTACION!$A:$A,PARAMETROS_IMPORTACION!$C:$C,0),0)</f>
        <v>0</v>
      </c>
      <c r="J529" s="3">
        <f ca="1">IFERROR(_xludf.XLOOKUP("Arancel",PARAMETROS_IMPORTACION!$A:$A,PARAMETROS_IMPORTACION!$C:$C,0),0)</f>
        <v>0</v>
      </c>
      <c r="K529" s="2">
        <f ca="1">IFERROR(_xludf.XLOOKUP("Gastos_Aduana",PARAMETROS_IMPORTACION!$A:$A,PARAMETROS_IMPORTACION!$C:$C,0),0)</f>
        <v>0</v>
      </c>
      <c r="L529" s="2">
        <f t="shared" si="17"/>
        <v>0</v>
      </c>
    </row>
    <row r="530" spans="5:12" x14ac:dyDescent="0.35">
      <c r="E530" s="2"/>
      <c r="F530" s="2">
        <f>_xlfn.XLOOKUP(D530,TIPOS_CAMBIO!A:A,TIPOS_CAMBIO!B:B,"",0)</f>
        <v>0</v>
      </c>
      <c r="G530" s="3">
        <f t="shared" si="16"/>
        <v>0</v>
      </c>
      <c r="H530" s="3"/>
      <c r="I530" s="3">
        <f ca="1">IFERROR(_xludf.XLOOKUP("Seguro",PARAMETROS_IMPORTACION!$A:$A,PARAMETROS_IMPORTACION!$C:$C,0),0)</f>
        <v>0</v>
      </c>
      <c r="J530" s="3">
        <f ca="1">IFERROR(_xludf.XLOOKUP("Arancel",PARAMETROS_IMPORTACION!$A:$A,PARAMETROS_IMPORTACION!$C:$C,0),0)</f>
        <v>0</v>
      </c>
      <c r="K530" s="2">
        <f ca="1">IFERROR(_xludf.XLOOKUP("Gastos_Aduana",PARAMETROS_IMPORTACION!$A:$A,PARAMETROS_IMPORTACION!$C:$C,0),0)</f>
        <v>0</v>
      </c>
      <c r="L530" s="2">
        <f t="shared" si="17"/>
        <v>0</v>
      </c>
    </row>
    <row r="531" spans="5:12" x14ac:dyDescent="0.35">
      <c r="E531" s="2"/>
      <c r="F531" s="2">
        <f>_xlfn.XLOOKUP(D531,TIPOS_CAMBIO!A:A,TIPOS_CAMBIO!B:B,"",0)</f>
        <v>0</v>
      </c>
      <c r="G531" s="3">
        <f t="shared" si="16"/>
        <v>0</v>
      </c>
      <c r="H531" s="3"/>
      <c r="I531" s="3">
        <f ca="1">IFERROR(_xludf.XLOOKUP("Seguro",PARAMETROS_IMPORTACION!$A:$A,PARAMETROS_IMPORTACION!$C:$C,0),0)</f>
        <v>0</v>
      </c>
      <c r="J531" s="3">
        <f ca="1">IFERROR(_xludf.XLOOKUP("Arancel",PARAMETROS_IMPORTACION!$A:$A,PARAMETROS_IMPORTACION!$C:$C,0),0)</f>
        <v>0</v>
      </c>
      <c r="K531" s="2">
        <f ca="1">IFERROR(_xludf.XLOOKUP("Gastos_Aduana",PARAMETROS_IMPORTACION!$A:$A,PARAMETROS_IMPORTACION!$C:$C,0),0)</f>
        <v>0</v>
      </c>
      <c r="L531" s="2">
        <f t="shared" si="17"/>
        <v>0</v>
      </c>
    </row>
    <row r="532" spans="5:12" x14ac:dyDescent="0.35">
      <c r="E532" s="2"/>
      <c r="F532" s="2">
        <f>_xlfn.XLOOKUP(D532,TIPOS_CAMBIO!A:A,TIPOS_CAMBIO!B:B,"",0)</f>
        <v>0</v>
      </c>
      <c r="G532" s="3">
        <f t="shared" si="16"/>
        <v>0</v>
      </c>
      <c r="H532" s="3"/>
      <c r="I532" s="3">
        <f ca="1">IFERROR(_xludf.XLOOKUP("Seguro",PARAMETROS_IMPORTACION!$A:$A,PARAMETROS_IMPORTACION!$C:$C,0),0)</f>
        <v>0</v>
      </c>
      <c r="J532" s="3">
        <f ca="1">IFERROR(_xludf.XLOOKUP("Arancel",PARAMETROS_IMPORTACION!$A:$A,PARAMETROS_IMPORTACION!$C:$C,0),0)</f>
        <v>0</v>
      </c>
      <c r="K532" s="2">
        <f ca="1">IFERROR(_xludf.XLOOKUP("Gastos_Aduana",PARAMETROS_IMPORTACION!$A:$A,PARAMETROS_IMPORTACION!$C:$C,0),0)</f>
        <v>0</v>
      </c>
      <c r="L532" s="2">
        <f t="shared" si="17"/>
        <v>0</v>
      </c>
    </row>
    <row r="533" spans="5:12" x14ac:dyDescent="0.35">
      <c r="E533" s="2"/>
      <c r="F533" s="2">
        <f>_xlfn.XLOOKUP(D533,TIPOS_CAMBIO!A:A,TIPOS_CAMBIO!B:B,"",0)</f>
        <v>0</v>
      </c>
      <c r="G533" s="3">
        <f t="shared" si="16"/>
        <v>0</v>
      </c>
      <c r="H533" s="3"/>
      <c r="I533" s="3">
        <f ca="1">IFERROR(_xludf.XLOOKUP("Seguro",PARAMETROS_IMPORTACION!$A:$A,PARAMETROS_IMPORTACION!$C:$C,0),0)</f>
        <v>0</v>
      </c>
      <c r="J533" s="3">
        <f ca="1">IFERROR(_xludf.XLOOKUP("Arancel",PARAMETROS_IMPORTACION!$A:$A,PARAMETROS_IMPORTACION!$C:$C,0),0)</f>
        <v>0</v>
      </c>
      <c r="K533" s="2">
        <f ca="1">IFERROR(_xludf.XLOOKUP("Gastos_Aduana",PARAMETROS_IMPORTACION!$A:$A,PARAMETROS_IMPORTACION!$C:$C,0),0)</f>
        <v>0</v>
      </c>
      <c r="L533" s="2">
        <f t="shared" si="17"/>
        <v>0</v>
      </c>
    </row>
    <row r="534" spans="5:12" x14ac:dyDescent="0.35">
      <c r="E534" s="2"/>
      <c r="F534" s="2">
        <f>_xlfn.XLOOKUP(D534,TIPOS_CAMBIO!A:A,TIPOS_CAMBIO!B:B,"",0)</f>
        <v>0</v>
      </c>
      <c r="G534" s="3">
        <f t="shared" si="16"/>
        <v>0</v>
      </c>
      <c r="H534" s="3"/>
      <c r="I534" s="3">
        <f ca="1">IFERROR(_xludf.XLOOKUP("Seguro",PARAMETROS_IMPORTACION!$A:$A,PARAMETROS_IMPORTACION!$C:$C,0),0)</f>
        <v>0</v>
      </c>
      <c r="J534" s="3">
        <f ca="1">IFERROR(_xludf.XLOOKUP("Arancel",PARAMETROS_IMPORTACION!$A:$A,PARAMETROS_IMPORTACION!$C:$C,0),0)</f>
        <v>0</v>
      </c>
      <c r="K534" s="2">
        <f ca="1">IFERROR(_xludf.XLOOKUP("Gastos_Aduana",PARAMETROS_IMPORTACION!$A:$A,PARAMETROS_IMPORTACION!$C:$C,0),0)</f>
        <v>0</v>
      </c>
      <c r="L534" s="2">
        <f t="shared" si="17"/>
        <v>0</v>
      </c>
    </row>
    <row r="535" spans="5:12" x14ac:dyDescent="0.35">
      <c r="E535" s="2"/>
      <c r="F535" s="2">
        <f>_xlfn.XLOOKUP(D535,TIPOS_CAMBIO!A:A,TIPOS_CAMBIO!B:B,"",0)</f>
        <v>0</v>
      </c>
      <c r="G535" s="3">
        <f t="shared" si="16"/>
        <v>0</v>
      </c>
      <c r="H535" s="3"/>
      <c r="I535" s="3">
        <f ca="1">IFERROR(_xludf.XLOOKUP("Seguro",PARAMETROS_IMPORTACION!$A:$A,PARAMETROS_IMPORTACION!$C:$C,0),0)</f>
        <v>0</v>
      </c>
      <c r="J535" s="3">
        <f ca="1">IFERROR(_xludf.XLOOKUP("Arancel",PARAMETROS_IMPORTACION!$A:$A,PARAMETROS_IMPORTACION!$C:$C,0),0)</f>
        <v>0</v>
      </c>
      <c r="K535" s="2">
        <f ca="1">IFERROR(_xludf.XLOOKUP("Gastos_Aduana",PARAMETROS_IMPORTACION!$A:$A,PARAMETROS_IMPORTACION!$C:$C,0),0)</f>
        <v>0</v>
      </c>
      <c r="L535" s="2">
        <f t="shared" si="17"/>
        <v>0</v>
      </c>
    </row>
    <row r="536" spans="5:12" x14ac:dyDescent="0.35">
      <c r="E536" s="2"/>
      <c r="F536" s="2">
        <f>_xlfn.XLOOKUP(D536,TIPOS_CAMBIO!A:A,TIPOS_CAMBIO!B:B,"",0)</f>
        <v>0</v>
      </c>
      <c r="G536" s="3">
        <f t="shared" si="16"/>
        <v>0</v>
      </c>
      <c r="H536" s="3"/>
      <c r="I536" s="3">
        <f ca="1">IFERROR(_xludf.XLOOKUP("Seguro",PARAMETROS_IMPORTACION!$A:$A,PARAMETROS_IMPORTACION!$C:$C,0),0)</f>
        <v>0</v>
      </c>
      <c r="J536" s="3">
        <f ca="1">IFERROR(_xludf.XLOOKUP("Arancel",PARAMETROS_IMPORTACION!$A:$A,PARAMETROS_IMPORTACION!$C:$C,0),0)</f>
        <v>0</v>
      </c>
      <c r="K536" s="2">
        <f ca="1">IFERROR(_xludf.XLOOKUP("Gastos_Aduana",PARAMETROS_IMPORTACION!$A:$A,PARAMETROS_IMPORTACION!$C:$C,0),0)</f>
        <v>0</v>
      </c>
      <c r="L536" s="2">
        <f t="shared" si="17"/>
        <v>0</v>
      </c>
    </row>
    <row r="537" spans="5:12" x14ac:dyDescent="0.35">
      <c r="E537" s="2"/>
      <c r="F537" s="2">
        <f>_xlfn.XLOOKUP(D537,TIPOS_CAMBIO!A:A,TIPOS_CAMBIO!B:B,"",0)</f>
        <v>0</v>
      </c>
      <c r="G537" s="3">
        <f t="shared" si="16"/>
        <v>0</v>
      </c>
      <c r="H537" s="3"/>
      <c r="I537" s="3">
        <f ca="1">IFERROR(_xludf.XLOOKUP("Seguro",PARAMETROS_IMPORTACION!$A:$A,PARAMETROS_IMPORTACION!$C:$C,0),0)</f>
        <v>0</v>
      </c>
      <c r="J537" s="3">
        <f ca="1">IFERROR(_xludf.XLOOKUP("Arancel",PARAMETROS_IMPORTACION!$A:$A,PARAMETROS_IMPORTACION!$C:$C,0),0)</f>
        <v>0</v>
      </c>
      <c r="K537" s="2">
        <f ca="1">IFERROR(_xludf.XLOOKUP("Gastos_Aduana",PARAMETROS_IMPORTACION!$A:$A,PARAMETROS_IMPORTACION!$C:$C,0),0)</f>
        <v>0</v>
      </c>
      <c r="L537" s="2">
        <f t="shared" si="17"/>
        <v>0</v>
      </c>
    </row>
    <row r="538" spans="5:12" x14ac:dyDescent="0.35">
      <c r="E538" s="2"/>
      <c r="F538" s="2">
        <f>_xlfn.XLOOKUP(D538,TIPOS_CAMBIO!A:A,TIPOS_CAMBIO!B:B,"",0)</f>
        <v>0</v>
      </c>
      <c r="G538" s="3">
        <f t="shared" si="16"/>
        <v>0</v>
      </c>
      <c r="H538" s="3"/>
      <c r="I538" s="3">
        <f ca="1">IFERROR(_xludf.XLOOKUP("Seguro",PARAMETROS_IMPORTACION!$A:$A,PARAMETROS_IMPORTACION!$C:$C,0),0)</f>
        <v>0</v>
      </c>
      <c r="J538" s="3">
        <f ca="1">IFERROR(_xludf.XLOOKUP("Arancel",PARAMETROS_IMPORTACION!$A:$A,PARAMETROS_IMPORTACION!$C:$C,0),0)</f>
        <v>0</v>
      </c>
      <c r="K538" s="2">
        <f ca="1">IFERROR(_xludf.XLOOKUP("Gastos_Aduana",PARAMETROS_IMPORTACION!$A:$A,PARAMETROS_IMPORTACION!$C:$C,0),0)</f>
        <v>0</v>
      </c>
      <c r="L538" s="2">
        <f t="shared" si="17"/>
        <v>0</v>
      </c>
    </row>
    <row r="539" spans="5:12" x14ac:dyDescent="0.35">
      <c r="E539" s="2"/>
      <c r="F539" s="2">
        <f>_xlfn.XLOOKUP(D539,TIPOS_CAMBIO!A:A,TIPOS_CAMBIO!B:B,"",0)</f>
        <v>0</v>
      </c>
      <c r="G539" s="3">
        <f t="shared" si="16"/>
        <v>0</v>
      </c>
      <c r="H539" s="3"/>
      <c r="I539" s="3">
        <f ca="1">IFERROR(_xludf.XLOOKUP("Seguro",PARAMETROS_IMPORTACION!$A:$A,PARAMETROS_IMPORTACION!$C:$C,0),0)</f>
        <v>0</v>
      </c>
      <c r="J539" s="3">
        <f ca="1">IFERROR(_xludf.XLOOKUP("Arancel",PARAMETROS_IMPORTACION!$A:$A,PARAMETROS_IMPORTACION!$C:$C,0),0)</f>
        <v>0</v>
      </c>
      <c r="K539" s="2">
        <f ca="1">IFERROR(_xludf.XLOOKUP("Gastos_Aduana",PARAMETROS_IMPORTACION!$A:$A,PARAMETROS_IMPORTACION!$C:$C,0),0)</f>
        <v>0</v>
      </c>
      <c r="L539" s="2">
        <f t="shared" si="17"/>
        <v>0</v>
      </c>
    </row>
    <row r="540" spans="5:12" x14ac:dyDescent="0.35">
      <c r="E540" s="2"/>
      <c r="F540" s="2">
        <f>_xlfn.XLOOKUP(D540,TIPOS_CAMBIO!A:A,TIPOS_CAMBIO!B:B,"",0)</f>
        <v>0</v>
      </c>
      <c r="G540" s="3">
        <f t="shared" si="16"/>
        <v>0</v>
      </c>
      <c r="H540" s="3"/>
      <c r="I540" s="3">
        <f ca="1">IFERROR(_xludf.XLOOKUP("Seguro",PARAMETROS_IMPORTACION!$A:$A,PARAMETROS_IMPORTACION!$C:$C,0),0)</f>
        <v>0</v>
      </c>
      <c r="J540" s="3">
        <f ca="1">IFERROR(_xludf.XLOOKUP("Arancel",PARAMETROS_IMPORTACION!$A:$A,PARAMETROS_IMPORTACION!$C:$C,0),0)</f>
        <v>0</v>
      </c>
      <c r="K540" s="2">
        <f ca="1">IFERROR(_xludf.XLOOKUP("Gastos_Aduana",PARAMETROS_IMPORTACION!$A:$A,PARAMETROS_IMPORTACION!$C:$C,0),0)</f>
        <v>0</v>
      </c>
      <c r="L540" s="2">
        <f t="shared" si="17"/>
        <v>0</v>
      </c>
    </row>
    <row r="541" spans="5:12" x14ac:dyDescent="0.35">
      <c r="E541" s="2"/>
      <c r="F541" s="2">
        <f>_xlfn.XLOOKUP(D541,TIPOS_CAMBIO!A:A,TIPOS_CAMBIO!B:B,"",0)</f>
        <v>0</v>
      </c>
      <c r="G541" s="3">
        <f t="shared" si="16"/>
        <v>0</v>
      </c>
      <c r="H541" s="3"/>
      <c r="I541" s="3">
        <f ca="1">IFERROR(_xludf.XLOOKUP("Seguro",PARAMETROS_IMPORTACION!$A:$A,PARAMETROS_IMPORTACION!$C:$C,0),0)</f>
        <v>0</v>
      </c>
      <c r="J541" s="3">
        <f ca="1">IFERROR(_xludf.XLOOKUP("Arancel",PARAMETROS_IMPORTACION!$A:$A,PARAMETROS_IMPORTACION!$C:$C,0),0)</f>
        <v>0</v>
      </c>
      <c r="K541" s="2">
        <f ca="1">IFERROR(_xludf.XLOOKUP("Gastos_Aduana",PARAMETROS_IMPORTACION!$A:$A,PARAMETROS_IMPORTACION!$C:$C,0),0)</f>
        <v>0</v>
      </c>
      <c r="L541" s="2">
        <f t="shared" si="17"/>
        <v>0</v>
      </c>
    </row>
    <row r="542" spans="5:12" x14ac:dyDescent="0.35">
      <c r="E542" s="2"/>
      <c r="F542" s="2">
        <f>_xlfn.XLOOKUP(D542,TIPOS_CAMBIO!A:A,TIPOS_CAMBIO!B:B,"",0)</f>
        <v>0</v>
      </c>
      <c r="G542" s="3">
        <f t="shared" si="16"/>
        <v>0</v>
      </c>
      <c r="H542" s="3"/>
      <c r="I542" s="3">
        <f ca="1">IFERROR(_xludf.XLOOKUP("Seguro",PARAMETROS_IMPORTACION!$A:$A,PARAMETROS_IMPORTACION!$C:$C,0),0)</f>
        <v>0</v>
      </c>
      <c r="J542" s="3">
        <f ca="1">IFERROR(_xludf.XLOOKUP("Arancel",PARAMETROS_IMPORTACION!$A:$A,PARAMETROS_IMPORTACION!$C:$C,0),0)</f>
        <v>0</v>
      </c>
      <c r="K542" s="2">
        <f ca="1">IFERROR(_xludf.XLOOKUP("Gastos_Aduana",PARAMETROS_IMPORTACION!$A:$A,PARAMETROS_IMPORTACION!$C:$C,0),0)</f>
        <v>0</v>
      </c>
      <c r="L542" s="2">
        <f t="shared" si="17"/>
        <v>0</v>
      </c>
    </row>
    <row r="543" spans="5:12" x14ac:dyDescent="0.35">
      <c r="E543" s="2"/>
      <c r="F543" s="2">
        <f>_xlfn.XLOOKUP(D543,TIPOS_CAMBIO!A:A,TIPOS_CAMBIO!B:B,"",0)</f>
        <v>0</v>
      </c>
      <c r="G543" s="3">
        <f t="shared" si="16"/>
        <v>0</v>
      </c>
      <c r="H543" s="3"/>
      <c r="I543" s="3">
        <f ca="1">IFERROR(_xludf.XLOOKUP("Seguro",PARAMETROS_IMPORTACION!$A:$A,PARAMETROS_IMPORTACION!$C:$C,0),0)</f>
        <v>0</v>
      </c>
      <c r="J543" s="3">
        <f ca="1">IFERROR(_xludf.XLOOKUP("Arancel",PARAMETROS_IMPORTACION!$A:$A,PARAMETROS_IMPORTACION!$C:$C,0),0)</f>
        <v>0</v>
      </c>
      <c r="K543" s="2">
        <f ca="1">IFERROR(_xludf.XLOOKUP("Gastos_Aduana",PARAMETROS_IMPORTACION!$A:$A,PARAMETROS_IMPORTACION!$C:$C,0),0)</f>
        <v>0</v>
      </c>
      <c r="L543" s="2">
        <f t="shared" si="17"/>
        <v>0</v>
      </c>
    </row>
    <row r="544" spans="5:12" x14ac:dyDescent="0.35">
      <c r="E544" s="2"/>
      <c r="F544" s="2">
        <f>_xlfn.XLOOKUP(D544,TIPOS_CAMBIO!A:A,TIPOS_CAMBIO!B:B,"",0)</f>
        <v>0</v>
      </c>
      <c r="G544" s="3">
        <f t="shared" si="16"/>
        <v>0</v>
      </c>
      <c r="H544" s="3"/>
      <c r="I544" s="3">
        <f ca="1">IFERROR(_xludf.XLOOKUP("Seguro",PARAMETROS_IMPORTACION!$A:$A,PARAMETROS_IMPORTACION!$C:$C,0),0)</f>
        <v>0</v>
      </c>
      <c r="J544" s="3">
        <f ca="1">IFERROR(_xludf.XLOOKUP("Arancel",PARAMETROS_IMPORTACION!$A:$A,PARAMETROS_IMPORTACION!$C:$C,0),0)</f>
        <v>0</v>
      </c>
      <c r="K544" s="2">
        <f ca="1">IFERROR(_xludf.XLOOKUP("Gastos_Aduana",PARAMETROS_IMPORTACION!$A:$A,PARAMETROS_IMPORTACION!$C:$C,0),0)</f>
        <v>0</v>
      </c>
      <c r="L544" s="2">
        <f t="shared" si="17"/>
        <v>0</v>
      </c>
    </row>
    <row r="545" spans="5:12" x14ac:dyDescent="0.35">
      <c r="E545" s="2"/>
      <c r="F545" s="2">
        <f>_xlfn.XLOOKUP(D545,TIPOS_CAMBIO!A:A,TIPOS_CAMBIO!B:B,"",0)</f>
        <v>0</v>
      </c>
      <c r="G545" s="3">
        <f t="shared" si="16"/>
        <v>0</v>
      </c>
      <c r="H545" s="3"/>
      <c r="I545" s="3">
        <f ca="1">IFERROR(_xludf.XLOOKUP("Seguro",PARAMETROS_IMPORTACION!$A:$A,PARAMETROS_IMPORTACION!$C:$C,0),0)</f>
        <v>0</v>
      </c>
      <c r="J545" s="3">
        <f ca="1">IFERROR(_xludf.XLOOKUP("Arancel",PARAMETROS_IMPORTACION!$A:$A,PARAMETROS_IMPORTACION!$C:$C,0),0)</f>
        <v>0</v>
      </c>
      <c r="K545" s="2">
        <f ca="1">IFERROR(_xludf.XLOOKUP("Gastos_Aduana",PARAMETROS_IMPORTACION!$A:$A,PARAMETROS_IMPORTACION!$C:$C,0),0)</f>
        <v>0</v>
      </c>
      <c r="L545" s="2">
        <f t="shared" si="17"/>
        <v>0</v>
      </c>
    </row>
    <row r="546" spans="5:12" x14ac:dyDescent="0.35">
      <c r="E546" s="2"/>
      <c r="F546" s="2">
        <f>_xlfn.XLOOKUP(D546,TIPOS_CAMBIO!A:A,TIPOS_CAMBIO!B:B,"",0)</f>
        <v>0</v>
      </c>
      <c r="G546" s="3">
        <f t="shared" si="16"/>
        <v>0</v>
      </c>
      <c r="H546" s="3"/>
      <c r="I546" s="3">
        <f ca="1">IFERROR(_xludf.XLOOKUP("Seguro",PARAMETROS_IMPORTACION!$A:$A,PARAMETROS_IMPORTACION!$C:$C,0),0)</f>
        <v>0</v>
      </c>
      <c r="J546" s="3">
        <f ca="1">IFERROR(_xludf.XLOOKUP("Arancel",PARAMETROS_IMPORTACION!$A:$A,PARAMETROS_IMPORTACION!$C:$C,0),0)</f>
        <v>0</v>
      </c>
      <c r="K546" s="2">
        <f ca="1">IFERROR(_xludf.XLOOKUP("Gastos_Aduana",PARAMETROS_IMPORTACION!$A:$A,PARAMETROS_IMPORTACION!$C:$C,0),0)</f>
        <v>0</v>
      </c>
      <c r="L546" s="2">
        <f t="shared" si="17"/>
        <v>0</v>
      </c>
    </row>
    <row r="547" spans="5:12" x14ac:dyDescent="0.35">
      <c r="E547" s="2"/>
      <c r="F547" s="2">
        <f>_xlfn.XLOOKUP(D547,TIPOS_CAMBIO!A:A,TIPOS_CAMBIO!B:B,"",0)</f>
        <v>0</v>
      </c>
      <c r="G547" s="3">
        <f t="shared" si="16"/>
        <v>0</v>
      </c>
      <c r="H547" s="3"/>
      <c r="I547" s="3">
        <f ca="1">IFERROR(_xludf.XLOOKUP("Seguro",PARAMETROS_IMPORTACION!$A:$A,PARAMETROS_IMPORTACION!$C:$C,0),0)</f>
        <v>0</v>
      </c>
      <c r="J547" s="3">
        <f ca="1">IFERROR(_xludf.XLOOKUP("Arancel",PARAMETROS_IMPORTACION!$A:$A,PARAMETROS_IMPORTACION!$C:$C,0),0)</f>
        <v>0</v>
      </c>
      <c r="K547" s="2">
        <f ca="1">IFERROR(_xludf.XLOOKUP("Gastos_Aduana",PARAMETROS_IMPORTACION!$A:$A,PARAMETROS_IMPORTACION!$C:$C,0),0)</f>
        <v>0</v>
      </c>
      <c r="L547" s="2">
        <f t="shared" si="17"/>
        <v>0</v>
      </c>
    </row>
    <row r="548" spans="5:12" x14ac:dyDescent="0.35">
      <c r="E548" s="2"/>
      <c r="F548" s="2">
        <f>_xlfn.XLOOKUP(D548,TIPOS_CAMBIO!A:A,TIPOS_CAMBIO!B:B,"",0)</f>
        <v>0</v>
      </c>
      <c r="G548" s="3">
        <f t="shared" si="16"/>
        <v>0</v>
      </c>
      <c r="H548" s="3"/>
      <c r="I548" s="3">
        <f ca="1">IFERROR(_xludf.XLOOKUP("Seguro",PARAMETROS_IMPORTACION!$A:$A,PARAMETROS_IMPORTACION!$C:$C,0),0)</f>
        <v>0</v>
      </c>
      <c r="J548" s="3">
        <f ca="1">IFERROR(_xludf.XLOOKUP("Arancel",PARAMETROS_IMPORTACION!$A:$A,PARAMETROS_IMPORTACION!$C:$C,0),0)</f>
        <v>0</v>
      </c>
      <c r="K548" s="2">
        <f ca="1">IFERROR(_xludf.XLOOKUP("Gastos_Aduana",PARAMETROS_IMPORTACION!$A:$A,PARAMETROS_IMPORTACION!$C:$C,0),0)</f>
        <v>0</v>
      </c>
      <c r="L548" s="2">
        <f t="shared" si="17"/>
        <v>0</v>
      </c>
    </row>
    <row r="549" spans="5:12" x14ac:dyDescent="0.35">
      <c r="E549" s="2"/>
      <c r="F549" s="2">
        <f>_xlfn.XLOOKUP(D549,TIPOS_CAMBIO!A:A,TIPOS_CAMBIO!B:B,"",0)</f>
        <v>0</v>
      </c>
      <c r="G549" s="3">
        <f t="shared" si="16"/>
        <v>0</v>
      </c>
      <c r="H549" s="3"/>
      <c r="I549" s="3">
        <f ca="1">IFERROR(_xludf.XLOOKUP("Seguro",PARAMETROS_IMPORTACION!$A:$A,PARAMETROS_IMPORTACION!$C:$C,0),0)</f>
        <v>0</v>
      </c>
      <c r="J549" s="3">
        <f ca="1">IFERROR(_xludf.XLOOKUP("Arancel",PARAMETROS_IMPORTACION!$A:$A,PARAMETROS_IMPORTACION!$C:$C,0),0)</f>
        <v>0</v>
      </c>
      <c r="K549" s="2">
        <f ca="1">IFERROR(_xludf.XLOOKUP("Gastos_Aduana",PARAMETROS_IMPORTACION!$A:$A,PARAMETROS_IMPORTACION!$C:$C,0),0)</f>
        <v>0</v>
      </c>
      <c r="L549" s="2">
        <f t="shared" si="17"/>
        <v>0</v>
      </c>
    </row>
    <row r="550" spans="5:12" x14ac:dyDescent="0.35">
      <c r="E550" s="2"/>
      <c r="F550" s="2">
        <f>_xlfn.XLOOKUP(D550,TIPOS_CAMBIO!A:A,TIPOS_CAMBIO!B:B,"",0)</f>
        <v>0</v>
      </c>
      <c r="G550" s="3">
        <f t="shared" si="16"/>
        <v>0</v>
      </c>
      <c r="H550" s="3"/>
      <c r="I550" s="3">
        <f ca="1">IFERROR(_xludf.XLOOKUP("Seguro",PARAMETROS_IMPORTACION!$A:$A,PARAMETROS_IMPORTACION!$C:$C,0),0)</f>
        <v>0</v>
      </c>
      <c r="J550" s="3">
        <f ca="1">IFERROR(_xludf.XLOOKUP("Arancel",PARAMETROS_IMPORTACION!$A:$A,PARAMETROS_IMPORTACION!$C:$C,0),0)</f>
        <v>0</v>
      </c>
      <c r="K550" s="2">
        <f ca="1">IFERROR(_xludf.XLOOKUP("Gastos_Aduana",PARAMETROS_IMPORTACION!$A:$A,PARAMETROS_IMPORTACION!$C:$C,0),0)</f>
        <v>0</v>
      </c>
      <c r="L550" s="2">
        <f t="shared" si="17"/>
        <v>0</v>
      </c>
    </row>
    <row r="551" spans="5:12" x14ac:dyDescent="0.35">
      <c r="E551" s="2"/>
      <c r="F551" s="2">
        <f>_xlfn.XLOOKUP(D551,TIPOS_CAMBIO!A:A,TIPOS_CAMBIO!B:B,"",0)</f>
        <v>0</v>
      </c>
      <c r="G551" s="3">
        <f t="shared" si="16"/>
        <v>0</v>
      </c>
      <c r="H551" s="3"/>
      <c r="I551" s="3">
        <f ca="1">IFERROR(_xludf.XLOOKUP("Seguro",PARAMETROS_IMPORTACION!$A:$A,PARAMETROS_IMPORTACION!$C:$C,0),0)</f>
        <v>0</v>
      </c>
      <c r="J551" s="3">
        <f ca="1">IFERROR(_xludf.XLOOKUP("Arancel",PARAMETROS_IMPORTACION!$A:$A,PARAMETROS_IMPORTACION!$C:$C,0),0)</f>
        <v>0</v>
      </c>
      <c r="K551" s="2">
        <f ca="1">IFERROR(_xludf.XLOOKUP("Gastos_Aduana",PARAMETROS_IMPORTACION!$A:$A,PARAMETROS_IMPORTACION!$C:$C,0),0)</f>
        <v>0</v>
      </c>
      <c r="L551" s="2">
        <f t="shared" si="17"/>
        <v>0</v>
      </c>
    </row>
    <row r="552" spans="5:12" x14ac:dyDescent="0.35">
      <c r="E552" s="2"/>
      <c r="F552" s="2">
        <f>_xlfn.XLOOKUP(D552,TIPOS_CAMBIO!A:A,TIPOS_CAMBIO!B:B,"",0)</f>
        <v>0</v>
      </c>
      <c r="G552" s="3">
        <f t="shared" si="16"/>
        <v>0</v>
      </c>
      <c r="H552" s="3"/>
      <c r="I552" s="3">
        <f ca="1">IFERROR(_xludf.XLOOKUP("Seguro",PARAMETROS_IMPORTACION!$A:$A,PARAMETROS_IMPORTACION!$C:$C,0),0)</f>
        <v>0</v>
      </c>
      <c r="J552" s="3">
        <f ca="1">IFERROR(_xludf.XLOOKUP("Arancel",PARAMETROS_IMPORTACION!$A:$A,PARAMETROS_IMPORTACION!$C:$C,0),0)</f>
        <v>0</v>
      </c>
      <c r="K552" s="2">
        <f ca="1">IFERROR(_xludf.XLOOKUP("Gastos_Aduana",PARAMETROS_IMPORTACION!$A:$A,PARAMETROS_IMPORTACION!$C:$C,0),0)</f>
        <v>0</v>
      </c>
      <c r="L552" s="2">
        <f t="shared" si="17"/>
        <v>0</v>
      </c>
    </row>
    <row r="553" spans="5:12" x14ac:dyDescent="0.35">
      <c r="E553" s="2"/>
      <c r="F553" s="2">
        <f>_xlfn.XLOOKUP(D553,TIPOS_CAMBIO!A:A,TIPOS_CAMBIO!B:B,"",0)</f>
        <v>0</v>
      </c>
      <c r="G553" s="3">
        <f t="shared" si="16"/>
        <v>0</v>
      </c>
      <c r="H553" s="3"/>
      <c r="I553" s="3">
        <f ca="1">IFERROR(_xludf.XLOOKUP("Seguro",PARAMETROS_IMPORTACION!$A:$A,PARAMETROS_IMPORTACION!$C:$C,0),0)</f>
        <v>0</v>
      </c>
      <c r="J553" s="3">
        <f ca="1">IFERROR(_xludf.XLOOKUP("Arancel",PARAMETROS_IMPORTACION!$A:$A,PARAMETROS_IMPORTACION!$C:$C,0),0)</f>
        <v>0</v>
      </c>
      <c r="K553" s="2">
        <f ca="1">IFERROR(_xludf.XLOOKUP("Gastos_Aduana",PARAMETROS_IMPORTACION!$A:$A,PARAMETROS_IMPORTACION!$C:$C,0),0)</f>
        <v>0</v>
      </c>
      <c r="L553" s="2">
        <f t="shared" si="17"/>
        <v>0</v>
      </c>
    </row>
    <row r="554" spans="5:12" x14ac:dyDescent="0.35">
      <c r="E554" s="2"/>
      <c r="F554" s="2">
        <f>_xlfn.XLOOKUP(D554,TIPOS_CAMBIO!A:A,TIPOS_CAMBIO!B:B,"",0)</f>
        <v>0</v>
      </c>
      <c r="G554" s="3">
        <f t="shared" si="16"/>
        <v>0</v>
      </c>
      <c r="H554" s="3"/>
      <c r="I554" s="3">
        <f ca="1">IFERROR(_xludf.XLOOKUP("Seguro",PARAMETROS_IMPORTACION!$A:$A,PARAMETROS_IMPORTACION!$C:$C,0),0)</f>
        <v>0</v>
      </c>
      <c r="J554" s="3">
        <f ca="1">IFERROR(_xludf.XLOOKUP("Arancel",PARAMETROS_IMPORTACION!$A:$A,PARAMETROS_IMPORTACION!$C:$C,0),0)</f>
        <v>0</v>
      </c>
      <c r="K554" s="2">
        <f ca="1">IFERROR(_xludf.XLOOKUP("Gastos_Aduana",PARAMETROS_IMPORTACION!$A:$A,PARAMETROS_IMPORTACION!$C:$C,0),0)</f>
        <v>0</v>
      </c>
      <c r="L554" s="2">
        <f t="shared" si="17"/>
        <v>0</v>
      </c>
    </row>
    <row r="555" spans="5:12" x14ac:dyDescent="0.35">
      <c r="E555" s="2"/>
      <c r="F555" s="2">
        <f>_xlfn.XLOOKUP(D555,TIPOS_CAMBIO!A:A,TIPOS_CAMBIO!B:B,"",0)</f>
        <v>0</v>
      </c>
      <c r="G555" s="3">
        <f t="shared" si="16"/>
        <v>0</v>
      </c>
      <c r="H555" s="3"/>
      <c r="I555" s="3">
        <f ca="1">IFERROR(_xludf.XLOOKUP("Seguro",PARAMETROS_IMPORTACION!$A:$A,PARAMETROS_IMPORTACION!$C:$C,0),0)</f>
        <v>0</v>
      </c>
      <c r="J555" s="3">
        <f ca="1">IFERROR(_xludf.XLOOKUP("Arancel",PARAMETROS_IMPORTACION!$A:$A,PARAMETROS_IMPORTACION!$C:$C,0),0)</f>
        <v>0</v>
      </c>
      <c r="K555" s="2">
        <f ca="1">IFERROR(_xludf.XLOOKUP("Gastos_Aduana",PARAMETROS_IMPORTACION!$A:$A,PARAMETROS_IMPORTACION!$C:$C,0),0)</f>
        <v>0</v>
      </c>
      <c r="L555" s="2">
        <f t="shared" si="17"/>
        <v>0</v>
      </c>
    </row>
    <row r="556" spans="5:12" x14ac:dyDescent="0.35">
      <c r="E556" s="2"/>
      <c r="F556" s="2">
        <f>_xlfn.XLOOKUP(D556,TIPOS_CAMBIO!A:A,TIPOS_CAMBIO!B:B,"",0)</f>
        <v>0</v>
      </c>
      <c r="G556" s="3">
        <f t="shared" si="16"/>
        <v>0</v>
      </c>
      <c r="H556" s="3"/>
      <c r="I556" s="3">
        <f ca="1">IFERROR(_xludf.XLOOKUP("Seguro",PARAMETROS_IMPORTACION!$A:$A,PARAMETROS_IMPORTACION!$C:$C,0),0)</f>
        <v>0</v>
      </c>
      <c r="J556" s="3">
        <f ca="1">IFERROR(_xludf.XLOOKUP("Arancel",PARAMETROS_IMPORTACION!$A:$A,PARAMETROS_IMPORTACION!$C:$C,0),0)</f>
        <v>0</v>
      </c>
      <c r="K556" s="2">
        <f ca="1">IFERROR(_xludf.XLOOKUP("Gastos_Aduana",PARAMETROS_IMPORTACION!$A:$A,PARAMETROS_IMPORTACION!$C:$C,0),0)</f>
        <v>0</v>
      </c>
      <c r="L556" s="2">
        <f t="shared" si="17"/>
        <v>0</v>
      </c>
    </row>
    <row r="557" spans="5:12" x14ac:dyDescent="0.35">
      <c r="E557" s="2"/>
      <c r="F557" s="2">
        <f>_xlfn.XLOOKUP(D557,TIPOS_CAMBIO!A:A,TIPOS_CAMBIO!B:B,"",0)</f>
        <v>0</v>
      </c>
      <c r="G557" s="3">
        <f t="shared" si="16"/>
        <v>0</v>
      </c>
      <c r="H557" s="3"/>
      <c r="I557" s="3">
        <f ca="1">IFERROR(_xludf.XLOOKUP("Seguro",PARAMETROS_IMPORTACION!$A:$A,PARAMETROS_IMPORTACION!$C:$C,0),0)</f>
        <v>0</v>
      </c>
      <c r="J557" s="3">
        <f ca="1">IFERROR(_xludf.XLOOKUP("Arancel",PARAMETROS_IMPORTACION!$A:$A,PARAMETROS_IMPORTACION!$C:$C,0),0)</f>
        <v>0</v>
      </c>
      <c r="K557" s="2">
        <f ca="1">IFERROR(_xludf.XLOOKUP("Gastos_Aduana",PARAMETROS_IMPORTACION!$A:$A,PARAMETROS_IMPORTACION!$C:$C,0),0)</f>
        <v>0</v>
      </c>
      <c r="L557" s="2">
        <f t="shared" si="17"/>
        <v>0</v>
      </c>
    </row>
    <row r="558" spans="5:12" x14ac:dyDescent="0.35">
      <c r="E558" s="2"/>
      <c r="F558" s="2">
        <f>_xlfn.XLOOKUP(D558,TIPOS_CAMBIO!A:A,TIPOS_CAMBIO!B:B,"",0)</f>
        <v>0</v>
      </c>
      <c r="G558" s="3">
        <f t="shared" si="16"/>
        <v>0</v>
      </c>
      <c r="H558" s="3"/>
      <c r="I558" s="3">
        <f ca="1">IFERROR(_xludf.XLOOKUP("Seguro",PARAMETROS_IMPORTACION!$A:$A,PARAMETROS_IMPORTACION!$C:$C,0),0)</f>
        <v>0</v>
      </c>
      <c r="J558" s="3">
        <f ca="1">IFERROR(_xludf.XLOOKUP("Arancel",PARAMETROS_IMPORTACION!$A:$A,PARAMETROS_IMPORTACION!$C:$C,0),0)</f>
        <v>0</v>
      </c>
      <c r="K558" s="2">
        <f ca="1">IFERROR(_xludf.XLOOKUP("Gastos_Aduana",PARAMETROS_IMPORTACION!$A:$A,PARAMETROS_IMPORTACION!$C:$C,0),0)</f>
        <v>0</v>
      </c>
      <c r="L558" s="2">
        <f t="shared" si="17"/>
        <v>0</v>
      </c>
    </row>
    <row r="559" spans="5:12" x14ac:dyDescent="0.35">
      <c r="E559" s="2"/>
      <c r="F559" s="2">
        <f>_xlfn.XLOOKUP(D559,TIPOS_CAMBIO!A:A,TIPOS_CAMBIO!B:B,"",0)</f>
        <v>0</v>
      </c>
      <c r="G559" s="3">
        <f t="shared" si="16"/>
        <v>0</v>
      </c>
      <c r="H559" s="3"/>
      <c r="I559" s="3">
        <f ca="1">IFERROR(_xludf.XLOOKUP("Seguro",PARAMETROS_IMPORTACION!$A:$A,PARAMETROS_IMPORTACION!$C:$C,0),0)</f>
        <v>0</v>
      </c>
      <c r="J559" s="3">
        <f ca="1">IFERROR(_xludf.XLOOKUP("Arancel",PARAMETROS_IMPORTACION!$A:$A,PARAMETROS_IMPORTACION!$C:$C,0),0)</f>
        <v>0</v>
      </c>
      <c r="K559" s="2">
        <f ca="1">IFERROR(_xludf.XLOOKUP("Gastos_Aduana",PARAMETROS_IMPORTACION!$A:$A,PARAMETROS_IMPORTACION!$C:$C,0),0)</f>
        <v>0</v>
      </c>
      <c r="L559" s="2">
        <f t="shared" si="17"/>
        <v>0</v>
      </c>
    </row>
    <row r="560" spans="5:12" x14ac:dyDescent="0.35">
      <c r="E560" s="2"/>
      <c r="F560" s="2">
        <f>_xlfn.XLOOKUP(D560,TIPOS_CAMBIO!A:A,TIPOS_CAMBIO!B:B,"",0)</f>
        <v>0</v>
      </c>
      <c r="G560" s="3">
        <f t="shared" si="16"/>
        <v>0</v>
      </c>
      <c r="H560" s="3"/>
      <c r="I560" s="3">
        <f ca="1">IFERROR(_xludf.XLOOKUP("Seguro",PARAMETROS_IMPORTACION!$A:$A,PARAMETROS_IMPORTACION!$C:$C,0),0)</f>
        <v>0</v>
      </c>
      <c r="J560" s="3">
        <f ca="1">IFERROR(_xludf.XLOOKUP("Arancel",PARAMETROS_IMPORTACION!$A:$A,PARAMETROS_IMPORTACION!$C:$C,0),0)</f>
        <v>0</v>
      </c>
      <c r="K560" s="2">
        <f ca="1">IFERROR(_xludf.XLOOKUP("Gastos_Aduana",PARAMETROS_IMPORTACION!$A:$A,PARAMETROS_IMPORTACION!$C:$C,0),0)</f>
        <v>0</v>
      </c>
      <c r="L560" s="2">
        <f t="shared" si="17"/>
        <v>0</v>
      </c>
    </row>
    <row r="561" spans="5:12" x14ac:dyDescent="0.35">
      <c r="E561" s="2"/>
      <c r="F561" s="2">
        <f>_xlfn.XLOOKUP(D561,TIPOS_CAMBIO!A:A,TIPOS_CAMBIO!B:B,"",0)</f>
        <v>0</v>
      </c>
      <c r="G561" s="3">
        <f t="shared" si="16"/>
        <v>0</v>
      </c>
      <c r="H561" s="3"/>
      <c r="I561" s="3">
        <f ca="1">IFERROR(_xludf.XLOOKUP("Seguro",PARAMETROS_IMPORTACION!$A:$A,PARAMETROS_IMPORTACION!$C:$C,0),0)</f>
        <v>0</v>
      </c>
      <c r="J561" s="3">
        <f ca="1">IFERROR(_xludf.XLOOKUP("Arancel",PARAMETROS_IMPORTACION!$A:$A,PARAMETROS_IMPORTACION!$C:$C,0),0)</f>
        <v>0</v>
      </c>
      <c r="K561" s="2">
        <f ca="1">IFERROR(_xludf.XLOOKUP("Gastos_Aduana",PARAMETROS_IMPORTACION!$A:$A,PARAMETROS_IMPORTACION!$C:$C,0),0)</f>
        <v>0</v>
      </c>
      <c r="L561" s="2">
        <f t="shared" si="17"/>
        <v>0</v>
      </c>
    </row>
    <row r="562" spans="5:12" x14ac:dyDescent="0.35">
      <c r="E562" s="2"/>
      <c r="F562" s="2">
        <f>_xlfn.XLOOKUP(D562,TIPOS_CAMBIO!A:A,TIPOS_CAMBIO!B:B,"",0)</f>
        <v>0</v>
      </c>
      <c r="G562" s="3">
        <f t="shared" si="16"/>
        <v>0</v>
      </c>
      <c r="H562" s="3"/>
      <c r="I562" s="3">
        <f ca="1">IFERROR(_xludf.XLOOKUP("Seguro",PARAMETROS_IMPORTACION!$A:$A,PARAMETROS_IMPORTACION!$C:$C,0),0)</f>
        <v>0</v>
      </c>
      <c r="J562" s="3">
        <f ca="1">IFERROR(_xludf.XLOOKUP("Arancel",PARAMETROS_IMPORTACION!$A:$A,PARAMETROS_IMPORTACION!$C:$C,0),0)</f>
        <v>0</v>
      </c>
      <c r="K562" s="2">
        <f ca="1">IFERROR(_xludf.XLOOKUP("Gastos_Aduana",PARAMETROS_IMPORTACION!$A:$A,PARAMETROS_IMPORTACION!$C:$C,0),0)</f>
        <v>0</v>
      </c>
      <c r="L562" s="2">
        <f t="shared" si="17"/>
        <v>0</v>
      </c>
    </row>
    <row r="563" spans="5:12" x14ac:dyDescent="0.35">
      <c r="E563" s="2"/>
      <c r="F563" s="2">
        <f>_xlfn.XLOOKUP(D563,TIPOS_CAMBIO!A:A,TIPOS_CAMBIO!B:B,"",0)</f>
        <v>0</v>
      </c>
      <c r="G563" s="3">
        <f t="shared" si="16"/>
        <v>0</v>
      </c>
      <c r="H563" s="3"/>
      <c r="I563" s="3">
        <f ca="1">IFERROR(_xludf.XLOOKUP("Seguro",PARAMETROS_IMPORTACION!$A:$A,PARAMETROS_IMPORTACION!$C:$C,0),0)</f>
        <v>0</v>
      </c>
      <c r="J563" s="3">
        <f ca="1">IFERROR(_xludf.XLOOKUP("Arancel",PARAMETROS_IMPORTACION!$A:$A,PARAMETROS_IMPORTACION!$C:$C,0),0)</f>
        <v>0</v>
      </c>
      <c r="K563" s="2">
        <f ca="1">IFERROR(_xludf.XLOOKUP("Gastos_Aduana",PARAMETROS_IMPORTACION!$A:$A,PARAMETROS_IMPORTACION!$C:$C,0),0)</f>
        <v>0</v>
      </c>
      <c r="L563" s="2">
        <f t="shared" si="17"/>
        <v>0</v>
      </c>
    </row>
    <row r="564" spans="5:12" x14ac:dyDescent="0.35">
      <c r="E564" s="2"/>
      <c r="F564" s="2">
        <f>_xlfn.XLOOKUP(D564,TIPOS_CAMBIO!A:A,TIPOS_CAMBIO!B:B,"",0)</f>
        <v>0</v>
      </c>
      <c r="G564" s="3">
        <f t="shared" si="16"/>
        <v>0</v>
      </c>
      <c r="H564" s="3"/>
      <c r="I564" s="3">
        <f ca="1">IFERROR(_xludf.XLOOKUP("Seguro",PARAMETROS_IMPORTACION!$A:$A,PARAMETROS_IMPORTACION!$C:$C,0),0)</f>
        <v>0</v>
      </c>
      <c r="J564" s="3">
        <f ca="1">IFERROR(_xludf.XLOOKUP("Arancel",PARAMETROS_IMPORTACION!$A:$A,PARAMETROS_IMPORTACION!$C:$C,0),0)</f>
        <v>0</v>
      </c>
      <c r="K564" s="2">
        <f ca="1">IFERROR(_xludf.XLOOKUP("Gastos_Aduana",PARAMETROS_IMPORTACION!$A:$A,PARAMETROS_IMPORTACION!$C:$C,0),0)</f>
        <v>0</v>
      </c>
      <c r="L564" s="2">
        <f t="shared" si="17"/>
        <v>0</v>
      </c>
    </row>
    <row r="565" spans="5:12" x14ac:dyDescent="0.35">
      <c r="E565" s="2"/>
      <c r="F565" s="2">
        <f>_xlfn.XLOOKUP(D565,TIPOS_CAMBIO!A:A,TIPOS_CAMBIO!B:B,"",0)</f>
        <v>0</v>
      </c>
      <c r="G565" s="3">
        <f t="shared" si="16"/>
        <v>0</v>
      </c>
      <c r="H565" s="3"/>
      <c r="I565" s="3">
        <f ca="1">IFERROR(_xludf.XLOOKUP("Seguro",PARAMETROS_IMPORTACION!$A:$A,PARAMETROS_IMPORTACION!$C:$C,0),0)</f>
        <v>0</v>
      </c>
      <c r="J565" s="3">
        <f ca="1">IFERROR(_xludf.XLOOKUP("Arancel",PARAMETROS_IMPORTACION!$A:$A,PARAMETROS_IMPORTACION!$C:$C,0),0)</f>
        <v>0</v>
      </c>
      <c r="K565" s="2">
        <f ca="1">IFERROR(_xludf.XLOOKUP("Gastos_Aduana",PARAMETROS_IMPORTACION!$A:$A,PARAMETROS_IMPORTACION!$C:$C,0),0)</f>
        <v>0</v>
      </c>
      <c r="L565" s="2">
        <f t="shared" si="17"/>
        <v>0</v>
      </c>
    </row>
    <row r="566" spans="5:12" x14ac:dyDescent="0.35">
      <c r="E566" s="2"/>
      <c r="F566" s="2">
        <f>_xlfn.XLOOKUP(D566,TIPOS_CAMBIO!A:A,TIPOS_CAMBIO!B:B,"",0)</f>
        <v>0</v>
      </c>
      <c r="G566" s="3">
        <f t="shared" si="16"/>
        <v>0</v>
      </c>
      <c r="H566" s="3"/>
      <c r="I566" s="3">
        <f ca="1">IFERROR(_xludf.XLOOKUP("Seguro",PARAMETROS_IMPORTACION!$A:$A,PARAMETROS_IMPORTACION!$C:$C,0),0)</f>
        <v>0</v>
      </c>
      <c r="J566" s="3">
        <f ca="1">IFERROR(_xludf.XLOOKUP("Arancel",PARAMETROS_IMPORTACION!$A:$A,PARAMETROS_IMPORTACION!$C:$C,0),0)</f>
        <v>0</v>
      </c>
      <c r="K566" s="2">
        <f ca="1">IFERROR(_xludf.XLOOKUP("Gastos_Aduana",PARAMETROS_IMPORTACION!$A:$A,PARAMETROS_IMPORTACION!$C:$C,0),0)</f>
        <v>0</v>
      </c>
      <c r="L566" s="2">
        <f t="shared" si="17"/>
        <v>0</v>
      </c>
    </row>
    <row r="567" spans="5:12" x14ac:dyDescent="0.35">
      <c r="E567" s="2"/>
      <c r="F567" s="2">
        <f>_xlfn.XLOOKUP(D567,TIPOS_CAMBIO!A:A,TIPOS_CAMBIO!B:B,"",0)</f>
        <v>0</v>
      </c>
      <c r="G567" s="3">
        <f t="shared" si="16"/>
        <v>0</v>
      </c>
      <c r="H567" s="3"/>
      <c r="I567" s="3">
        <f ca="1">IFERROR(_xludf.XLOOKUP("Seguro",PARAMETROS_IMPORTACION!$A:$A,PARAMETROS_IMPORTACION!$C:$C,0),0)</f>
        <v>0</v>
      </c>
      <c r="J567" s="3">
        <f ca="1">IFERROR(_xludf.XLOOKUP("Arancel",PARAMETROS_IMPORTACION!$A:$A,PARAMETROS_IMPORTACION!$C:$C,0),0)</f>
        <v>0</v>
      </c>
      <c r="K567" s="2">
        <f ca="1">IFERROR(_xludf.XLOOKUP("Gastos_Aduana",PARAMETROS_IMPORTACION!$A:$A,PARAMETROS_IMPORTACION!$C:$C,0),0)</f>
        <v>0</v>
      </c>
      <c r="L567" s="2">
        <f t="shared" si="17"/>
        <v>0</v>
      </c>
    </row>
    <row r="568" spans="5:12" x14ac:dyDescent="0.35">
      <c r="E568" s="2"/>
      <c r="F568" s="2">
        <f>_xlfn.XLOOKUP(D568,TIPOS_CAMBIO!A:A,TIPOS_CAMBIO!B:B,"",0)</f>
        <v>0</v>
      </c>
      <c r="G568" s="3">
        <f t="shared" si="16"/>
        <v>0</v>
      </c>
      <c r="H568" s="3"/>
      <c r="I568" s="3">
        <f ca="1">IFERROR(_xludf.XLOOKUP("Seguro",PARAMETROS_IMPORTACION!$A:$A,PARAMETROS_IMPORTACION!$C:$C,0),0)</f>
        <v>0</v>
      </c>
      <c r="J568" s="3">
        <f ca="1">IFERROR(_xludf.XLOOKUP("Arancel",PARAMETROS_IMPORTACION!$A:$A,PARAMETROS_IMPORTACION!$C:$C,0),0)</f>
        <v>0</v>
      </c>
      <c r="K568" s="2">
        <f ca="1">IFERROR(_xludf.XLOOKUP("Gastos_Aduana",PARAMETROS_IMPORTACION!$A:$A,PARAMETROS_IMPORTACION!$C:$C,0),0)</f>
        <v>0</v>
      </c>
      <c r="L568" s="2">
        <f t="shared" si="17"/>
        <v>0</v>
      </c>
    </row>
    <row r="569" spans="5:12" x14ac:dyDescent="0.35">
      <c r="E569" s="2"/>
      <c r="F569" s="2">
        <f>_xlfn.XLOOKUP(D569,TIPOS_CAMBIO!A:A,TIPOS_CAMBIO!B:B,"",0)</f>
        <v>0</v>
      </c>
      <c r="G569" s="3">
        <f t="shared" si="16"/>
        <v>0</v>
      </c>
      <c r="H569" s="3"/>
      <c r="I569" s="3">
        <f ca="1">IFERROR(_xludf.XLOOKUP("Seguro",PARAMETROS_IMPORTACION!$A:$A,PARAMETROS_IMPORTACION!$C:$C,0),0)</f>
        <v>0</v>
      </c>
      <c r="J569" s="3">
        <f ca="1">IFERROR(_xludf.XLOOKUP("Arancel",PARAMETROS_IMPORTACION!$A:$A,PARAMETROS_IMPORTACION!$C:$C,0),0)</f>
        <v>0</v>
      </c>
      <c r="K569" s="2">
        <f ca="1">IFERROR(_xludf.XLOOKUP("Gastos_Aduana",PARAMETROS_IMPORTACION!$A:$A,PARAMETROS_IMPORTACION!$C:$C,0),0)</f>
        <v>0</v>
      </c>
      <c r="L569" s="2">
        <f t="shared" si="17"/>
        <v>0</v>
      </c>
    </row>
    <row r="570" spans="5:12" x14ac:dyDescent="0.35">
      <c r="E570" s="2"/>
      <c r="F570" s="2">
        <f>_xlfn.XLOOKUP(D570,TIPOS_CAMBIO!A:A,TIPOS_CAMBIO!B:B,"",0)</f>
        <v>0</v>
      </c>
      <c r="G570" s="3">
        <f t="shared" si="16"/>
        <v>0</v>
      </c>
      <c r="H570" s="3"/>
      <c r="I570" s="3">
        <f ca="1">IFERROR(_xludf.XLOOKUP("Seguro",PARAMETROS_IMPORTACION!$A:$A,PARAMETROS_IMPORTACION!$C:$C,0),0)</f>
        <v>0</v>
      </c>
      <c r="J570" s="3">
        <f ca="1">IFERROR(_xludf.XLOOKUP("Arancel",PARAMETROS_IMPORTACION!$A:$A,PARAMETROS_IMPORTACION!$C:$C,0),0)</f>
        <v>0</v>
      </c>
      <c r="K570" s="2">
        <f ca="1">IFERROR(_xludf.XLOOKUP("Gastos_Aduana",PARAMETROS_IMPORTACION!$A:$A,PARAMETROS_IMPORTACION!$C:$C,0),0)</f>
        <v>0</v>
      </c>
      <c r="L570" s="2">
        <f t="shared" si="17"/>
        <v>0</v>
      </c>
    </row>
    <row r="571" spans="5:12" x14ac:dyDescent="0.35">
      <c r="E571" s="2"/>
      <c r="F571" s="2">
        <f>_xlfn.XLOOKUP(D571,TIPOS_CAMBIO!A:A,TIPOS_CAMBIO!B:B,"",0)</f>
        <v>0</v>
      </c>
      <c r="G571" s="3">
        <f t="shared" si="16"/>
        <v>0</v>
      </c>
      <c r="H571" s="3"/>
      <c r="I571" s="3">
        <f ca="1">IFERROR(_xludf.XLOOKUP("Seguro",PARAMETROS_IMPORTACION!$A:$A,PARAMETROS_IMPORTACION!$C:$C,0),0)</f>
        <v>0</v>
      </c>
      <c r="J571" s="3">
        <f ca="1">IFERROR(_xludf.XLOOKUP("Arancel",PARAMETROS_IMPORTACION!$A:$A,PARAMETROS_IMPORTACION!$C:$C,0),0)</f>
        <v>0</v>
      </c>
      <c r="K571" s="2">
        <f ca="1">IFERROR(_xludf.XLOOKUP("Gastos_Aduana",PARAMETROS_IMPORTACION!$A:$A,PARAMETROS_IMPORTACION!$C:$C,0),0)</f>
        <v>0</v>
      </c>
      <c r="L571" s="2">
        <f t="shared" si="17"/>
        <v>0</v>
      </c>
    </row>
    <row r="572" spans="5:12" x14ac:dyDescent="0.35">
      <c r="E572" s="2"/>
      <c r="F572" s="2">
        <f>_xlfn.XLOOKUP(D572,TIPOS_CAMBIO!A:A,TIPOS_CAMBIO!B:B,"",0)</f>
        <v>0</v>
      </c>
      <c r="G572" s="3">
        <f t="shared" si="16"/>
        <v>0</v>
      </c>
      <c r="H572" s="3"/>
      <c r="I572" s="3">
        <f ca="1">IFERROR(_xludf.XLOOKUP("Seguro",PARAMETROS_IMPORTACION!$A:$A,PARAMETROS_IMPORTACION!$C:$C,0),0)</f>
        <v>0</v>
      </c>
      <c r="J572" s="3">
        <f ca="1">IFERROR(_xludf.XLOOKUP("Arancel",PARAMETROS_IMPORTACION!$A:$A,PARAMETROS_IMPORTACION!$C:$C,0),0)</f>
        <v>0</v>
      </c>
      <c r="K572" s="2">
        <f ca="1">IFERROR(_xludf.XLOOKUP("Gastos_Aduana",PARAMETROS_IMPORTACION!$A:$A,PARAMETROS_IMPORTACION!$C:$C,0),0)</f>
        <v>0</v>
      </c>
      <c r="L572" s="2">
        <f t="shared" si="17"/>
        <v>0</v>
      </c>
    </row>
    <row r="573" spans="5:12" x14ac:dyDescent="0.35">
      <c r="E573" s="2"/>
      <c r="F573" s="2">
        <f>_xlfn.XLOOKUP(D573,TIPOS_CAMBIO!A:A,TIPOS_CAMBIO!B:B,"",0)</f>
        <v>0</v>
      </c>
      <c r="G573" s="3">
        <f t="shared" si="16"/>
        <v>0</v>
      </c>
      <c r="H573" s="3"/>
      <c r="I573" s="3">
        <f ca="1">IFERROR(_xludf.XLOOKUP("Seguro",PARAMETROS_IMPORTACION!$A:$A,PARAMETROS_IMPORTACION!$C:$C,0),0)</f>
        <v>0</v>
      </c>
      <c r="J573" s="3">
        <f ca="1">IFERROR(_xludf.XLOOKUP("Arancel",PARAMETROS_IMPORTACION!$A:$A,PARAMETROS_IMPORTACION!$C:$C,0),0)</f>
        <v>0</v>
      </c>
      <c r="K573" s="2">
        <f ca="1">IFERROR(_xludf.XLOOKUP("Gastos_Aduana",PARAMETROS_IMPORTACION!$A:$A,PARAMETROS_IMPORTACION!$C:$C,0),0)</f>
        <v>0</v>
      </c>
      <c r="L573" s="2">
        <f t="shared" si="17"/>
        <v>0</v>
      </c>
    </row>
    <row r="574" spans="5:12" x14ac:dyDescent="0.35">
      <c r="E574" s="2"/>
      <c r="F574" s="2">
        <f>_xlfn.XLOOKUP(D574,TIPOS_CAMBIO!A:A,TIPOS_CAMBIO!B:B,"",0)</f>
        <v>0</v>
      </c>
      <c r="G574" s="3">
        <f t="shared" si="16"/>
        <v>0</v>
      </c>
      <c r="H574" s="3"/>
      <c r="I574" s="3">
        <f ca="1">IFERROR(_xludf.XLOOKUP("Seguro",PARAMETROS_IMPORTACION!$A:$A,PARAMETROS_IMPORTACION!$C:$C,0),0)</f>
        <v>0</v>
      </c>
      <c r="J574" s="3">
        <f ca="1">IFERROR(_xludf.XLOOKUP("Arancel",PARAMETROS_IMPORTACION!$A:$A,PARAMETROS_IMPORTACION!$C:$C,0),0)</f>
        <v>0</v>
      </c>
      <c r="K574" s="2">
        <f ca="1">IFERROR(_xludf.XLOOKUP("Gastos_Aduana",PARAMETROS_IMPORTACION!$A:$A,PARAMETROS_IMPORTACION!$C:$C,0),0)</f>
        <v>0</v>
      </c>
      <c r="L574" s="2">
        <f t="shared" si="17"/>
        <v>0</v>
      </c>
    </row>
    <row r="575" spans="5:12" x14ac:dyDescent="0.35">
      <c r="E575" s="2"/>
      <c r="F575" s="2">
        <f>_xlfn.XLOOKUP(D575,TIPOS_CAMBIO!A:A,TIPOS_CAMBIO!B:B,"",0)</f>
        <v>0</v>
      </c>
      <c r="G575" s="3">
        <f t="shared" si="16"/>
        <v>0</v>
      </c>
      <c r="H575" s="3"/>
      <c r="I575" s="3">
        <f ca="1">IFERROR(_xludf.XLOOKUP("Seguro",PARAMETROS_IMPORTACION!$A:$A,PARAMETROS_IMPORTACION!$C:$C,0),0)</f>
        <v>0</v>
      </c>
      <c r="J575" s="3">
        <f ca="1">IFERROR(_xludf.XLOOKUP("Arancel",PARAMETROS_IMPORTACION!$A:$A,PARAMETROS_IMPORTACION!$C:$C,0),0)</f>
        <v>0</v>
      </c>
      <c r="K575" s="2">
        <f ca="1">IFERROR(_xludf.XLOOKUP("Gastos_Aduana",PARAMETROS_IMPORTACION!$A:$A,PARAMETROS_IMPORTACION!$C:$C,0),0)</f>
        <v>0</v>
      </c>
      <c r="L575" s="2">
        <f t="shared" si="17"/>
        <v>0</v>
      </c>
    </row>
    <row r="576" spans="5:12" x14ac:dyDescent="0.35">
      <c r="E576" s="2"/>
      <c r="F576" s="2">
        <f>_xlfn.XLOOKUP(D576,TIPOS_CAMBIO!A:A,TIPOS_CAMBIO!B:B,"",0)</f>
        <v>0</v>
      </c>
      <c r="G576" s="3">
        <f t="shared" si="16"/>
        <v>0</v>
      </c>
      <c r="H576" s="3"/>
      <c r="I576" s="3">
        <f ca="1">IFERROR(_xludf.XLOOKUP("Seguro",PARAMETROS_IMPORTACION!$A:$A,PARAMETROS_IMPORTACION!$C:$C,0),0)</f>
        <v>0</v>
      </c>
      <c r="J576" s="3">
        <f ca="1">IFERROR(_xludf.XLOOKUP("Arancel",PARAMETROS_IMPORTACION!$A:$A,PARAMETROS_IMPORTACION!$C:$C,0),0)</f>
        <v>0</v>
      </c>
      <c r="K576" s="2">
        <f ca="1">IFERROR(_xludf.XLOOKUP("Gastos_Aduana",PARAMETROS_IMPORTACION!$A:$A,PARAMETROS_IMPORTACION!$C:$C,0),0)</f>
        <v>0</v>
      </c>
      <c r="L576" s="2">
        <f t="shared" si="17"/>
        <v>0</v>
      </c>
    </row>
    <row r="577" spans="5:12" x14ac:dyDescent="0.35">
      <c r="E577" s="2"/>
      <c r="F577" s="2">
        <f>_xlfn.XLOOKUP(D577,TIPOS_CAMBIO!A:A,TIPOS_CAMBIO!B:B,"",0)</f>
        <v>0</v>
      </c>
      <c r="G577" s="3">
        <f t="shared" si="16"/>
        <v>0</v>
      </c>
      <c r="H577" s="3"/>
      <c r="I577" s="3">
        <f ca="1">IFERROR(_xludf.XLOOKUP("Seguro",PARAMETROS_IMPORTACION!$A:$A,PARAMETROS_IMPORTACION!$C:$C,0),0)</f>
        <v>0</v>
      </c>
      <c r="J577" s="3">
        <f ca="1">IFERROR(_xludf.XLOOKUP("Arancel",PARAMETROS_IMPORTACION!$A:$A,PARAMETROS_IMPORTACION!$C:$C,0),0)</f>
        <v>0</v>
      </c>
      <c r="K577" s="2">
        <f ca="1">IFERROR(_xludf.XLOOKUP("Gastos_Aduana",PARAMETROS_IMPORTACION!$A:$A,PARAMETROS_IMPORTACION!$C:$C,0),0)</f>
        <v>0</v>
      </c>
      <c r="L577" s="2">
        <f t="shared" si="17"/>
        <v>0</v>
      </c>
    </row>
    <row r="578" spans="5:12" x14ac:dyDescent="0.35">
      <c r="E578" s="2"/>
      <c r="F578" s="2">
        <f>_xlfn.XLOOKUP(D578,TIPOS_CAMBIO!A:A,TIPOS_CAMBIO!B:B,"",0)</f>
        <v>0</v>
      </c>
      <c r="G578" s="3">
        <f t="shared" ref="G578:G641" si="18">$E578*$F578</f>
        <v>0</v>
      </c>
      <c r="H578" s="3"/>
      <c r="I578" s="3">
        <f ca="1">IFERROR(_xludf.XLOOKUP("Seguro",PARAMETROS_IMPORTACION!$A:$A,PARAMETROS_IMPORTACION!$C:$C,0),0)</f>
        <v>0</v>
      </c>
      <c r="J578" s="3">
        <f ca="1">IFERROR(_xludf.XLOOKUP("Arancel",PARAMETROS_IMPORTACION!$A:$A,PARAMETROS_IMPORTACION!$C:$C,0),0)</f>
        <v>0</v>
      </c>
      <c r="K578" s="2">
        <f ca="1">IFERROR(_xludf.XLOOKUP("Gastos_Aduana",PARAMETROS_IMPORTACION!$A:$A,PARAMETROS_IMPORTACION!$C:$C,0),0)</f>
        <v>0</v>
      </c>
      <c r="L578" s="2">
        <f t="shared" si="17"/>
        <v>0</v>
      </c>
    </row>
    <row r="579" spans="5:12" x14ac:dyDescent="0.35">
      <c r="E579" s="2"/>
      <c r="F579" s="2">
        <f>_xlfn.XLOOKUP(D579,TIPOS_CAMBIO!A:A,TIPOS_CAMBIO!B:B,"",0)</f>
        <v>0</v>
      </c>
      <c r="G579" s="3">
        <f t="shared" si="18"/>
        <v>0</v>
      </c>
      <c r="H579" s="3"/>
      <c r="I579" s="3">
        <f ca="1">IFERROR(_xludf.XLOOKUP("Seguro",PARAMETROS_IMPORTACION!$A:$A,PARAMETROS_IMPORTACION!$C:$C,0),0)</f>
        <v>0</v>
      </c>
      <c r="J579" s="3">
        <f ca="1">IFERROR(_xludf.XLOOKUP("Arancel",PARAMETROS_IMPORTACION!$A:$A,PARAMETROS_IMPORTACION!$C:$C,0),0)</f>
        <v>0</v>
      </c>
      <c r="K579" s="2">
        <f ca="1">IFERROR(_xludf.XLOOKUP("Gastos_Aduana",PARAMETROS_IMPORTACION!$A:$A,PARAMETROS_IMPORTACION!$C:$C,0),0)</f>
        <v>0</v>
      </c>
      <c r="L579" s="2">
        <f t="shared" ref="L579:L642" si="19">IF($C579="Importado",$G579*(1+$H579+$I579+$J579)+$K579,$G579)</f>
        <v>0</v>
      </c>
    </row>
    <row r="580" spans="5:12" x14ac:dyDescent="0.35">
      <c r="E580" s="2"/>
      <c r="F580" s="2">
        <f>_xlfn.XLOOKUP(D580,TIPOS_CAMBIO!A:A,TIPOS_CAMBIO!B:B,"",0)</f>
        <v>0</v>
      </c>
      <c r="G580" s="3">
        <f t="shared" si="18"/>
        <v>0</v>
      </c>
      <c r="H580" s="3"/>
      <c r="I580" s="3">
        <f ca="1">IFERROR(_xludf.XLOOKUP("Seguro",PARAMETROS_IMPORTACION!$A:$A,PARAMETROS_IMPORTACION!$C:$C,0),0)</f>
        <v>0</v>
      </c>
      <c r="J580" s="3">
        <f ca="1">IFERROR(_xludf.XLOOKUP("Arancel",PARAMETROS_IMPORTACION!$A:$A,PARAMETROS_IMPORTACION!$C:$C,0),0)</f>
        <v>0</v>
      </c>
      <c r="K580" s="2">
        <f ca="1">IFERROR(_xludf.XLOOKUP("Gastos_Aduana",PARAMETROS_IMPORTACION!$A:$A,PARAMETROS_IMPORTACION!$C:$C,0),0)</f>
        <v>0</v>
      </c>
      <c r="L580" s="2">
        <f t="shared" si="19"/>
        <v>0</v>
      </c>
    </row>
    <row r="581" spans="5:12" x14ac:dyDescent="0.35">
      <c r="E581" s="2"/>
      <c r="F581" s="2">
        <f>_xlfn.XLOOKUP(D581,TIPOS_CAMBIO!A:A,TIPOS_CAMBIO!B:B,"",0)</f>
        <v>0</v>
      </c>
      <c r="G581" s="3">
        <f t="shared" si="18"/>
        <v>0</v>
      </c>
      <c r="H581" s="3"/>
      <c r="I581" s="3">
        <f ca="1">IFERROR(_xludf.XLOOKUP("Seguro",PARAMETROS_IMPORTACION!$A:$A,PARAMETROS_IMPORTACION!$C:$C,0),0)</f>
        <v>0</v>
      </c>
      <c r="J581" s="3">
        <f ca="1">IFERROR(_xludf.XLOOKUP("Arancel",PARAMETROS_IMPORTACION!$A:$A,PARAMETROS_IMPORTACION!$C:$C,0),0)</f>
        <v>0</v>
      </c>
      <c r="K581" s="2">
        <f ca="1">IFERROR(_xludf.XLOOKUP("Gastos_Aduana",PARAMETROS_IMPORTACION!$A:$A,PARAMETROS_IMPORTACION!$C:$C,0),0)</f>
        <v>0</v>
      </c>
      <c r="L581" s="2">
        <f t="shared" si="19"/>
        <v>0</v>
      </c>
    </row>
    <row r="582" spans="5:12" x14ac:dyDescent="0.35">
      <c r="E582" s="2"/>
      <c r="F582" s="2">
        <f>_xlfn.XLOOKUP(D582,TIPOS_CAMBIO!A:A,TIPOS_CAMBIO!B:B,"",0)</f>
        <v>0</v>
      </c>
      <c r="G582" s="3">
        <f t="shared" si="18"/>
        <v>0</v>
      </c>
      <c r="H582" s="3"/>
      <c r="I582" s="3">
        <f ca="1">IFERROR(_xludf.XLOOKUP("Seguro",PARAMETROS_IMPORTACION!$A:$A,PARAMETROS_IMPORTACION!$C:$C,0),0)</f>
        <v>0</v>
      </c>
      <c r="J582" s="3">
        <f ca="1">IFERROR(_xludf.XLOOKUP("Arancel",PARAMETROS_IMPORTACION!$A:$A,PARAMETROS_IMPORTACION!$C:$C,0),0)</f>
        <v>0</v>
      </c>
      <c r="K582" s="2">
        <f ca="1">IFERROR(_xludf.XLOOKUP("Gastos_Aduana",PARAMETROS_IMPORTACION!$A:$A,PARAMETROS_IMPORTACION!$C:$C,0),0)</f>
        <v>0</v>
      </c>
      <c r="L582" s="2">
        <f t="shared" si="19"/>
        <v>0</v>
      </c>
    </row>
    <row r="583" spans="5:12" x14ac:dyDescent="0.35">
      <c r="E583" s="2"/>
      <c r="F583" s="2">
        <f>_xlfn.XLOOKUP(D583,TIPOS_CAMBIO!A:A,TIPOS_CAMBIO!B:B,"",0)</f>
        <v>0</v>
      </c>
      <c r="G583" s="3">
        <f t="shared" si="18"/>
        <v>0</v>
      </c>
      <c r="H583" s="3"/>
      <c r="I583" s="3">
        <f ca="1">IFERROR(_xludf.XLOOKUP("Seguro",PARAMETROS_IMPORTACION!$A:$A,PARAMETROS_IMPORTACION!$C:$C,0),0)</f>
        <v>0</v>
      </c>
      <c r="J583" s="3">
        <f ca="1">IFERROR(_xludf.XLOOKUP("Arancel",PARAMETROS_IMPORTACION!$A:$A,PARAMETROS_IMPORTACION!$C:$C,0),0)</f>
        <v>0</v>
      </c>
      <c r="K583" s="2">
        <f ca="1">IFERROR(_xludf.XLOOKUP("Gastos_Aduana",PARAMETROS_IMPORTACION!$A:$A,PARAMETROS_IMPORTACION!$C:$C,0),0)</f>
        <v>0</v>
      </c>
      <c r="L583" s="2">
        <f t="shared" si="19"/>
        <v>0</v>
      </c>
    </row>
    <row r="584" spans="5:12" x14ac:dyDescent="0.35">
      <c r="E584" s="2"/>
      <c r="F584" s="2">
        <f>_xlfn.XLOOKUP(D584,TIPOS_CAMBIO!A:A,TIPOS_CAMBIO!B:B,"",0)</f>
        <v>0</v>
      </c>
      <c r="G584" s="3">
        <f t="shared" si="18"/>
        <v>0</v>
      </c>
      <c r="H584" s="3"/>
      <c r="I584" s="3">
        <f ca="1">IFERROR(_xludf.XLOOKUP("Seguro",PARAMETROS_IMPORTACION!$A:$A,PARAMETROS_IMPORTACION!$C:$C,0),0)</f>
        <v>0</v>
      </c>
      <c r="J584" s="3">
        <f ca="1">IFERROR(_xludf.XLOOKUP("Arancel",PARAMETROS_IMPORTACION!$A:$A,PARAMETROS_IMPORTACION!$C:$C,0),0)</f>
        <v>0</v>
      </c>
      <c r="K584" s="2">
        <f ca="1">IFERROR(_xludf.XLOOKUP("Gastos_Aduana",PARAMETROS_IMPORTACION!$A:$A,PARAMETROS_IMPORTACION!$C:$C,0),0)</f>
        <v>0</v>
      </c>
      <c r="L584" s="2">
        <f t="shared" si="19"/>
        <v>0</v>
      </c>
    </row>
    <row r="585" spans="5:12" x14ac:dyDescent="0.35">
      <c r="E585" s="2"/>
      <c r="F585" s="2">
        <f>_xlfn.XLOOKUP(D585,TIPOS_CAMBIO!A:A,TIPOS_CAMBIO!B:B,"",0)</f>
        <v>0</v>
      </c>
      <c r="G585" s="3">
        <f t="shared" si="18"/>
        <v>0</v>
      </c>
      <c r="H585" s="3"/>
      <c r="I585" s="3">
        <f ca="1">IFERROR(_xludf.XLOOKUP("Seguro",PARAMETROS_IMPORTACION!$A:$A,PARAMETROS_IMPORTACION!$C:$C,0),0)</f>
        <v>0</v>
      </c>
      <c r="J585" s="3">
        <f ca="1">IFERROR(_xludf.XLOOKUP("Arancel",PARAMETROS_IMPORTACION!$A:$A,PARAMETROS_IMPORTACION!$C:$C,0),0)</f>
        <v>0</v>
      </c>
      <c r="K585" s="2">
        <f ca="1">IFERROR(_xludf.XLOOKUP("Gastos_Aduana",PARAMETROS_IMPORTACION!$A:$A,PARAMETROS_IMPORTACION!$C:$C,0),0)</f>
        <v>0</v>
      </c>
      <c r="L585" s="2">
        <f t="shared" si="19"/>
        <v>0</v>
      </c>
    </row>
    <row r="586" spans="5:12" x14ac:dyDescent="0.35">
      <c r="E586" s="2"/>
      <c r="F586" s="2">
        <f>_xlfn.XLOOKUP(D586,TIPOS_CAMBIO!A:A,TIPOS_CAMBIO!B:B,"",0)</f>
        <v>0</v>
      </c>
      <c r="G586" s="3">
        <f t="shared" si="18"/>
        <v>0</v>
      </c>
      <c r="H586" s="3"/>
      <c r="I586" s="3">
        <f ca="1">IFERROR(_xludf.XLOOKUP("Seguro",PARAMETROS_IMPORTACION!$A:$A,PARAMETROS_IMPORTACION!$C:$C,0),0)</f>
        <v>0</v>
      </c>
      <c r="J586" s="3">
        <f ca="1">IFERROR(_xludf.XLOOKUP("Arancel",PARAMETROS_IMPORTACION!$A:$A,PARAMETROS_IMPORTACION!$C:$C,0),0)</f>
        <v>0</v>
      </c>
      <c r="K586" s="2">
        <f ca="1">IFERROR(_xludf.XLOOKUP("Gastos_Aduana",PARAMETROS_IMPORTACION!$A:$A,PARAMETROS_IMPORTACION!$C:$C,0),0)</f>
        <v>0</v>
      </c>
      <c r="L586" s="2">
        <f t="shared" si="19"/>
        <v>0</v>
      </c>
    </row>
    <row r="587" spans="5:12" x14ac:dyDescent="0.35">
      <c r="E587" s="2"/>
      <c r="F587" s="2">
        <f>_xlfn.XLOOKUP(D587,TIPOS_CAMBIO!A:A,TIPOS_CAMBIO!B:B,"",0)</f>
        <v>0</v>
      </c>
      <c r="G587" s="3">
        <f t="shared" si="18"/>
        <v>0</v>
      </c>
      <c r="H587" s="3"/>
      <c r="I587" s="3">
        <f ca="1">IFERROR(_xludf.XLOOKUP("Seguro",PARAMETROS_IMPORTACION!$A:$A,PARAMETROS_IMPORTACION!$C:$C,0),0)</f>
        <v>0</v>
      </c>
      <c r="J587" s="3">
        <f ca="1">IFERROR(_xludf.XLOOKUP("Arancel",PARAMETROS_IMPORTACION!$A:$A,PARAMETROS_IMPORTACION!$C:$C,0),0)</f>
        <v>0</v>
      </c>
      <c r="K587" s="2">
        <f ca="1">IFERROR(_xludf.XLOOKUP("Gastos_Aduana",PARAMETROS_IMPORTACION!$A:$A,PARAMETROS_IMPORTACION!$C:$C,0),0)</f>
        <v>0</v>
      </c>
      <c r="L587" s="2">
        <f t="shared" si="19"/>
        <v>0</v>
      </c>
    </row>
    <row r="588" spans="5:12" x14ac:dyDescent="0.35">
      <c r="E588" s="2"/>
      <c r="F588" s="2">
        <f>_xlfn.XLOOKUP(D588,TIPOS_CAMBIO!A:A,TIPOS_CAMBIO!B:B,"",0)</f>
        <v>0</v>
      </c>
      <c r="G588" s="3">
        <f t="shared" si="18"/>
        <v>0</v>
      </c>
      <c r="H588" s="3"/>
      <c r="I588" s="3">
        <f ca="1">IFERROR(_xludf.XLOOKUP("Seguro",PARAMETROS_IMPORTACION!$A:$A,PARAMETROS_IMPORTACION!$C:$C,0),0)</f>
        <v>0</v>
      </c>
      <c r="J588" s="3">
        <f ca="1">IFERROR(_xludf.XLOOKUP("Arancel",PARAMETROS_IMPORTACION!$A:$A,PARAMETROS_IMPORTACION!$C:$C,0),0)</f>
        <v>0</v>
      </c>
      <c r="K588" s="2">
        <f ca="1">IFERROR(_xludf.XLOOKUP("Gastos_Aduana",PARAMETROS_IMPORTACION!$A:$A,PARAMETROS_IMPORTACION!$C:$C,0),0)</f>
        <v>0</v>
      </c>
      <c r="L588" s="2">
        <f t="shared" si="19"/>
        <v>0</v>
      </c>
    </row>
    <row r="589" spans="5:12" x14ac:dyDescent="0.35">
      <c r="E589" s="2"/>
      <c r="F589" s="2">
        <f>_xlfn.XLOOKUP(D589,TIPOS_CAMBIO!A:A,TIPOS_CAMBIO!B:B,"",0)</f>
        <v>0</v>
      </c>
      <c r="G589" s="3">
        <f t="shared" si="18"/>
        <v>0</v>
      </c>
      <c r="H589" s="3"/>
      <c r="I589" s="3">
        <f ca="1">IFERROR(_xludf.XLOOKUP("Seguro",PARAMETROS_IMPORTACION!$A:$A,PARAMETROS_IMPORTACION!$C:$C,0),0)</f>
        <v>0</v>
      </c>
      <c r="J589" s="3">
        <f ca="1">IFERROR(_xludf.XLOOKUP("Arancel",PARAMETROS_IMPORTACION!$A:$A,PARAMETROS_IMPORTACION!$C:$C,0),0)</f>
        <v>0</v>
      </c>
      <c r="K589" s="2">
        <f ca="1">IFERROR(_xludf.XLOOKUP("Gastos_Aduana",PARAMETROS_IMPORTACION!$A:$A,PARAMETROS_IMPORTACION!$C:$C,0),0)</f>
        <v>0</v>
      </c>
      <c r="L589" s="2">
        <f t="shared" si="19"/>
        <v>0</v>
      </c>
    </row>
    <row r="590" spans="5:12" x14ac:dyDescent="0.35">
      <c r="E590" s="2"/>
      <c r="F590" s="2">
        <f>_xlfn.XLOOKUP(D590,TIPOS_CAMBIO!A:A,TIPOS_CAMBIO!B:B,"",0)</f>
        <v>0</v>
      </c>
      <c r="G590" s="3">
        <f t="shared" si="18"/>
        <v>0</v>
      </c>
      <c r="H590" s="3"/>
      <c r="I590" s="3">
        <f ca="1">IFERROR(_xludf.XLOOKUP("Seguro",PARAMETROS_IMPORTACION!$A:$A,PARAMETROS_IMPORTACION!$C:$C,0),0)</f>
        <v>0</v>
      </c>
      <c r="J590" s="3">
        <f ca="1">IFERROR(_xludf.XLOOKUP("Arancel",PARAMETROS_IMPORTACION!$A:$A,PARAMETROS_IMPORTACION!$C:$C,0),0)</f>
        <v>0</v>
      </c>
      <c r="K590" s="2">
        <f ca="1">IFERROR(_xludf.XLOOKUP("Gastos_Aduana",PARAMETROS_IMPORTACION!$A:$A,PARAMETROS_IMPORTACION!$C:$C,0),0)</f>
        <v>0</v>
      </c>
      <c r="L590" s="2">
        <f t="shared" si="19"/>
        <v>0</v>
      </c>
    </row>
    <row r="591" spans="5:12" x14ac:dyDescent="0.35">
      <c r="E591" s="2"/>
      <c r="F591" s="2">
        <f>_xlfn.XLOOKUP(D591,TIPOS_CAMBIO!A:A,TIPOS_CAMBIO!B:B,"",0)</f>
        <v>0</v>
      </c>
      <c r="G591" s="3">
        <f t="shared" si="18"/>
        <v>0</v>
      </c>
      <c r="H591" s="3"/>
      <c r="I591" s="3">
        <f ca="1">IFERROR(_xludf.XLOOKUP("Seguro",PARAMETROS_IMPORTACION!$A:$A,PARAMETROS_IMPORTACION!$C:$C,0),0)</f>
        <v>0</v>
      </c>
      <c r="J591" s="3">
        <f ca="1">IFERROR(_xludf.XLOOKUP("Arancel",PARAMETROS_IMPORTACION!$A:$A,PARAMETROS_IMPORTACION!$C:$C,0),0)</f>
        <v>0</v>
      </c>
      <c r="K591" s="2">
        <f ca="1">IFERROR(_xludf.XLOOKUP("Gastos_Aduana",PARAMETROS_IMPORTACION!$A:$A,PARAMETROS_IMPORTACION!$C:$C,0),0)</f>
        <v>0</v>
      </c>
      <c r="L591" s="2">
        <f t="shared" si="19"/>
        <v>0</v>
      </c>
    </row>
    <row r="592" spans="5:12" x14ac:dyDescent="0.35">
      <c r="E592" s="2"/>
      <c r="F592" s="2">
        <f>_xlfn.XLOOKUP(D592,TIPOS_CAMBIO!A:A,TIPOS_CAMBIO!B:B,"",0)</f>
        <v>0</v>
      </c>
      <c r="G592" s="3">
        <f t="shared" si="18"/>
        <v>0</v>
      </c>
      <c r="H592" s="3"/>
      <c r="I592" s="3">
        <f ca="1">IFERROR(_xludf.XLOOKUP("Seguro",PARAMETROS_IMPORTACION!$A:$A,PARAMETROS_IMPORTACION!$C:$C,0),0)</f>
        <v>0</v>
      </c>
      <c r="J592" s="3">
        <f ca="1">IFERROR(_xludf.XLOOKUP("Arancel",PARAMETROS_IMPORTACION!$A:$A,PARAMETROS_IMPORTACION!$C:$C,0),0)</f>
        <v>0</v>
      </c>
      <c r="K592" s="2">
        <f ca="1">IFERROR(_xludf.XLOOKUP("Gastos_Aduana",PARAMETROS_IMPORTACION!$A:$A,PARAMETROS_IMPORTACION!$C:$C,0),0)</f>
        <v>0</v>
      </c>
      <c r="L592" s="2">
        <f t="shared" si="19"/>
        <v>0</v>
      </c>
    </row>
    <row r="593" spans="5:12" x14ac:dyDescent="0.35">
      <c r="E593" s="2"/>
      <c r="F593" s="2">
        <f>_xlfn.XLOOKUP(D593,TIPOS_CAMBIO!A:A,TIPOS_CAMBIO!B:B,"",0)</f>
        <v>0</v>
      </c>
      <c r="G593" s="3">
        <f t="shared" si="18"/>
        <v>0</v>
      </c>
      <c r="H593" s="3"/>
      <c r="I593" s="3">
        <f ca="1">IFERROR(_xludf.XLOOKUP("Seguro",PARAMETROS_IMPORTACION!$A:$A,PARAMETROS_IMPORTACION!$C:$C,0),0)</f>
        <v>0</v>
      </c>
      <c r="J593" s="3">
        <f ca="1">IFERROR(_xludf.XLOOKUP("Arancel",PARAMETROS_IMPORTACION!$A:$A,PARAMETROS_IMPORTACION!$C:$C,0),0)</f>
        <v>0</v>
      </c>
      <c r="K593" s="2">
        <f ca="1">IFERROR(_xludf.XLOOKUP("Gastos_Aduana",PARAMETROS_IMPORTACION!$A:$A,PARAMETROS_IMPORTACION!$C:$C,0),0)</f>
        <v>0</v>
      </c>
      <c r="L593" s="2">
        <f t="shared" si="19"/>
        <v>0</v>
      </c>
    </row>
    <row r="594" spans="5:12" x14ac:dyDescent="0.35">
      <c r="E594" s="2"/>
      <c r="F594" s="2">
        <f>_xlfn.XLOOKUP(D594,TIPOS_CAMBIO!A:A,TIPOS_CAMBIO!B:B,"",0)</f>
        <v>0</v>
      </c>
      <c r="G594" s="3">
        <f t="shared" si="18"/>
        <v>0</v>
      </c>
      <c r="H594" s="3"/>
      <c r="I594" s="3">
        <f ca="1">IFERROR(_xludf.XLOOKUP("Seguro",PARAMETROS_IMPORTACION!$A:$A,PARAMETROS_IMPORTACION!$C:$C,0),0)</f>
        <v>0</v>
      </c>
      <c r="J594" s="3">
        <f ca="1">IFERROR(_xludf.XLOOKUP("Arancel",PARAMETROS_IMPORTACION!$A:$A,PARAMETROS_IMPORTACION!$C:$C,0),0)</f>
        <v>0</v>
      </c>
      <c r="K594" s="2">
        <f ca="1">IFERROR(_xludf.XLOOKUP("Gastos_Aduana",PARAMETROS_IMPORTACION!$A:$A,PARAMETROS_IMPORTACION!$C:$C,0),0)</f>
        <v>0</v>
      </c>
      <c r="L594" s="2">
        <f t="shared" si="19"/>
        <v>0</v>
      </c>
    </row>
    <row r="595" spans="5:12" x14ac:dyDescent="0.35">
      <c r="E595" s="2"/>
      <c r="F595" s="2">
        <f>_xlfn.XLOOKUP(D595,TIPOS_CAMBIO!A:A,TIPOS_CAMBIO!B:B,"",0)</f>
        <v>0</v>
      </c>
      <c r="G595" s="3">
        <f t="shared" si="18"/>
        <v>0</v>
      </c>
      <c r="H595" s="3"/>
      <c r="I595" s="3">
        <f ca="1">IFERROR(_xludf.XLOOKUP("Seguro",PARAMETROS_IMPORTACION!$A:$A,PARAMETROS_IMPORTACION!$C:$C,0),0)</f>
        <v>0</v>
      </c>
      <c r="J595" s="3">
        <f ca="1">IFERROR(_xludf.XLOOKUP("Arancel",PARAMETROS_IMPORTACION!$A:$A,PARAMETROS_IMPORTACION!$C:$C,0),0)</f>
        <v>0</v>
      </c>
      <c r="K595" s="2">
        <f ca="1">IFERROR(_xludf.XLOOKUP("Gastos_Aduana",PARAMETROS_IMPORTACION!$A:$A,PARAMETROS_IMPORTACION!$C:$C,0),0)</f>
        <v>0</v>
      </c>
      <c r="L595" s="2">
        <f t="shared" si="19"/>
        <v>0</v>
      </c>
    </row>
    <row r="596" spans="5:12" x14ac:dyDescent="0.35">
      <c r="E596" s="2"/>
      <c r="F596" s="2">
        <f>_xlfn.XLOOKUP(D596,TIPOS_CAMBIO!A:A,TIPOS_CAMBIO!B:B,"",0)</f>
        <v>0</v>
      </c>
      <c r="G596" s="3">
        <f t="shared" si="18"/>
        <v>0</v>
      </c>
      <c r="H596" s="3"/>
      <c r="I596" s="3">
        <f ca="1">IFERROR(_xludf.XLOOKUP("Seguro",PARAMETROS_IMPORTACION!$A:$A,PARAMETROS_IMPORTACION!$C:$C,0),0)</f>
        <v>0</v>
      </c>
      <c r="J596" s="3">
        <f ca="1">IFERROR(_xludf.XLOOKUP("Arancel",PARAMETROS_IMPORTACION!$A:$A,PARAMETROS_IMPORTACION!$C:$C,0),0)</f>
        <v>0</v>
      </c>
      <c r="K596" s="2">
        <f ca="1">IFERROR(_xludf.XLOOKUP("Gastos_Aduana",PARAMETROS_IMPORTACION!$A:$A,PARAMETROS_IMPORTACION!$C:$C,0),0)</f>
        <v>0</v>
      </c>
      <c r="L596" s="2">
        <f t="shared" si="19"/>
        <v>0</v>
      </c>
    </row>
    <row r="597" spans="5:12" x14ac:dyDescent="0.35">
      <c r="E597" s="2"/>
      <c r="F597" s="2">
        <f>_xlfn.XLOOKUP(D597,TIPOS_CAMBIO!A:A,TIPOS_CAMBIO!B:B,"",0)</f>
        <v>0</v>
      </c>
      <c r="G597" s="3">
        <f t="shared" si="18"/>
        <v>0</v>
      </c>
      <c r="H597" s="3"/>
      <c r="I597" s="3">
        <f ca="1">IFERROR(_xludf.XLOOKUP("Seguro",PARAMETROS_IMPORTACION!$A:$A,PARAMETROS_IMPORTACION!$C:$C,0),0)</f>
        <v>0</v>
      </c>
      <c r="J597" s="3">
        <f ca="1">IFERROR(_xludf.XLOOKUP("Arancel",PARAMETROS_IMPORTACION!$A:$A,PARAMETROS_IMPORTACION!$C:$C,0),0)</f>
        <v>0</v>
      </c>
      <c r="K597" s="2">
        <f ca="1">IFERROR(_xludf.XLOOKUP("Gastos_Aduana",PARAMETROS_IMPORTACION!$A:$A,PARAMETROS_IMPORTACION!$C:$C,0),0)</f>
        <v>0</v>
      </c>
      <c r="L597" s="2">
        <f t="shared" si="19"/>
        <v>0</v>
      </c>
    </row>
    <row r="598" spans="5:12" x14ac:dyDescent="0.35">
      <c r="E598" s="2"/>
      <c r="F598" s="2">
        <f>_xlfn.XLOOKUP(D598,TIPOS_CAMBIO!A:A,TIPOS_CAMBIO!B:B,"",0)</f>
        <v>0</v>
      </c>
      <c r="G598" s="3">
        <f t="shared" si="18"/>
        <v>0</v>
      </c>
      <c r="H598" s="3"/>
      <c r="I598" s="3">
        <f ca="1">IFERROR(_xludf.XLOOKUP("Seguro",PARAMETROS_IMPORTACION!$A:$A,PARAMETROS_IMPORTACION!$C:$C,0),0)</f>
        <v>0</v>
      </c>
      <c r="J598" s="3">
        <f ca="1">IFERROR(_xludf.XLOOKUP("Arancel",PARAMETROS_IMPORTACION!$A:$A,PARAMETROS_IMPORTACION!$C:$C,0),0)</f>
        <v>0</v>
      </c>
      <c r="K598" s="2">
        <f ca="1">IFERROR(_xludf.XLOOKUP("Gastos_Aduana",PARAMETROS_IMPORTACION!$A:$A,PARAMETROS_IMPORTACION!$C:$C,0),0)</f>
        <v>0</v>
      </c>
      <c r="L598" s="2">
        <f t="shared" si="19"/>
        <v>0</v>
      </c>
    </row>
    <row r="599" spans="5:12" x14ac:dyDescent="0.35">
      <c r="E599" s="2"/>
      <c r="F599" s="2">
        <f>_xlfn.XLOOKUP(D599,TIPOS_CAMBIO!A:A,TIPOS_CAMBIO!B:B,"",0)</f>
        <v>0</v>
      </c>
      <c r="G599" s="3">
        <f t="shared" si="18"/>
        <v>0</v>
      </c>
      <c r="H599" s="3"/>
      <c r="I599" s="3">
        <f ca="1">IFERROR(_xludf.XLOOKUP("Seguro",PARAMETROS_IMPORTACION!$A:$A,PARAMETROS_IMPORTACION!$C:$C,0),0)</f>
        <v>0</v>
      </c>
      <c r="J599" s="3">
        <f ca="1">IFERROR(_xludf.XLOOKUP("Arancel",PARAMETROS_IMPORTACION!$A:$A,PARAMETROS_IMPORTACION!$C:$C,0),0)</f>
        <v>0</v>
      </c>
      <c r="K599" s="2">
        <f ca="1">IFERROR(_xludf.XLOOKUP("Gastos_Aduana",PARAMETROS_IMPORTACION!$A:$A,PARAMETROS_IMPORTACION!$C:$C,0),0)</f>
        <v>0</v>
      </c>
      <c r="L599" s="2">
        <f t="shared" si="19"/>
        <v>0</v>
      </c>
    </row>
    <row r="600" spans="5:12" x14ac:dyDescent="0.35">
      <c r="E600" s="2"/>
      <c r="F600" s="2">
        <f>_xlfn.XLOOKUP(D600,TIPOS_CAMBIO!A:A,TIPOS_CAMBIO!B:B,"",0)</f>
        <v>0</v>
      </c>
      <c r="G600" s="3">
        <f t="shared" si="18"/>
        <v>0</v>
      </c>
      <c r="H600" s="3"/>
      <c r="I600" s="3">
        <f ca="1">IFERROR(_xludf.XLOOKUP("Seguro",PARAMETROS_IMPORTACION!$A:$A,PARAMETROS_IMPORTACION!$C:$C,0),0)</f>
        <v>0</v>
      </c>
      <c r="J600" s="3">
        <f ca="1">IFERROR(_xludf.XLOOKUP("Arancel",PARAMETROS_IMPORTACION!$A:$A,PARAMETROS_IMPORTACION!$C:$C,0),0)</f>
        <v>0</v>
      </c>
      <c r="K600" s="2">
        <f ca="1">IFERROR(_xludf.XLOOKUP("Gastos_Aduana",PARAMETROS_IMPORTACION!$A:$A,PARAMETROS_IMPORTACION!$C:$C,0),0)</f>
        <v>0</v>
      </c>
      <c r="L600" s="2">
        <f t="shared" si="19"/>
        <v>0</v>
      </c>
    </row>
    <row r="601" spans="5:12" x14ac:dyDescent="0.35">
      <c r="E601" s="2"/>
      <c r="F601" s="2">
        <f>_xlfn.XLOOKUP(D601,TIPOS_CAMBIO!A:A,TIPOS_CAMBIO!B:B,"",0)</f>
        <v>0</v>
      </c>
      <c r="G601" s="3">
        <f t="shared" si="18"/>
        <v>0</v>
      </c>
      <c r="H601" s="3"/>
      <c r="I601" s="3">
        <f ca="1">IFERROR(_xludf.XLOOKUP("Seguro",PARAMETROS_IMPORTACION!$A:$A,PARAMETROS_IMPORTACION!$C:$C,0),0)</f>
        <v>0</v>
      </c>
      <c r="J601" s="3">
        <f ca="1">IFERROR(_xludf.XLOOKUP("Arancel",PARAMETROS_IMPORTACION!$A:$A,PARAMETROS_IMPORTACION!$C:$C,0),0)</f>
        <v>0</v>
      </c>
      <c r="K601" s="2">
        <f ca="1">IFERROR(_xludf.XLOOKUP("Gastos_Aduana",PARAMETROS_IMPORTACION!$A:$A,PARAMETROS_IMPORTACION!$C:$C,0),0)</f>
        <v>0</v>
      </c>
      <c r="L601" s="2">
        <f t="shared" si="19"/>
        <v>0</v>
      </c>
    </row>
    <row r="602" spans="5:12" x14ac:dyDescent="0.35">
      <c r="E602" s="2"/>
      <c r="F602" s="2">
        <f>_xlfn.XLOOKUP(D602,TIPOS_CAMBIO!A:A,TIPOS_CAMBIO!B:B,"",0)</f>
        <v>0</v>
      </c>
      <c r="G602" s="3">
        <f t="shared" si="18"/>
        <v>0</v>
      </c>
      <c r="H602" s="3"/>
      <c r="I602" s="3">
        <f ca="1">IFERROR(_xludf.XLOOKUP("Seguro",PARAMETROS_IMPORTACION!$A:$A,PARAMETROS_IMPORTACION!$C:$C,0),0)</f>
        <v>0</v>
      </c>
      <c r="J602" s="3">
        <f ca="1">IFERROR(_xludf.XLOOKUP("Arancel",PARAMETROS_IMPORTACION!$A:$A,PARAMETROS_IMPORTACION!$C:$C,0),0)</f>
        <v>0</v>
      </c>
      <c r="K602" s="2">
        <f ca="1">IFERROR(_xludf.XLOOKUP("Gastos_Aduana",PARAMETROS_IMPORTACION!$A:$A,PARAMETROS_IMPORTACION!$C:$C,0),0)</f>
        <v>0</v>
      </c>
      <c r="L602" s="2">
        <f t="shared" si="19"/>
        <v>0</v>
      </c>
    </row>
    <row r="603" spans="5:12" x14ac:dyDescent="0.35">
      <c r="E603" s="2"/>
      <c r="F603" s="2">
        <f>_xlfn.XLOOKUP(D603,TIPOS_CAMBIO!A:A,TIPOS_CAMBIO!B:B,"",0)</f>
        <v>0</v>
      </c>
      <c r="G603" s="3">
        <f t="shared" si="18"/>
        <v>0</v>
      </c>
      <c r="H603" s="3"/>
      <c r="I603" s="3">
        <f ca="1">IFERROR(_xludf.XLOOKUP("Seguro",PARAMETROS_IMPORTACION!$A:$A,PARAMETROS_IMPORTACION!$C:$C,0),0)</f>
        <v>0</v>
      </c>
      <c r="J603" s="3">
        <f ca="1">IFERROR(_xludf.XLOOKUP("Arancel",PARAMETROS_IMPORTACION!$A:$A,PARAMETROS_IMPORTACION!$C:$C,0),0)</f>
        <v>0</v>
      </c>
      <c r="K603" s="2">
        <f ca="1">IFERROR(_xludf.XLOOKUP("Gastos_Aduana",PARAMETROS_IMPORTACION!$A:$A,PARAMETROS_IMPORTACION!$C:$C,0),0)</f>
        <v>0</v>
      </c>
      <c r="L603" s="2">
        <f t="shared" si="19"/>
        <v>0</v>
      </c>
    </row>
    <row r="604" spans="5:12" x14ac:dyDescent="0.35">
      <c r="E604" s="2"/>
      <c r="F604" s="2">
        <f>_xlfn.XLOOKUP(D604,TIPOS_CAMBIO!A:A,TIPOS_CAMBIO!B:B,"",0)</f>
        <v>0</v>
      </c>
      <c r="G604" s="3">
        <f t="shared" si="18"/>
        <v>0</v>
      </c>
      <c r="H604" s="3"/>
      <c r="I604" s="3">
        <f ca="1">IFERROR(_xludf.XLOOKUP("Seguro",PARAMETROS_IMPORTACION!$A:$A,PARAMETROS_IMPORTACION!$C:$C,0),0)</f>
        <v>0</v>
      </c>
      <c r="J604" s="3">
        <f ca="1">IFERROR(_xludf.XLOOKUP("Arancel",PARAMETROS_IMPORTACION!$A:$A,PARAMETROS_IMPORTACION!$C:$C,0),0)</f>
        <v>0</v>
      </c>
      <c r="K604" s="2">
        <f ca="1">IFERROR(_xludf.XLOOKUP("Gastos_Aduana",PARAMETROS_IMPORTACION!$A:$A,PARAMETROS_IMPORTACION!$C:$C,0),0)</f>
        <v>0</v>
      </c>
      <c r="L604" s="2">
        <f t="shared" si="19"/>
        <v>0</v>
      </c>
    </row>
    <row r="605" spans="5:12" x14ac:dyDescent="0.35">
      <c r="E605" s="2"/>
      <c r="F605" s="2">
        <f>_xlfn.XLOOKUP(D605,TIPOS_CAMBIO!A:A,TIPOS_CAMBIO!B:B,"",0)</f>
        <v>0</v>
      </c>
      <c r="G605" s="3">
        <f t="shared" si="18"/>
        <v>0</v>
      </c>
      <c r="H605" s="3"/>
      <c r="I605" s="3">
        <f ca="1">IFERROR(_xludf.XLOOKUP("Seguro",PARAMETROS_IMPORTACION!$A:$A,PARAMETROS_IMPORTACION!$C:$C,0),0)</f>
        <v>0</v>
      </c>
      <c r="J605" s="3">
        <f ca="1">IFERROR(_xludf.XLOOKUP("Arancel",PARAMETROS_IMPORTACION!$A:$A,PARAMETROS_IMPORTACION!$C:$C,0),0)</f>
        <v>0</v>
      </c>
      <c r="K605" s="2">
        <f ca="1">IFERROR(_xludf.XLOOKUP("Gastos_Aduana",PARAMETROS_IMPORTACION!$A:$A,PARAMETROS_IMPORTACION!$C:$C,0),0)</f>
        <v>0</v>
      </c>
      <c r="L605" s="2">
        <f t="shared" si="19"/>
        <v>0</v>
      </c>
    </row>
    <row r="606" spans="5:12" x14ac:dyDescent="0.35">
      <c r="E606" s="2"/>
      <c r="F606" s="2">
        <f>_xlfn.XLOOKUP(D606,TIPOS_CAMBIO!A:A,TIPOS_CAMBIO!B:B,"",0)</f>
        <v>0</v>
      </c>
      <c r="G606" s="3">
        <f t="shared" si="18"/>
        <v>0</v>
      </c>
      <c r="H606" s="3"/>
      <c r="I606" s="3">
        <f ca="1">IFERROR(_xludf.XLOOKUP("Seguro",PARAMETROS_IMPORTACION!$A:$A,PARAMETROS_IMPORTACION!$C:$C,0),0)</f>
        <v>0</v>
      </c>
      <c r="J606" s="3">
        <f ca="1">IFERROR(_xludf.XLOOKUP("Arancel",PARAMETROS_IMPORTACION!$A:$A,PARAMETROS_IMPORTACION!$C:$C,0),0)</f>
        <v>0</v>
      </c>
      <c r="K606" s="2">
        <f ca="1">IFERROR(_xludf.XLOOKUP("Gastos_Aduana",PARAMETROS_IMPORTACION!$A:$A,PARAMETROS_IMPORTACION!$C:$C,0),0)</f>
        <v>0</v>
      </c>
      <c r="L606" s="2">
        <f t="shared" si="19"/>
        <v>0</v>
      </c>
    </row>
    <row r="607" spans="5:12" x14ac:dyDescent="0.35">
      <c r="E607" s="2"/>
      <c r="F607" s="2">
        <f>_xlfn.XLOOKUP(D607,TIPOS_CAMBIO!A:A,TIPOS_CAMBIO!B:B,"",0)</f>
        <v>0</v>
      </c>
      <c r="G607" s="3">
        <f t="shared" si="18"/>
        <v>0</v>
      </c>
      <c r="H607" s="3"/>
      <c r="I607" s="3">
        <f ca="1">IFERROR(_xludf.XLOOKUP("Seguro",PARAMETROS_IMPORTACION!$A:$A,PARAMETROS_IMPORTACION!$C:$C,0),0)</f>
        <v>0</v>
      </c>
      <c r="J607" s="3">
        <f ca="1">IFERROR(_xludf.XLOOKUP("Arancel",PARAMETROS_IMPORTACION!$A:$A,PARAMETROS_IMPORTACION!$C:$C,0),0)</f>
        <v>0</v>
      </c>
      <c r="K607" s="2">
        <f ca="1">IFERROR(_xludf.XLOOKUP("Gastos_Aduana",PARAMETROS_IMPORTACION!$A:$A,PARAMETROS_IMPORTACION!$C:$C,0),0)</f>
        <v>0</v>
      </c>
      <c r="L607" s="2">
        <f t="shared" si="19"/>
        <v>0</v>
      </c>
    </row>
    <row r="608" spans="5:12" x14ac:dyDescent="0.35">
      <c r="E608" s="2"/>
      <c r="F608" s="2">
        <f>_xlfn.XLOOKUP(D608,TIPOS_CAMBIO!A:A,TIPOS_CAMBIO!B:B,"",0)</f>
        <v>0</v>
      </c>
      <c r="G608" s="3">
        <f t="shared" si="18"/>
        <v>0</v>
      </c>
      <c r="H608" s="3"/>
      <c r="I608" s="3">
        <f ca="1">IFERROR(_xludf.XLOOKUP("Seguro",PARAMETROS_IMPORTACION!$A:$A,PARAMETROS_IMPORTACION!$C:$C,0),0)</f>
        <v>0</v>
      </c>
      <c r="J608" s="3">
        <f ca="1">IFERROR(_xludf.XLOOKUP("Arancel",PARAMETROS_IMPORTACION!$A:$A,PARAMETROS_IMPORTACION!$C:$C,0),0)</f>
        <v>0</v>
      </c>
      <c r="K608" s="2">
        <f ca="1">IFERROR(_xludf.XLOOKUP("Gastos_Aduana",PARAMETROS_IMPORTACION!$A:$A,PARAMETROS_IMPORTACION!$C:$C,0),0)</f>
        <v>0</v>
      </c>
      <c r="L608" s="2">
        <f t="shared" si="19"/>
        <v>0</v>
      </c>
    </row>
    <row r="609" spans="5:12" x14ac:dyDescent="0.35">
      <c r="E609" s="2"/>
      <c r="F609" s="2">
        <f>_xlfn.XLOOKUP(D609,TIPOS_CAMBIO!A:A,TIPOS_CAMBIO!B:B,"",0)</f>
        <v>0</v>
      </c>
      <c r="G609" s="3">
        <f t="shared" si="18"/>
        <v>0</v>
      </c>
      <c r="H609" s="3"/>
      <c r="I609" s="3">
        <f ca="1">IFERROR(_xludf.XLOOKUP("Seguro",PARAMETROS_IMPORTACION!$A:$A,PARAMETROS_IMPORTACION!$C:$C,0),0)</f>
        <v>0</v>
      </c>
      <c r="J609" s="3">
        <f ca="1">IFERROR(_xludf.XLOOKUP("Arancel",PARAMETROS_IMPORTACION!$A:$A,PARAMETROS_IMPORTACION!$C:$C,0),0)</f>
        <v>0</v>
      </c>
      <c r="K609" s="2">
        <f ca="1">IFERROR(_xludf.XLOOKUP("Gastos_Aduana",PARAMETROS_IMPORTACION!$A:$A,PARAMETROS_IMPORTACION!$C:$C,0),0)</f>
        <v>0</v>
      </c>
      <c r="L609" s="2">
        <f t="shared" si="19"/>
        <v>0</v>
      </c>
    </row>
    <row r="610" spans="5:12" x14ac:dyDescent="0.35">
      <c r="E610" s="2"/>
      <c r="F610" s="2">
        <f>_xlfn.XLOOKUP(D610,TIPOS_CAMBIO!A:A,TIPOS_CAMBIO!B:B,"",0)</f>
        <v>0</v>
      </c>
      <c r="G610" s="3">
        <f t="shared" si="18"/>
        <v>0</v>
      </c>
      <c r="H610" s="3"/>
      <c r="I610" s="3">
        <f ca="1">IFERROR(_xludf.XLOOKUP("Seguro",PARAMETROS_IMPORTACION!$A:$A,PARAMETROS_IMPORTACION!$C:$C,0),0)</f>
        <v>0</v>
      </c>
      <c r="J610" s="3">
        <f ca="1">IFERROR(_xludf.XLOOKUP("Arancel",PARAMETROS_IMPORTACION!$A:$A,PARAMETROS_IMPORTACION!$C:$C,0),0)</f>
        <v>0</v>
      </c>
      <c r="K610" s="2">
        <f ca="1">IFERROR(_xludf.XLOOKUP("Gastos_Aduana",PARAMETROS_IMPORTACION!$A:$A,PARAMETROS_IMPORTACION!$C:$C,0),0)</f>
        <v>0</v>
      </c>
      <c r="L610" s="2">
        <f t="shared" si="19"/>
        <v>0</v>
      </c>
    </row>
    <row r="611" spans="5:12" x14ac:dyDescent="0.35">
      <c r="E611" s="2"/>
      <c r="F611" s="2">
        <f>_xlfn.XLOOKUP(D611,TIPOS_CAMBIO!A:A,TIPOS_CAMBIO!B:B,"",0)</f>
        <v>0</v>
      </c>
      <c r="G611" s="3">
        <f t="shared" si="18"/>
        <v>0</v>
      </c>
      <c r="H611" s="3"/>
      <c r="I611" s="3">
        <f ca="1">IFERROR(_xludf.XLOOKUP("Seguro",PARAMETROS_IMPORTACION!$A:$A,PARAMETROS_IMPORTACION!$C:$C,0),0)</f>
        <v>0</v>
      </c>
      <c r="J611" s="3">
        <f ca="1">IFERROR(_xludf.XLOOKUP("Arancel",PARAMETROS_IMPORTACION!$A:$A,PARAMETROS_IMPORTACION!$C:$C,0),0)</f>
        <v>0</v>
      </c>
      <c r="K611" s="2">
        <f ca="1">IFERROR(_xludf.XLOOKUP("Gastos_Aduana",PARAMETROS_IMPORTACION!$A:$A,PARAMETROS_IMPORTACION!$C:$C,0),0)</f>
        <v>0</v>
      </c>
      <c r="L611" s="2">
        <f t="shared" si="19"/>
        <v>0</v>
      </c>
    </row>
    <row r="612" spans="5:12" x14ac:dyDescent="0.35">
      <c r="E612" s="2"/>
      <c r="F612" s="2">
        <f>_xlfn.XLOOKUP(D612,TIPOS_CAMBIO!A:A,TIPOS_CAMBIO!B:B,"",0)</f>
        <v>0</v>
      </c>
      <c r="G612" s="3">
        <f t="shared" si="18"/>
        <v>0</v>
      </c>
      <c r="H612" s="3"/>
      <c r="I612" s="3">
        <f ca="1">IFERROR(_xludf.XLOOKUP("Seguro",PARAMETROS_IMPORTACION!$A:$A,PARAMETROS_IMPORTACION!$C:$C,0),0)</f>
        <v>0</v>
      </c>
      <c r="J612" s="3">
        <f ca="1">IFERROR(_xludf.XLOOKUP("Arancel",PARAMETROS_IMPORTACION!$A:$A,PARAMETROS_IMPORTACION!$C:$C,0),0)</f>
        <v>0</v>
      </c>
      <c r="K612" s="2">
        <f ca="1">IFERROR(_xludf.XLOOKUP("Gastos_Aduana",PARAMETROS_IMPORTACION!$A:$A,PARAMETROS_IMPORTACION!$C:$C,0),0)</f>
        <v>0</v>
      </c>
      <c r="L612" s="2">
        <f t="shared" si="19"/>
        <v>0</v>
      </c>
    </row>
    <row r="613" spans="5:12" x14ac:dyDescent="0.35">
      <c r="E613" s="2"/>
      <c r="F613" s="2">
        <f>_xlfn.XLOOKUP(D613,TIPOS_CAMBIO!A:A,TIPOS_CAMBIO!B:B,"",0)</f>
        <v>0</v>
      </c>
      <c r="G613" s="3">
        <f t="shared" si="18"/>
        <v>0</v>
      </c>
      <c r="H613" s="3"/>
      <c r="I613" s="3">
        <f ca="1">IFERROR(_xludf.XLOOKUP("Seguro",PARAMETROS_IMPORTACION!$A:$A,PARAMETROS_IMPORTACION!$C:$C,0),0)</f>
        <v>0</v>
      </c>
      <c r="J613" s="3">
        <f ca="1">IFERROR(_xludf.XLOOKUP("Arancel",PARAMETROS_IMPORTACION!$A:$A,PARAMETROS_IMPORTACION!$C:$C,0),0)</f>
        <v>0</v>
      </c>
      <c r="K613" s="2">
        <f ca="1">IFERROR(_xludf.XLOOKUP("Gastos_Aduana",PARAMETROS_IMPORTACION!$A:$A,PARAMETROS_IMPORTACION!$C:$C,0),0)</f>
        <v>0</v>
      </c>
      <c r="L613" s="2">
        <f t="shared" si="19"/>
        <v>0</v>
      </c>
    </row>
    <row r="614" spans="5:12" x14ac:dyDescent="0.35">
      <c r="E614" s="2"/>
      <c r="F614" s="2">
        <f>_xlfn.XLOOKUP(D614,TIPOS_CAMBIO!A:A,TIPOS_CAMBIO!B:B,"",0)</f>
        <v>0</v>
      </c>
      <c r="G614" s="3">
        <f t="shared" si="18"/>
        <v>0</v>
      </c>
      <c r="H614" s="3"/>
      <c r="I614" s="3">
        <f ca="1">IFERROR(_xludf.XLOOKUP("Seguro",PARAMETROS_IMPORTACION!$A:$A,PARAMETROS_IMPORTACION!$C:$C,0),0)</f>
        <v>0</v>
      </c>
      <c r="J614" s="3">
        <f ca="1">IFERROR(_xludf.XLOOKUP("Arancel",PARAMETROS_IMPORTACION!$A:$A,PARAMETROS_IMPORTACION!$C:$C,0),0)</f>
        <v>0</v>
      </c>
      <c r="K614" s="2">
        <f ca="1">IFERROR(_xludf.XLOOKUP("Gastos_Aduana",PARAMETROS_IMPORTACION!$A:$A,PARAMETROS_IMPORTACION!$C:$C,0),0)</f>
        <v>0</v>
      </c>
      <c r="L614" s="2">
        <f t="shared" si="19"/>
        <v>0</v>
      </c>
    </row>
    <row r="615" spans="5:12" x14ac:dyDescent="0.35">
      <c r="E615" s="2"/>
      <c r="F615" s="2">
        <f>_xlfn.XLOOKUP(D615,TIPOS_CAMBIO!A:A,TIPOS_CAMBIO!B:B,"",0)</f>
        <v>0</v>
      </c>
      <c r="G615" s="3">
        <f t="shared" si="18"/>
        <v>0</v>
      </c>
      <c r="H615" s="3"/>
      <c r="I615" s="3">
        <f ca="1">IFERROR(_xludf.XLOOKUP("Seguro",PARAMETROS_IMPORTACION!$A:$A,PARAMETROS_IMPORTACION!$C:$C,0),0)</f>
        <v>0</v>
      </c>
      <c r="J615" s="3">
        <f ca="1">IFERROR(_xludf.XLOOKUP("Arancel",PARAMETROS_IMPORTACION!$A:$A,PARAMETROS_IMPORTACION!$C:$C,0),0)</f>
        <v>0</v>
      </c>
      <c r="K615" s="2">
        <f ca="1">IFERROR(_xludf.XLOOKUP("Gastos_Aduana",PARAMETROS_IMPORTACION!$A:$A,PARAMETROS_IMPORTACION!$C:$C,0),0)</f>
        <v>0</v>
      </c>
      <c r="L615" s="2">
        <f t="shared" si="19"/>
        <v>0</v>
      </c>
    </row>
    <row r="616" spans="5:12" x14ac:dyDescent="0.35">
      <c r="E616" s="2"/>
      <c r="F616" s="2">
        <f>_xlfn.XLOOKUP(D616,TIPOS_CAMBIO!A:A,TIPOS_CAMBIO!B:B,"",0)</f>
        <v>0</v>
      </c>
      <c r="G616" s="3">
        <f t="shared" si="18"/>
        <v>0</v>
      </c>
      <c r="H616" s="3"/>
      <c r="I616" s="3">
        <f ca="1">IFERROR(_xludf.XLOOKUP("Seguro",PARAMETROS_IMPORTACION!$A:$A,PARAMETROS_IMPORTACION!$C:$C,0),0)</f>
        <v>0</v>
      </c>
      <c r="J616" s="3">
        <f ca="1">IFERROR(_xludf.XLOOKUP("Arancel",PARAMETROS_IMPORTACION!$A:$A,PARAMETROS_IMPORTACION!$C:$C,0),0)</f>
        <v>0</v>
      </c>
      <c r="K616" s="2">
        <f ca="1">IFERROR(_xludf.XLOOKUP("Gastos_Aduana",PARAMETROS_IMPORTACION!$A:$A,PARAMETROS_IMPORTACION!$C:$C,0),0)</f>
        <v>0</v>
      </c>
      <c r="L616" s="2">
        <f t="shared" si="19"/>
        <v>0</v>
      </c>
    </row>
    <row r="617" spans="5:12" x14ac:dyDescent="0.35">
      <c r="E617" s="2"/>
      <c r="F617" s="2">
        <f>_xlfn.XLOOKUP(D617,TIPOS_CAMBIO!A:A,TIPOS_CAMBIO!B:B,"",0)</f>
        <v>0</v>
      </c>
      <c r="G617" s="3">
        <f t="shared" si="18"/>
        <v>0</v>
      </c>
      <c r="H617" s="3"/>
      <c r="I617" s="3">
        <f ca="1">IFERROR(_xludf.XLOOKUP("Seguro",PARAMETROS_IMPORTACION!$A:$A,PARAMETROS_IMPORTACION!$C:$C,0),0)</f>
        <v>0</v>
      </c>
      <c r="J617" s="3">
        <f ca="1">IFERROR(_xludf.XLOOKUP("Arancel",PARAMETROS_IMPORTACION!$A:$A,PARAMETROS_IMPORTACION!$C:$C,0),0)</f>
        <v>0</v>
      </c>
      <c r="K617" s="2">
        <f ca="1">IFERROR(_xludf.XLOOKUP("Gastos_Aduana",PARAMETROS_IMPORTACION!$A:$A,PARAMETROS_IMPORTACION!$C:$C,0),0)</f>
        <v>0</v>
      </c>
      <c r="L617" s="2">
        <f t="shared" si="19"/>
        <v>0</v>
      </c>
    </row>
    <row r="618" spans="5:12" x14ac:dyDescent="0.35">
      <c r="E618" s="2"/>
      <c r="F618" s="2">
        <f>_xlfn.XLOOKUP(D618,TIPOS_CAMBIO!A:A,TIPOS_CAMBIO!B:B,"",0)</f>
        <v>0</v>
      </c>
      <c r="G618" s="3">
        <f t="shared" si="18"/>
        <v>0</v>
      </c>
      <c r="H618" s="3"/>
      <c r="I618" s="3">
        <f ca="1">IFERROR(_xludf.XLOOKUP("Seguro",PARAMETROS_IMPORTACION!$A:$A,PARAMETROS_IMPORTACION!$C:$C,0),0)</f>
        <v>0</v>
      </c>
      <c r="J618" s="3">
        <f ca="1">IFERROR(_xludf.XLOOKUP("Arancel",PARAMETROS_IMPORTACION!$A:$A,PARAMETROS_IMPORTACION!$C:$C,0),0)</f>
        <v>0</v>
      </c>
      <c r="K618" s="2">
        <f ca="1">IFERROR(_xludf.XLOOKUP("Gastos_Aduana",PARAMETROS_IMPORTACION!$A:$A,PARAMETROS_IMPORTACION!$C:$C,0),0)</f>
        <v>0</v>
      </c>
      <c r="L618" s="2">
        <f t="shared" si="19"/>
        <v>0</v>
      </c>
    </row>
    <row r="619" spans="5:12" x14ac:dyDescent="0.35">
      <c r="E619" s="2"/>
      <c r="F619" s="2">
        <f>_xlfn.XLOOKUP(D619,TIPOS_CAMBIO!A:A,TIPOS_CAMBIO!B:B,"",0)</f>
        <v>0</v>
      </c>
      <c r="G619" s="3">
        <f t="shared" si="18"/>
        <v>0</v>
      </c>
      <c r="H619" s="3"/>
      <c r="I619" s="3">
        <f ca="1">IFERROR(_xludf.XLOOKUP("Seguro",PARAMETROS_IMPORTACION!$A:$A,PARAMETROS_IMPORTACION!$C:$C,0),0)</f>
        <v>0</v>
      </c>
      <c r="J619" s="3">
        <f ca="1">IFERROR(_xludf.XLOOKUP("Arancel",PARAMETROS_IMPORTACION!$A:$A,PARAMETROS_IMPORTACION!$C:$C,0),0)</f>
        <v>0</v>
      </c>
      <c r="K619" s="2">
        <f ca="1">IFERROR(_xludf.XLOOKUP("Gastos_Aduana",PARAMETROS_IMPORTACION!$A:$A,PARAMETROS_IMPORTACION!$C:$C,0),0)</f>
        <v>0</v>
      </c>
      <c r="L619" s="2">
        <f t="shared" si="19"/>
        <v>0</v>
      </c>
    </row>
    <row r="620" spans="5:12" x14ac:dyDescent="0.35">
      <c r="E620" s="2"/>
      <c r="F620" s="2">
        <f>_xlfn.XLOOKUP(D620,TIPOS_CAMBIO!A:A,TIPOS_CAMBIO!B:B,"",0)</f>
        <v>0</v>
      </c>
      <c r="G620" s="3">
        <f t="shared" si="18"/>
        <v>0</v>
      </c>
      <c r="H620" s="3"/>
      <c r="I620" s="3">
        <f ca="1">IFERROR(_xludf.XLOOKUP("Seguro",PARAMETROS_IMPORTACION!$A:$A,PARAMETROS_IMPORTACION!$C:$C,0),0)</f>
        <v>0</v>
      </c>
      <c r="J620" s="3">
        <f ca="1">IFERROR(_xludf.XLOOKUP("Arancel",PARAMETROS_IMPORTACION!$A:$A,PARAMETROS_IMPORTACION!$C:$C,0),0)</f>
        <v>0</v>
      </c>
      <c r="K620" s="2">
        <f ca="1">IFERROR(_xludf.XLOOKUP("Gastos_Aduana",PARAMETROS_IMPORTACION!$A:$A,PARAMETROS_IMPORTACION!$C:$C,0),0)</f>
        <v>0</v>
      </c>
      <c r="L620" s="2">
        <f t="shared" si="19"/>
        <v>0</v>
      </c>
    </row>
    <row r="621" spans="5:12" x14ac:dyDescent="0.35">
      <c r="E621" s="2"/>
      <c r="F621" s="2">
        <f>_xlfn.XLOOKUP(D621,TIPOS_CAMBIO!A:A,TIPOS_CAMBIO!B:B,"",0)</f>
        <v>0</v>
      </c>
      <c r="G621" s="3">
        <f t="shared" si="18"/>
        <v>0</v>
      </c>
      <c r="H621" s="3"/>
      <c r="I621" s="3">
        <f ca="1">IFERROR(_xludf.XLOOKUP("Seguro",PARAMETROS_IMPORTACION!$A:$A,PARAMETROS_IMPORTACION!$C:$C,0),0)</f>
        <v>0</v>
      </c>
      <c r="J621" s="3">
        <f ca="1">IFERROR(_xludf.XLOOKUP("Arancel",PARAMETROS_IMPORTACION!$A:$A,PARAMETROS_IMPORTACION!$C:$C,0),0)</f>
        <v>0</v>
      </c>
      <c r="K621" s="2">
        <f ca="1">IFERROR(_xludf.XLOOKUP("Gastos_Aduana",PARAMETROS_IMPORTACION!$A:$A,PARAMETROS_IMPORTACION!$C:$C,0),0)</f>
        <v>0</v>
      </c>
      <c r="L621" s="2">
        <f t="shared" si="19"/>
        <v>0</v>
      </c>
    </row>
    <row r="622" spans="5:12" x14ac:dyDescent="0.35">
      <c r="E622" s="2"/>
      <c r="F622" s="2">
        <f>_xlfn.XLOOKUP(D622,TIPOS_CAMBIO!A:A,TIPOS_CAMBIO!B:B,"",0)</f>
        <v>0</v>
      </c>
      <c r="G622" s="3">
        <f t="shared" si="18"/>
        <v>0</v>
      </c>
      <c r="H622" s="3"/>
      <c r="I622" s="3">
        <f ca="1">IFERROR(_xludf.XLOOKUP("Seguro",PARAMETROS_IMPORTACION!$A:$A,PARAMETROS_IMPORTACION!$C:$C,0),0)</f>
        <v>0</v>
      </c>
      <c r="J622" s="3">
        <f ca="1">IFERROR(_xludf.XLOOKUP("Arancel",PARAMETROS_IMPORTACION!$A:$A,PARAMETROS_IMPORTACION!$C:$C,0),0)</f>
        <v>0</v>
      </c>
      <c r="K622" s="2">
        <f ca="1">IFERROR(_xludf.XLOOKUP("Gastos_Aduana",PARAMETROS_IMPORTACION!$A:$A,PARAMETROS_IMPORTACION!$C:$C,0),0)</f>
        <v>0</v>
      </c>
      <c r="L622" s="2">
        <f t="shared" si="19"/>
        <v>0</v>
      </c>
    </row>
    <row r="623" spans="5:12" x14ac:dyDescent="0.35">
      <c r="E623" s="2"/>
      <c r="F623" s="2">
        <f>_xlfn.XLOOKUP(D623,TIPOS_CAMBIO!A:A,TIPOS_CAMBIO!B:B,"",0)</f>
        <v>0</v>
      </c>
      <c r="G623" s="3">
        <f t="shared" si="18"/>
        <v>0</v>
      </c>
      <c r="H623" s="3"/>
      <c r="I623" s="3">
        <f ca="1">IFERROR(_xludf.XLOOKUP("Seguro",PARAMETROS_IMPORTACION!$A:$A,PARAMETROS_IMPORTACION!$C:$C,0),0)</f>
        <v>0</v>
      </c>
      <c r="J623" s="3">
        <f ca="1">IFERROR(_xludf.XLOOKUP("Arancel",PARAMETROS_IMPORTACION!$A:$A,PARAMETROS_IMPORTACION!$C:$C,0),0)</f>
        <v>0</v>
      </c>
      <c r="K623" s="2">
        <f ca="1">IFERROR(_xludf.XLOOKUP("Gastos_Aduana",PARAMETROS_IMPORTACION!$A:$A,PARAMETROS_IMPORTACION!$C:$C,0),0)</f>
        <v>0</v>
      </c>
      <c r="L623" s="2">
        <f t="shared" si="19"/>
        <v>0</v>
      </c>
    </row>
    <row r="624" spans="5:12" x14ac:dyDescent="0.35">
      <c r="E624" s="2"/>
      <c r="F624" s="2">
        <f>_xlfn.XLOOKUP(D624,TIPOS_CAMBIO!A:A,TIPOS_CAMBIO!B:B,"",0)</f>
        <v>0</v>
      </c>
      <c r="G624" s="3">
        <f t="shared" si="18"/>
        <v>0</v>
      </c>
      <c r="H624" s="3"/>
      <c r="I624" s="3">
        <f ca="1">IFERROR(_xludf.XLOOKUP("Seguro",PARAMETROS_IMPORTACION!$A:$A,PARAMETROS_IMPORTACION!$C:$C,0),0)</f>
        <v>0</v>
      </c>
      <c r="J624" s="3">
        <f ca="1">IFERROR(_xludf.XLOOKUP("Arancel",PARAMETROS_IMPORTACION!$A:$A,PARAMETROS_IMPORTACION!$C:$C,0),0)</f>
        <v>0</v>
      </c>
      <c r="K624" s="2">
        <f ca="1">IFERROR(_xludf.XLOOKUP("Gastos_Aduana",PARAMETROS_IMPORTACION!$A:$A,PARAMETROS_IMPORTACION!$C:$C,0),0)</f>
        <v>0</v>
      </c>
      <c r="L624" s="2">
        <f t="shared" si="19"/>
        <v>0</v>
      </c>
    </row>
    <row r="625" spans="5:12" x14ac:dyDescent="0.35">
      <c r="E625" s="2"/>
      <c r="F625" s="2">
        <f>_xlfn.XLOOKUP(D625,TIPOS_CAMBIO!A:A,TIPOS_CAMBIO!B:B,"",0)</f>
        <v>0</v>
      </c>
      <c r="G625" s="3">
        <f t="shared" si="18"/>
        <v>0</v>
      </c>
      <c r="H625" s="3"/>
      <c r="I625" s="3">
        <f ca="1">IFERROR(_xludf.XLOOKUP("Seguro",PARAMETROS_IMPORTACION!$A:$A,PARAMETROS_IMPORTACION!$C:$C,0),0)</f>
        <v>0</v>
      </c>
      <c r="J625" s="3">
        <f ca="1">IFERROR(_xludf.XLOOKUP("Arancel",PARAMETROS_IMPORTACION!$A:$A,PARAMETROS_IMPORTACION!$C:$C,0),0)</f>
        <v>0</v>
      </c>
      <c r="K625" s="2">
        <f ca="1">IFERROR(_xludf.XLOOKUP("Gastos_Aduana",PARAMETROS_IMPORTACION!$A:$A,PARAMETROS_IMPORTACION!$C:$C,0),0)</f>
        <v>0</v>
      </c>
      <c r="L625" s="2">
        <f t="shared" si="19"/>
        <v>0</v>
      </c>
    </row>
    <row r="626" spans="5:12" x14ac:dyDescent="0.35">
      <c r="E626" s="2"/>
      <c r="F626" s="2">
        <f>_xlfn.XLOOKUP(D626,TIPOS_CAMBIO!A:A,TIPOS_CAMBIO!B:B,"",0)</f>
        <v>0</v>
      </c>
      <c r="G626" s="3">
        <f t="shared" si="18"/>
        <v>0</v>
      </c>
      <c r="H626" s="3"/>
      <c r="I626" s="3">
        <f ca="1">IFERROR(_xludf.XLOOKUP("Seguro",PARAMETROS_IMPORTACION!$A:$A,PARAMETROS_IMPORTACION!$C:$C,0),0)</f>
        <v>0</v>
      </c>
      <c r="J626" s="3">
        <f ca="1">IFERROR(_xludf.XLOOKUP("Arancel",PARAMETROS_IMPORTACION!$A:$A,PARAMETROS_IMPORTACION!$C:$C,0),0)</f>
        <v>0</v>
      </c>
      <c r="K626" s="2">
        <f ca="1">IFERROR(_xludf.XLOOKUP("Gastos_Aduana",PARAMETROS_IMPORTACION!$A:$A,PARAMETROS_IMPORTACION!$C:$C,0),0)</f>
        <v>0</v>
      </c>
      <c r="L626" s="2">
        <f t="shared" si="19"/>
        <v>0</v>
      </c>
    </row>
    <row r="627" spans="5:12" x14ac:dyDescent="0.35">
      <c r="E627" s="2"/>
      <c r="F627" s="2">
        <f>_xlfn.XLOOKUP(D627,TIPOS_CAMBIO!A:A,TIPOS_CAMBIO!B:B,"",0)</f>
        <v>0</v>
      </c>
      <c r="G627" s="3">
        <f t="shared" si="18"/>
        <v>0</v>
      </c>
      <c r="H627" s="3"/>
      <c r="I627" s="3">
        <f ca="1">IFERROR(_xludf.XLOOKUP("Seguro",PARAMETROS_IMPORTACION!$A:$A,PARAMETROS_IMPORTACION!$C:$C,0),0)</f>
        <v>0</v>
      </c>
      <c r="J627" s="3">
        <f ca="1">IFERROR(_xludf.XLOOKUP("Arancel",PARAMETROS_IMPORTACION!$A:$A,PARAMETROS_IMPORTACION!$C:$C,0),0)</f>
        <v>0</v>
      </c>
      <c r="K627" s="2">
        <f ca="1">IFERROR(_xludf.XLOOKUP("Gastos_Aduana",PARAMETROS_IMPORTACION!$A:$A,PARAMETROS_IMPORTACION!$C:$C,0),0)</f>
        <v>0</v>
      </c>
      <c r="L627" s="2">
        <f t="shared" si="19"/>
        <v>0</v>
      </c>
    </row>
    <row r="628" spans="5:12" x14ac:dyDescent="0.35">
      <c r="E628" s="2"/>
      <c r="F628" s="2">
        <f>_xlfn.XLOOKUP(D628,TIPOS_CAMBIO!A:A,TIPOS_CAMBIO!B:B,"",0)</f>
        <v>0</v>
      </c>
      <c r="G628" s="3">
        <f t="shared" si="18"/>
        <v>0</v>
      </c>
      <c r="H628" s="3"/>
      <c r="I628" s="3">
        <f ca="1">IFERROR(_xludf.XLOOKUP("Seguro",PARAMETROS_IMPORTACION!$A:$A,PARAMETROS_IMPORTACION!$C:$C,0),0)</f>
        <v>0</v>
      </c>
      <c r="J628" s="3">
        <f ca="1">IFERROR(_xludf.XLOOKUP("Arancel",PARAMETROS_IMPORTACION!$A:$A,PARAMETROS_IMPORTACION!$C:$C,0),0)</f>
        <v>0</v>
      </c>
      <c r="K628" s="2">
        <f ca="1">IFERROR(_xludf.XLOOKUP("Gastos_Aduana",PARAMETROS_IMPORTACION!$A:$A,PARAMETROS_IMPORTACION!$C:$C,0),0)</f>
        <v>0</v>
      </c>
      <c r="L628" s="2">
        <f t="shared" si="19"/>
        <v>0</v>
      </c>
    </row>
    <row r="629" spans="5:12" x14ac:dyDescent="0.35">
      <c r="E629" s="2"/>
      <c r="F629" s="2">
        <f>_xlfn.XLOOKUP(D629,TIPOS_CAMBIO!A:A,TIPOS_CAMBIO!B:B,"",0)</f>
        <v>0</v>
      </c>
      <c r="G629" s="3">
        <f t="shared" si="18"/>
        <v>0</v>
      </c>
      <c r="H629" s="3"/>
      <c r="I629" s="3">
        <f ca="1">IFERROR(_xludf.XLOOKUP("Seguro",PARAMETROS_IMPORTACION!$A:$A,PARAMETROS_IMPORTACION!$C:$C,0),0)</f>
        <v>0</v>
      </c>
      <c r="J629" s="3">
        <f ca="1">IFERROR(_xludf.XLOOKUP("Arancel",PARAMETROS_IMPORTACION!$A:$A,PARAMETROS_IMPORTACION!$C:$C,0),0)</f>
        <v>0</v>
      </c>
      <c r="K629" s="2">
        <f ca="1">IFERROR(_xludf.XLOOKUP("Gastos_Aduana",PARAMETROS_IMPORTACION!$A:$A,PARAMETROS_IMPORTACION!$C:$C,0),0)</f>
        <v>0</v>
      </c>
      <c r="L629" s="2">
        <f t="shared" si="19"/>
        <v>0</v>
      </c>
    </row>
    <row r="630" spans="5:12" x14ac:dyDescent="0.35">
      <c r="E630" s="2"/>
      <c r="F630" s="2">
        <f>_xlfn.XLOOKUP(D630,TIPOS_CAMBIO!A:A,TIPOS_CAMBIO!B:B,"",0)</f>
        <v>0</v>
      </c>
      <c r="G630" s="3">
        <f t="shared" si="18"/>
        <v>0</v>
      </c>
      <c r="H630" s="3"/>
      <c r="I630" s="3">
        <f ca="1">IFERROR(_xludf.XLOOKUP("Seguro",PARAMETROS_IMPORTACION!$A:$A,PARAMETROS_IMPORTACION!$C:$C,0),0)</f>
        <v>0</v>
      </c>
      <c r="J630" s="3">
        <f ca="1">IFERROR(_xludf.XLOOKUP("Arancel",PARAMETROS_IMPORTACION!$A:$A,PARAMETROS_IMPORTACION!$C:$C,0),0)</f>
        <v>0</v>
      </c>
      <c r="K630" s="2">
        <f ca="1">IFERROR(_xludf.XLOOKUP("Gastos_Aduana",PARAMETROS_IMPORTACION!$A:$A,PARAMETROS_IMPORTACION!$C:$C,0),0)</f>
        <v>0</v>
      </c>
      <c r="L630" s="2">
        <f t="shared" si="19"/>
        <v>0</v>
      </c>
    </row>
    <row r="631" spans="5:12" x14ac:dyDescent="0.35">
      <c r="E631" s="2"/>
      <c r="F631" s="2">
        <f>_xlfn.XLOOKUP(D631,TIPOS_CAMBIO!A:A,TIPOS_CAMBIO!B:B,"",0)</f>
        <v>0</v>
      </c>
      <c r="G631" s="3">
        <f t="shared" si="18"/>
        <v>0</v>
      </c>
      <c r="H631" s="3"/>
      <c r="I631" s="3">
        <f ca="1">IFERROR(_xludf.XLOOKUP("Seguro",PARAMETROS_IMPORTACION!$A:$A,PARAMETROS_IMPORTACION!$C:$C,0),0)</f>
        <v>0</v>
      </c>
      <c r="J631" s="3">
        <f ca="1">IFERROR(_xludf.XLOOKUP("Arancel",PARAMETROS_IMPORTACION!$A:$A,PARAMETROS_IMPORTACION!$C:$C,0),0)</f>
        <v>0</v>
      </c>
      <c r="K631" s="2">
        <f ca="1">IFERROR(_xludf.XLOOKUP("Gastos_Aduana",PARAMETROS_IMPORTACION!$A:$A,PARAMETROS_IMPORTACION!$C:$C,0),0)</f>
        <v>0</v>
      </c>
      <c r="L631" s="2">
        <f t="shared" si="19"/>
        <v>0</v>
      </c>
    </row>
    <row r="632" spans="5:12" x14ac:dyDescent="0.35">
      <c r="E632" s="2"/>
      <c r="F632" s="2">
        <f>_xlfn.XLOOKUP(D632,TIPOS_CAMBIO!A:A,TIPOS_CAMBIO!B:B,"",0)</f>
        <v>0</v>
      </c>
      <c r="G632" s="3">
        <f t="shared" si="18"/>
        <v>0</v>
      </c>
      <c r="H632" s="3"/>
      <c r="I632" s="3">
        <f ca="1">IFERROR(_xludf.XLOOKUP("Seguro",PARAMETROS_IMPORTACION!$A:$A,PARAMETROS_IMPORTACION!$C:$C,0),0)</f>
        <v>0</v>
      </c>
      <c r="J632" s="3">
        <f ca="1">IFERROR(_xludf.XLOOKUP("Arancel",PARAMETROS_IMPORTACION!$A:$A,PARAMETROS_IMPORTACION!$C:$C,0),0)</f>
        <v>0</v>
      </c>
      <c r="K632" s="2">
        <f ca="1">IFERROR(_xludf.XLOOKUP("Gastos_Aduana",PARAMETROS_IMPORTACION!$A:$A,PARAMETROS_IMPORTACION!$C:$C,0),0)</f>
        <v>0</v>
      </c>
      <c r="L632" s="2">
        <f t="shared" si="19"/>
        <v>0</v>
      </c>
    </row>
    <row r="633" spans="5:12" x14ac:dyDescent="0.35">
      <c r="E633" s="2"/>
      <c r="F633" s="2">
        <f>_xlfn.XLOOKUP(D633,TIPOS_CAMBIO!A:A,TIPOS_CAMBIO!B:B,"",0)</f>
        <v>0</v>
      </c>
      <c r="G633" s="3">
        <f t="shared" si="18"/>
        <v>0</v>
      </c>
      <c r="H633" s="3"/>
      <c r="I633" s="3">
        <f ca="1">IFERROR(_xludf.XLOOKUP("Seguro",PARAMETROS_IMPORTACION!$A:$A,PARAMETROS_IMPORTACION!$C:$C,0),0)</f>
        <v>0</v>
      </c>
      <c r="J633" s="3">
        <f ca="1">IFERROR(_xludf.XLOOKUP("Arancel",PARAMETROS_IMPORTACION!$A:$A,PARAMETROS_IMPORTACION!$C:$C,0),0)</f>
        <v>0</v>
      </c>
      <c r="K633" s="2">
        <f ca="1">IFERROR(_xludf.XLOOKUP("Gastos_Aduana",PARAMETROS_IMPORTACION!$A:$A,PARAMETROS_IMPORTACION!$C:$C,0),0)</f>
        <v>0</v>
      </c>
      <c r="L633" s="2">
        <f t="shared" si="19"/>
        <v>0</v>
      </c>
    </row>
    <row r="634" spans="5:12" x14ac:dyDescent="0.35">
      <c r="E634" s="2"/>
      <c r="F634" s="2">
        <f>_xlfn.XLOOKUP(D634,TIPOS_CAMBIO!A:A,TIPOS_CAMBIO!B:B,"",0)</f>
        <v>0</v>
      </c>
      <c r="G634" s="3">
        <f t="shared" si="18"/>
        <v>0</v>
      </c>
      <c r="H634" s="3"/>
      <c r="I634" s="3">
        <f ca="1">IFERROR(_xludf.XLOOKUP("Seguro",PARAMETROS_IMPORTACION!$A:$A,PARAMETROS_IMPORTACION!$C:$C,0),0)</f>
        <v>0</v>
      </c>
      <c r="J634" s="3">
        <f ca="1">IFERROR(_xludf.XLOOKUP("Arancel",PARAMETROS_IMPORTACION!$A:$A,PARAMETROS_IMPORTACION!$C:$C,0),0)</f>
        <v>0</v>
      </c>
      <c r="K634" s="2">
        <f ca="1">IFERROR(_xludf.XLOOKUP("Gastos_Aduana",PARAMETROS_IMPORTACION!$A:$A,PARAMETROS_IMPORTACION!$C:$C,0),0)</f>
        <v>0</v>
      </c>
      <c r="L634" s="2">
        <f t="shared" si="19"/>
        <v>0</v>
      </c>
    </row>
    <row r="635" spans="5:12" x14ac:dyDescent="0.35">
      <c r="E635" s="2"/>
      <c r="F635" s="2">
        <f>_xlfn.XLOOKUP(D635,TIPOS_CAMBIO!A:A,TIPOS_CAMBIO!B:B,"",0)</f>
        <v>0</v>
      </c>
      <c r="G635" s="3">
        <f t="shared" si="18"/>
        <v>0</v>
      </c>
      <c r="H635" s="3"/>
      <c r="I635" s="3">
        <f ca="1">IFERROR(_xludf.XLOOKUP("Seguro",PARAMETROS_IMPORTACION!$A:$A,PARAMETROS_IMPORTACION!$C:$C,0),0)</f>
        <v>0</v>
      </c>
      <c r="J635" s="3">
        <f ca="1">IFERROR(_xludf.XLOOKUP("Arancel",PARAMETROS_IMPORTACION!$A:$A,PARAMETROS_IMPORTACION!$C:$C,0),0)</f>
        <v>0</v>
      </c>
      <c r="K635" s="2">
        <f ca="1">IFERROR(_xludf.XLOOKUP("Gastos_Aduana",PARAMETROS_IMPORTACION!$A:$A,PARAMETROS_IMPORTACION!$C:$C,0),0)</f>
        <v>0</v>
      </c>
      <c r="L635" s="2">
        <f t="shared" si="19"/>
        <v>0</v>
      </c>
    </row>
    <row r="636" spans="5:12" x14ac:dyDescent="0.35">
      <c r="E636" s="2"/>
      <c r="F636" s="2">
        <f>_xlfn.XLOOKUP(D636,TIPOS_CAMBIO!A:A,TIPOS_CAMBIO!B:B,"",0)</f>
        <v>0</v>
      </c>
      <c r="G636" s="3">
        <f t="shared" si="18"/>
        <v>0</v>
      </c>
      <c r="H636" s="3"/>
      <c r="I636" s="3">
        <f ca="1">IFERROR(_xludf.XLOOKUP("Seguro",PARAMETROS_IMPORTACION!$A:$A,PARAMETROS_IMPORTACION!$C:$C,0),0)</f>
        <v>0</v>
      </c>
      <c r="J636" s="3">
        <f ca="1">IFERROR(_xludf.XLOOKUP("Arancel",PARAMETROS_IMPORTACION!$A:$A,PARAMETROS_IMPORTACION!$C:$C,0),0)</f>
        <v>0</v>
      </c>
      <c r="K636" s="2">
        <f ca="1">IFERROR(_xludf.XLOOKUP("Gastos_Aduana",PARAMETROS_IMPORTACION!$A:$A,PARAMETROS_IMPORTACION!$C:$C,0),0)</f>
        <v>0</v>
      </c>
      <c r="L636" s="2">
        <f t="shared" si="19"/>
        <v>0</v>
      </c>
    </row>
    <row r="637" spans="5:12" x14ac:dyDescent="0.35">
      <c r="E637" s="2"/>
      <c r="F637" s="2">
        <f>_xlfn.XLOOKUP(D637,TIPOS_CAMBIO!A:A,TIPOS_CAMBIO!B:B,"",0)</f>
        <v>0</v>
      </c>
      <c r="G637" s="3">
        <f t="shared" si="18"/>
        <v>0</v>
      </c>
      <c r="H637" s="3"/>
      <c r="I637" s="3">
        <f ca="1">IFERROR(_xludf.XLOOKUP("Seguro",PARAMETROS_IMPORTACION!$A:$A,PARAMETROS_IMPORTACION!$C:$C,0),0)</f>
        <v>0</v>
      </c>
      <c r="J637" s="3">
        <f ca="1">IFERROR(_xludf.XLOOKUP("Arancel",PARAMETROS_IMPORTACION!$A:$A,PARAMETROS_IMPORTACION!$C:$C,0),0)</f>
        <v>0</v>
      </c>
      <c r="K637" s="2">
        <f ca="1">IFERROR(_xludf.XLOOKUP("Gastos_Aduana",PARAMETROS_IMPORTACION!$A:$A,PARAMETROS_IMPORTACION!$C:$C,0),0)</f>
        <v>0</v>
      </c>
      <c r="L637" s="2">
        <f t="shared" si="19"/>
        <v>0</v>
      </c>
    </row>
    <row r="638" spans="5:12" x14ac:dyDescent="0.35">
      <c r="E638" s="2"/>
      <c r="F638" s="2">
        <f>_xlfn.XLOOKUP(D638,TIPOS_CAMBIO!A:A,TIPOS_CAMBIO!B:B,"",0)</f>
        <v>0</v>
      </c>
      <c r="G638" s="3">
        <f t="shared" si="18"/>
        <v>0</v>
      </c>
      <c r="H638" s="3"/>
      <c r="I638" s="3">
        <f ca="1">IFERROR(_xludf.XLOOKUP("Seguro",PARAMETROS_IMPORTACION!$A:$A,PARAMETROS_IMPORTACION!$C:$C,0),0)</f>
        <v>0</v>
      </c>
      <c r="J638" s="3">
        <f ca="1">IFERROR(_xludf.XLOOKUP("Arancel",PARAMETROS_IMPORTACION!$A:$A,PARAMETROS_IMPORTACION!$C:$C,0),0)</f>
        <v>0</v>
      </c>
      <c r="K638" s="2">
        <f ca="1">IFERROR(_xludf.XLOOKUP("Gastos_Aduana",PARAMETROS_IMPORTACION!$A:$A,PARAMETROS_IMPORTACION!$C:$C,0),0)</f>
        <v>0</v>
      </c>
      <c r="L638" s="2">
        <f t="shared" si="19"/>
        <v>0</v>
      </c>
    </row>
    <row r="639" spans="5:12" x14ac:dyDescent="0.35">
      <c r="E639" s="2"/>
      <c r="F639" s="2">
        <f>_xlfn.XLOOKUP(D639,TIPOS_CAMBIO!A:A,TIPOS_CAMBIO!B:B,"",0)</f>
        <v>0</v>
      </c>
      <c r="G639" s="3">
        <f t="shared" si="18"/>
        <v>0</v>
      </c>
      <c r="H639" s="3"/>
      <c r="I639" s="3">
        <f ca="1">IFERROR(_xludf.XLOOKUP("Seguro",PARAMETROS_IMPORTACION!$A:$A,PARAMETROS_IMPORTACION!$C:$C,0),0)</f>
        <v>0</v>
      </c>
      <c r="J639" s="3">
        <f ca="1">IFERROR(_xludf.XLOOKUP("Arancel",PARAMETROS_IMPORTACION!$A:$A,PARAMETROS_IMPORTACION!$C:$C,0),0)</f>
        <v>0</v>
      </c>
      <c r="K639" s="2">
        <f ca="1">IFERROR(_xludf.XLOOKUP("Gastos_Aduana",PARAMETROS_IMPORTACION!$A:$A,PARAMETROS_IMPORTACION!$C:$C,0),0)</f>
        <v>0</v>
      </c>
      <c r="L639" s="2">
        <f t="shared" si="19"/>
        <v>0</v>
      </c>
    </row>
    <row r="640" spans="5:12" x14ac:dyDescent="0.35">
      <c r="E640" s="2"/>
      <c r="F640" s="2">
        <f>_xlfn.XLOOKUP(D640,TIPOS_CAMBIO!A:A,TIPOS_CAMBIO!B:B,"",0)</f>
        <v>0</v>
      </c>
      <c r="G640" s="3">
        <f t="shared" si="18"/>
        <v>0</v>
      </c>
      <c r="H640" s="3"/>
      <c r="I640" s="3">
        <f ca="1">IFERROR(_xludf.XLOOKUP("Seguro",PARAMETROS_IMPORTACION!$A:$A,PARAMETROS_IMPORTACION!$C:$C,0),0)</f>
        <v>0</v>
      </c>
      <c r="J640" s="3">
        <f ca="1">IFERROR(_xludf.XLOOKUP("Arancel",PARAMETROS_IMPORTACION!$A:$A,PARAMETROS_IMPORTACION!$C:$C,0),0)</f>
        <v>0</v>
      </c>
      <c r="K640" s="2">
        <f ca="1">IFERROR(_xludf.XLOOKUP("Gastos_Aduana",PARAMETROS_IMPORTACION!$A:$A,PARAMETROS_IMPORTACION!$C:$C,0),0)</f>
        <v>0</v>
      </c>
      <c r="L640" s="2">
        <f t="shared" si="19"/>
        <v>0</v>
      </c>
    </row>
    <row r="641" spans="5:12" x14ac:dyDescent="0.35">
      <c r="E641" s="2"/>
      <c r="F641" s="2">
        <f>_xlfn.XLOOKUP(D641,TIPOS_CAMBIO!A:A,TIPOS_CAMBIO!B:B,"",0)</f>
        <v>0</v>
      </c>
      <c r="G641" s="3">
        <f t="shared" si="18"/>
        <v>0</v>
      </c>
      <c r="H641" s="3"/>
      <c r="I641" s="3">
        <f ca="1">IFERROR(_xludf.XLOOKUP("Seguro",PARAMETROS_IMPORTACION!$A:$A,PARAMETROS_IMPORTACION!$C:$C,0),0)</f>
        <v>0</v>
      </c>
      <c r="J641" s="3">
        <f ca="1">IFERROR(_xludf.XLOOKUP("Arancel",PARAMETROS_IMPORTACION!$A:$A,PARAMETROS_IMPORTACION!$C:$C,0),0)</f>
        <v>0</v>
      </c>
      <c r="K641" s="2">
        <f ca="1">IFERROR(_xludf.XLOOKUP("Gastos_Aduana",PARAMETROS_IMPORTACION!$A:$A,PARAMETROS_IMPORTACION!$C:$C,0),0)</f>
        <v>0</v>
      </c>
      <c r="L641" s="2">
        <f t="shared" si="19"/>
        <v>0</v>
      </c>
    </row>
    <row r="642" spans="5:12" x14ac:dyDescent="0.35">
      <c r="E642" s="2"/>
      <c r="F642" s="2">
        <f>_xlfn.XLOOKUP(D642,TIPOS_CAMBIO!A:A,TIPOS_CAMBIO!B:B,"",0)</f>
        <v>0</v>
      </c>
      <c r="G642" s="3">
        <f t="shared" ref="G642:G705" si="20">$E642*$F642</f>
        <v>0</v>
      </c>
      <c r="H642" s="3"/>
      <c r="I642" s="3">
        <f ca="1">IFERROR(_xludf.XLOOKUP("Seguro",PARAMETROS_IMPORTACION!$A:$A,PARAMETROS_IMPORTACION!$C:$C,0),0)</f>
        <v>0</v>
      </c>
      <c r="J642" s="3">
        <f ca="1">IFERROR(_xludf.XLOOKUP("Arancel",PARAMETROS_IMPORTACION!$A:$A,PARAMETROS_IMPORTACION!$C:$C,0),0)</f>
        <v>0</v>
      </c>
      <c r="K642" s="2">
        <f ca="1">IFERROR(_xludf.XLOOKUP("Gastos_Aduana",PARAMETROS_IMPORTACION!$A:$A,PARAMETROS_IMPORTACION!$C:$C,0),0)</f>
        <v>0</v>
      </c>
      <c r="L642" s="2">
        <f t="shared" si="19"/>
        <v>0</v>
      </c>
    </row>
    <row r="643" spans="5:12" x14ac:dyDescent="0.35">
      <c r="E643" s="2"/>
      <c r="F643" s="2">
        <f>_xlfn.XLOOKUP(D643,TIPOS_CAMBIO!A:A,TIPOS_CAMBIO!B:B,"",0)</f>
        <v>0</v>
      </c>
      <c r="G643" s="3">
        <f t="shared" si="20"/>
        <v>0</v>
      </c>
      <c r="H643" s="3"/>
      <c r="I643" s="3">
        <f ca="1">IFERROR(_xludf.XLOOKUP("Seguro",PARAMETROS_IMPORTACION!$A:$A,PARAMETROS_IMPORTACION!$C:$C,0),0)</f>
        <v>0</v>
      </c>
      <c r="J643" s="3">
        <f ca="1">IFERROR(_xludf.XLOOKUP("Arancel",PARAMETROS_IMPORTACION!$A:$A,PARAMETROS_IMPORTACION!$C:$C,0),0)</f>
        <v>0</v>
      </c>
      <c r="K643" s="2">
        <f ca="1">IFERROR(_xludf.XLOOKUP("Gastos_Aduana",PARAMETROS_IMPORTACION!$A:$A,PARAMETROS_IMPORTACION!$C:$C,0),0)</f>
        <v>0</v>
      </c>
      <c r="L643" s="2">
        <f t="shared" ref="L643:L706" si="21">IF($C643="Importado",$G643*(1+$H643+$I643+$J643)+$K643,$G643)</f>
        <v>0</v>
      </c>
    </row>
    <row r="644" spans="5:12" x14ac:dyDescent="0.35">
      <c r="E644" s="2"/>
      <c r="F644" s="2">
        <f>_xlfn.XLOOKUP(D644,TIPOS_CAMBIO!A:A,TIPOS_CAMBIO!B:B,"",0)</f>
        <v>0</v>
      </c>
      <c r="G644" s="3">
        <f t="shared" si="20"/>
        <v>0</v>
      </c>
      <c r="H644" s="3"/>
      <c r="I644" s="3">
        <f ca="1">IFERROR(_xludf.XLOOKUP("Seguro",PARAMETROS_IMPORTACION!$A:$A,PARAMETROS_IMPORTACION!$C:$C,0),0)</f>
        <v>0</v>
      </c>
      <c r="J644" s="3">
        <f ca="1">IFERROR(_xludf.XLOOKUP("Arancel",PARAMETROS_IMPORTACION!$A:$A,PARAMETROS_IMPORTACION!$C:$C,0),0)</f>
        <v>0</v>
      </c>
      <c r="K644" s="2">
        <f ca="1">IFERROR(_xludf.XLOOKUP("Gastos_Aduana",PARAMETROS_IMPORTACION!$A:$A,PARAMETROS_IMPORTACION!$C:$C,0),0)</f>
        <v>0</v>
      </c>
      <c r="L644" s="2">
        <f t="shared" si="21"/>
        <v>0</v>
      </c>
    </row>
    <row r="645" spans="5:12" x14ac:dyDescent="0.35">
      <c r="E645" s="2"/>
      <c r="F645" s="2">
        <f>_xlfn.XLOOKUP(D645,TIPOS_CAMBIO!A:A,TIPOS_CAMBIO!B:B,"",0)</f>
        <v>0</v>
      </c>
      <c r="G645" s="3">
        <f t="shared" si="20"/>
        <v>0</v>
      </c>
      <c r="H645" s="3"/>
      <c r="I645" s="3">
        <f ca="1">IFERROR(_xludf.XLOOKUP("Seguro",PARAMETROS_IMPORTACION!$A:$A,PARAMETROS_IMPORTACION!$C:$C,0),0)</f>
        <v>0</v>
      </c>
      <c r="J645" s="3">
        <f ca="1">IFERROR(_xludf.XLOOKUP("Arancel",PARAMETROS_IMPORTACION!$A:$A,PARAMETROS_IMPORTACION!$C:$C,0),0)</f>
        <v>0</v>
      </c>
      <c r="K645" s="2">
        <f ca="1">IFERROR(_xludf.XLOOKUP("Gastos_Aduana",PARAMETROS_IMPORTACION!$A:$A,PARAMETROS_IMPORTACION!$C:$C,0),0)</f>
        <v>0</v>
      </c>
      <c r="L645" s="2">
        <f t="shared" si="21"/>
        <v>0</v>
      </c>
    </row>
    <row r="646" spans="5:12" x14ac:dyDescent="0.35">
      <c r="E646" s="2"/>
      <c r="F646" s="2">
        <f>_xlfn.XLOOKUP(D646,TIPOS_CAMBIO!A:A,TIPOS_CAMBIO!B:B,"",0)</f>
        <v>0</v>
      </c>
      <c r="G646" s="3">
        <f t="shared" si="20"/>
        <v>0</v>
      </c>
      <c r="H646" s="3"/>
      <c r="I646" s="3">
        <f ca="1">IFERROR(_xludf.XLOOKUP("Seguro",PARAMETROS_IMPORTACION!$A:$A,PARAMETROS_IMPORTACION!$C:$C,0),0)</f>
        <v>0</v>
      </c>
      <c r="J646" s="3">
        <f ca="1">IFERROR(_xludf.XLOOKUP("Arancel",PARAMETROS_IMPORTACION!$A:$A,PARAMETROS_IMPORTACION!$C:$C,0),0)</f>
        <v>0</v>
      </c>
      <c r="K646" s="2">
        <f ca="1">IFERROR(_xludf.XLOOKUP("Gastos_Aduana",PARAMETROS_IMPORTACION!$A:$A,PARAMETROS_IMPORTACION!$C:$C,0),0)</f>
        <v>0</v>
      </c>
      <c r="L646" s="2">
        <f t="shared" si="21"/>
        <v>0</v>
      </c>
    </row>
    <row r="647" spans="5:12" x14ac:dyDescent="0.35">
      <c r="E647" s="2"/>
      <c r="F647" s="2">
        <f>_xlfn.XLOOKUP(D647,TIPOS_CAMBIO!A:A,TIPOS_CAMBIO!B:B,"",0)</f>
        <v>0</v>
      </c>
      <c r="G647" s="3">
        <f t="shared" si="20"/>
        <v>0</v>
      </c>
      <c r="H647" s="3"/>
      <c r="I647" s="3">
        <f ca="1">IFERROR(_xludf.XLOOKUP("Seguro",PARAMETROS_IMPORTACION!$A:$A,PARAMETROS_IMPORTACION!$C:$C,0),0)</f>
        <v>0</v>
      </c>
      <c r="J647" s="3">
        <f ca="1">IFERROR(_xludf.XLOOKUP("Arancel",PARAMETROS_IMPORTACION!$A:$A,PARAMETROS_IMPORTACION!$C:$C,0),0)</f>
        <v>0</v>
      </c>
      <c r="K647" s="2">
        <f ca="1">IFERROR(_xludf.XLOOKUP("Gastos_Aduana",PARAMETROS_IMPORTACION!$A:$A,PARAMETROS_IMPORTACION!$C:$C,0),0)</f>
        <v>0</v>
      </c>
      <c r="L647" s="2">
        <f t="shared" si="21"/>
        <v>0</v>
      </c>
    </row>
    <row r="648" spans="5:12" x14ac:dyDescent="0.35">
      <c r="E648" s="2"/>
      <c r="F648" s="2">
        <f>_xlfn.XLOOKUP(D648,TIPOS_CAMBIO!A:A,TIPOS_CAMBIO!B:B,"",0)</f>
        <v>0</v>
      </c>
      <c r="G648" s="3">
        <f t="shared" si="20"/>
        <v>0</v>
      </c>
      <c r="H648" s="3"/>
      <c r="I648" s="3">
        <f ca="1">IFERROR(_xludf.XLOOKUP("Seguro",PARAMETROS_IMPORTACION!$A:$A,PARAMETROS_IMPORTACION!$C:$C,0),0)</f>
        <v>0</v>
      </c>
      <c r="J648" s="3">
        <f ca="1">IFERROR(_xludf.XLOOKUP("Arancel",PARAMETROS_IMPORTACION!$A:$A,PARAMETROS_IMPORTACION!$C:$C,0),0)</f>
        <v>0</v>
      </c>
      <c r="K648" s="2">
        <f ca="1">IFERROR(_xludf.XLOOKUP("Gastos_Aduana",PARAMETROS_IMPORTACION!$A:$A,PARAMETROS_IMPORTACION!$C:$C,0),0)</f>
        <v>0</v>
      </c>
      <c r="L648" s="2">
        <f t="shared" si="21"/>
        <v>0</v>
      </c>
    </row>
    <row r="649" spans="5:12" x14ac:dyDescent="0.35">
      <c r="E649" s="2"/>
      <c r="F649" s="2">
        <f>_xlfn.XLOOKUP(D649,TIPOS_CAMBIO!A:A,TIPOS_CAMBIO!B:B,"",0)</f>
        <v>0</v>
      </c>
      <c r="G649" s="3">
        <f t="shared" si="20"/>
        <v>0</v>
      </c>
      <c r="H649" s="3"/>
      <c r="I649" s="3">
        <f ca="1">IFERROR(_xludf.XLOOKUP("Seguro",PARAMETROS_IMPORTACION!$A:$A,PARAMETROS_IMPORTACION!$C:$C,0),0)</f>
        <v>0</v>
      </c>
      <c r="J649" s="3">
        <f ca="1">IFERROR(_xludf.XLOOKUP("Arancel",PARAMETROS_IMPORTACION!$A:$A,PARAMETROS_IMPORTACION!$C:$C,0),0)</f>
        <v>0</v>
      </c>
      <c r="K649" s="2">
        <f ca="1">IFERROR(_xludf.XLOOKUP("Gastos_Aduana",PARAMETROS_IMPORTACION!$A:$A,PARAMETROS_IMPORTACION!$C:$C,0),0)</f>
        <v>0</v>
      </c>
      <c r="L649" s="2">
        <f t="shared" si="21"/>
        <v>0</v>
      </c>
    </row>
    <row r="650" spans="5:12" x14ac:dyDescent="0.35">
      <c r="E650" s="2"/>
      <c r="F650" s="2">
        <f>_xlfn.XLOOKUP(D650,TIPOS_CAMBIO!A:A,TIPOS_CAMBIO!B:B,"",0)</f>
        <v>0</v>
      </c>
      <c r="G650" s="3">
        <f t="shared" si="20"/>
        <v>0</v>
      </c>
      <c r="H650" s="3"/>
      <c r="I650" s="3">
        <f ca="1">IFERROR(_xludf.XLOOKUP("Seguro",PARAMETROS_IMPORTACION!$A:$A,PARAMETROS_IMPORTACION!$C:$C,0),0)</f>
        <v>0</v>
      </c>
      <c r="J650" s="3">
        <f ca="1">IFERROR(_xludf.XLOOKUP("Arancel",PARAMETROS_IMPORTACION!$A:$A,PARAMETROS_IMPORTACION!$C:$C,0),0)</f>
        <v>0</v>
      </c>
      <c r="K650" s="2">
        <f ca="1">IFERROR(_xludf.XLOOKUP("Gastos_Aduana",PARAMETROS_IMPORTACION!$A:$A,PARAMETROS_IMPORTACION!$C:$C,0),0)</f>
        <v>0</v>
      </c>
      <c r="L650" s="2">
        <f t="shared" si="21"/>
        <v>0</v>
      </c>
    </row>
    <row r="651" spans="5:12" x14ac:dyDescent="0.35">
      <c r="E651" s="2"/>
      <c r="F651" s="2">
        <f>_xlfn.XLOOKUP(D651,TIPOS_CAMBIO!A:A,TIPOS_CAMBIO!B:B,"",0)</f>
        <v>0</v>
      </c>
      <c r="G651" s="3">
        <f t="shared" si="20"/>
        <v>0</v>
      </c>
      <c r="H651" s="3"/>
      <c r="I651" s="3">
        <f ca="1">IFERROR(_xludf.XLOOKUP("Seguro",PARAMETROS_IMPORTACION!$A:$A,PARAMETROS_IMPORTACION!$C:$C,0),0)</f>
        <v>0</v>
      </c>
      <c r="J651" s="3">
        <f ca="1">IFERROR(_xludf.XLOOKUP("Arancel",PARAMETROS_IMPORTACION!$A:$A,PARAMETROS_IMPORTACION!$C:$C,0),0)</f>
        <v>0</v>
      </c>
      <c r="K651" s="2">
        <f ca="1">IFERROR(_xludf.XLOOKUP("Gastos_Aduana",PARAMETROS_IMPORTACION!$A:$A,PARAMETROS_IMPORTACION!$C:$C,0),0)</f>
        <v>0</v>
      </c>
      <c r="L651" s="2">
        <f t="shared" si="21"/>
        <v>0</v>
      </c>
    </row>
    <row r="652" spans="5:12" x14ac:dyDescent="0.35">
      <c r="E652" s="2"/>
      <c r="F652" s="2">
        <f>_xlfn.XLOOKUP(D652,TIPOS_CAMBIO!A:A,TIPOS_CAMBIO!B:B,"",0)</f>
        <v>0</v>
      </c>
      <c r="G652" s="3">
        <f t="shared" si="20"/>
        <v>0</v>
      </c>
      <c r="H652" s="3"/>
      <c r="I652" s="3">
        <f ca="1">IFERROR(_xludf.XLOOKUP("Seguro",PARAMETROS_IMPORTACION!$A:$A,PARAMETROS_IMPORTACION!$C:$C,0),0)</f>
        <v>0</v>
      </c>
      <c r="J652" s="3">
        <f ca="1">IFERROR(_xludf.XLOOKUP("Arancel",PARAMETROS_IMPORTACION!$A:$A,PARAMETROS_IMPORTACION!$C:$C,0),0)</f>
        <v>0</v>
      </c>
      <c r="K652" s="2">
        <f ca="1">IFERROR(_xludf.XLOOKUP("Gastos_Aduana",PARAMETROS_IMPORTACION!$A:$A,PARAMETROS_IMPORTACION!$C:$C,0),0)</f>
        <v>0</v>
      </c>
      <c r="L652" s="2">
        <f t="shared" si="21"/>
        <v>0</v>
      </c>
    </row>
    <row r="653" spans="5:12" x14ac:dyDescent="0.35">
      <c r="E653" s="2"/>
      <c r="F653" s="2">
        <f>_xlfn.XLOOKUP(D653,TIPOS_CAMBIO!A:A,TIPOS_CAMBIO!B:B,"",0)</f>
        <v>0</v>
      </c>
      <c r="G653" s="3">
        <f t="shared" si="20"/>
        <v>0</v>
      </c>
      <c r="H653" s="3"/>
      <c r="I653" s="3">
        <f ca="1">IFERROR(_xludf.XLOOKUP("Seguro",PARAMETROS_IMPORTACION!$A:$A,PARAMETROS_IMPORTACION!$C:$C,0),0)</f>
        <v>0</v>
      </c>
      <c r="J653" s="3">
        <f ca="1">IFERROR(_xludf.XLOOKUP("Arancel",PARAMETROS_IMPORTACION!$A:$A,PARAMETROS_IMPORTACION!$C:$C,0),0)</f>
        <v>0</v>
      </c>
      <c r="K653" s="2">
        <f ca="1">IFERROR(_xludf.XLOOKUP("Gastos_Aduana",PARAMETROS_IMPORTACION!$A:$A,PARAMETROS_IMPORTACION!$C:$C,0),0)</f>
        <v>0</v>
      </c>
      <c r="L653" s="2">
        <f t="shared" si="21"/>
        <v>0</v>
      </c>
    </row>
    <row r="654" spans="5:12" x14ac:dyDescent="0.35">
      <c r="E654" s="2"/>
      <c r="F654" s="2">
        <f>_xlfn.XLOOKUP(D654,TIPOS_CAMBIO!A:A,TIPOS_CAMBIO!B:B,"",0)</f>
        <v>0</v>
      </c>
      <c r="G654" s="3">
        <f t="shared" si="20"/>
        <v>0</v>
      </c>
      <c r="H654" s="3"/>
      <c r="I654" s="3">
        <f ca="1">IFERROR(_xludf.XLOOKUP("Seguro",PARAMETROS_IMPORTACION!$A:$A,PARAMETROS_IMPORTACION!$C:$C,0),0)</f>
        <v>0</v>
      </c>
      <c r="J654" s="3">
        <f ca="1">IFERROR(_xludf.XLOOKUP("Arancel",PARAMETROS_IMPORTACION!$A:$A,PARAMETROS_IMPORTACION!$C:$C,0),0)</f>
        <v>0</v>
      </c>
      <c r="K654" s="2">
        <f ca="1">IFERROR(_xludf.XLOOKUP("Gastos_Aduana",PARAMETROS_IMPORTACION!$A:$A,PARAMETROS_IMPORTACION!$C:$C,0),0)</f>
        <v>0</v>
      </c>
      <c r="L654" s="2">
        <f t="shared" si="21"/>
        <v>0</v>
      </c>
    </row>
    <row r="655" spans="5:12" x14ac:dyDescent="0.35">
      <c r="E655" s="2"/>
      <c r="F655" s="2">
        <f>_xlfn.XLOOKUP(D655,TIPOS_CAMBIO!A:A,TIPOS_CAMBIO!B:B,"",0)</f>
        <v>0</v>
      </c>
      <c r="G655" s="3">
        <f t="shared" si="20"/>
        <v>0</v>
      </c>
      <c r="H655" s="3"/>
      <c r="I655" s="3">
        <f ca="1">IFERROR(_xludf.XLOOKUP("Seguro",PARAMETROS_IMPORTACION!$A:$A,PARAMETROS_IMPORTACION!$C:$C,0),0)</f>
        <v>0</v>
      </c>
      <c r="J655" s="3">
        <f ca="1">IFERROR(_xludf.XLOOKUP("Arancel",PARAMETROS_IMPORTACION!$A:$A,PARAMETROS_IMPORTACION!$C:$C,0),0)</f>
        <v>0</v>
      </c>
      <c r="K655" s="2">
        <f ca="1">IFERROR(_xludf.XLOOKUP("Gastos_Aduana",PARAMETROS_IMPORTACION!$A:$A,PARAMETROS_IMPORTACION!$C:$C,0),0)</f>
        <v>0</v>
      </c>
      <c r="L655" s="2">
        <f t="shared" si="21"/>
        <v>0</v>
      </c>
    </row>
    <row r="656" spans="5:12" x14ac:dyDescent="0.35">
      <c r="E656" s="2"/>
      <c r="F656" s="2">
        <f>_xlfn.XLOOKUP(D656,TIPOS_CAMBIO!A:A,TIPOS_CAMBIO!B:B,"",0)</f>
        <v>0</v>
      </c>
      <c r="G656" s="3">
        <f t="shared" si="20"/>
        <v>0</v>
      </c>
      <c r="H656" s="3"/>
      <c r="I656" s="3">
        <f ca="1">IFERROR(_xludf.XLOOKUP("Seguro",PARAMETROS_IMPORTACION!$A:$A,PARAMETROS_IMPORTACION!$C:$C,0),0)</f>
        <v>0</v>
      </c>
      <c r="J656" s="3">
        <f ca="1">IFERROR(_xludf.XLOOKUP("Arancel",PARAMETROS_IMPORTACION!$A:$A,PARAMETROS_IMPORTACION!$C:$C,0),0)</f>
        <v>0</v>
      </c>
      <c r="K656" s="2">
        <f ca="1">IFERROR(_xludf.XLOOKUP("Gastos_Aduana",PARAMETROS_IMPORTACION!$A:$A,PARAMETROS_IMPORTACION!$C:$C,0),0)</f>
        <v>0</v>
      </c>
      <c r="L656" s="2">
        <f t="shared" si="21"/>
        <v>0</v>
      </c>
    </row>
    <row r="657" spans="5:12" x14ac:dyDescent="0.35">
      <c r="E657" s="2"/>
      <c r="F657" s="2">
        <f>_xlfn.XLOOKUP(D657,TIPOS_CAMBIO!A:A,TIPOS_CAMBIO!B:B,"",0)</f>
        <v>0</v>
      </c>
      <c r="G657" s="3">
        <f t="shared" si="20"/>
        <v>0</v>
      </c>
      <c r="H657" s="3"/>
      <c r="I657" s="3">
        <f ca="1">IFERROR(_xludf.XLOOKUP("Seguro",PARAMETROS_IMPORTACION!$A:$A,PARAMETROS_IMPORTACION!$C:$C,0),0)</f>
        <v>0</v>
      </c>
      <c r="J657" s="3">
        <f ca="1">IFERROR(_xludf.XLOOKUP("Arancel",PARAMETROS_IMPORTACION!$A:$A,PARAMETROS_IMPORTACION!$C:$C,0),0)</f>
        <v>0</v>
      </c>
      <c r="K657" s="2">
        <f ca="1">IFERROR(_xludf.XLOOKUP("Gastos_Aduana",PARAMETROS_IMPORTACION!$A:$A,PARAMETROS_IMPORTACION!$C:$C,0),0)</f>
        <v>0</v>
      </c>
      <c r="L657" s="2">
        <f t="shared" si="21"/>
        <v>0</v>
      </c>
    </row>
    <row r="658" spans="5:12" x14ac:dyDescent="0.35">
      <c r="E658" s="2"/>
      <c r="F658" s="2">
        <f>_xlfn.XLOOKUP(D658,TIPOS_CAMBIO!A:A,TIPOS_CAMBIO!B:B,"",0)</f>
        <v>0</v>
      </c>
      <c r="G658" s="3">
        <f t="shared" si="20"/>
        <v>0</v>
      </c>
      <c r="H658" s="3"/>
      <c r="I658" s="3">
        <f ca="1">IFERROR(_xludf.XLOOKUP("Seguro",PARAMETROS_IMPORTACION!$A:$A,PARAMETROS_IMPORTACION!$C:$C,0),0)</f>
        <v>0</v>
      </c>
      <c r="J658" s="3">
        <f ca="1">IFERROR(_xludf.XLOOKUP("Arancel",PARAMETROS_IMPORTACION!$A:$A,PARAMETROS_IMPORTACION!$C:$C,0),0)</f>
        <v>0</v>
      </c>
      <c r="K658" s="2">
        <f ca="1">IFERROR(_xludf.XLOOKUP("Gastos_Aduana",PARAMETROS_IMPORTACION!$A:$A,PARAMETROS_IMPORTACION!$C:$C,0),0)</f>
        <v>0</v>
      </c>
      <c r="L658" s="2">
        <f t="shared" si="21"/>
        <v>0</v>
      </c>
    </row>
    <row r="659" spans="5:12" x14ac:dyDescent="0.35">
      <c r="E659" s="2"/>
      <c r="F659" s="2">
        <f>_xlfn.XLOOKUP(D659,TIPOS_CAMBIO!A:A,TIPOS_CAMBIO!B:B,"",0)</f>
        <v>0</v>
      </c>
      <c r="G659" s="3">
        <f t="shared" si="20"/>
        <v>0</v>
      </c>
      <c r="H659" s="3"/>
      <c r="I659" s="3">
        <f ca="1">IFERROR(_xludf.XLOOKUP("Seguro",PARAMETROS_IMPORTACION!$A:$A,PARAMETROS_IMPORTACION!$C:$C,0),0)</f>
        <v>0</v>
      </c>
      <c r="J659" s="3">
        <f ca="1">IFERROR(_xludf.XLOOKUP("Arancel",PARAMETROS_IMPORTACION!$A:$A,PARAMETROS_IMPORTACION!$C:$C,0),0)</f>
        <v>0</v>
      </c>
      <c r="K659" s="2">
        <f ca="1">IFERROR(_xludf.XLOOKUP("Gastos_Aduana",PARAMETROS_IMPORTACION!$A:$A,PARAMETROS_IMPORTACION!$C:$C,0),0)</f>
        <v>0</v>
      </c>
      <c r="L659" s="2">
        <f t="shared" si="21"/>
        <v>0</v>
      </c>
    </row>
    <row r="660" spans="5:12" x14ac:dyDescent="0.35">
      <c r="E660" s="2"/>
      <c r="F660" s="2">
        <f>_xlfn.XLOOKUP(D660,TIPOS_CAMBIO!A:A,TIPOS_CAMBIO!B:B,"",0)</f>
        <v>0</v>
      </c>
      <c r="G660" s="3">
        <f t="shared" si="20"/>
        <v>0</v>
      </c>
      <c r="H660" s="3"/>
      <c r="I660" s="3">
        <f ca="1">IFERROR(_xludf.XLOOKUP("Seguro",PARAMETROS_IMPORTACION!$A:$A,PARAMETROS_IMPORTACION!$C:$C,0),0)</f>
        <v>0</v>
      </c>
      <c r="J660" s="3">
        <f ca="1">IFERROR(_xludf.XLOOKUP("Arancel",PARAMETROS_IMPORTACION!$A:$A,PARAMETROS_IMPORTACION!$C:$C,0),0)</f>
        <v>0</v>
      </c>
      <c r="K660" s="2">
        <f ca="1">IFERROR(_xludf.XLOOKUP("Gastos_Aduana",PARAMETROS_IMPORTACION!$A:$A,PARAMETROS_IMPORTACION!$C:$C,0),0)</f>
        <v>0</v>
      </c>
      <c r="L660" s="2">
        <f t="shared" si="21"/>
        <v>0</v>
      </c>
    </row>
    <row r="661" spans="5:12" x14ac:dyDescent="0.35">
      <c r="E661" s="2"/>
      <c r="F661" s="2">
        <f>_xlfn.XLOOKUP(D661,TIPOS_CAMBIO!A:A,TIPOS_CAMBIO!B:B,"",0)</f>
        <v>0</v>
      </c>
      <c r="G661" s="3">
        <f t="shared" si="20"/>
        <v>0</v>
      </c>
      <c r="H661" s="3"/>
      <c r="I661" s="3">
        <f ca="1">IFERROR(_xludf.XLOOKUP("Seguro",PARAMETROS_IMPORTACION!$A:$A,PARAMETROS_IMPORTACION!$C:$C,0),0)</f>
        <v>0</v>
      </c>
      <c r="J661" s="3">
        <f ca="1">IFERROR(_xludf.XLOOKUP("Arancel",PARAMETROS_IMPORTACION!$A:$A,PARAMETROS_IMPORTACION!$C:$C,0),0)</f>
        <v>0</v>
      </c>
      <c r="K661" s="2">
        <f ca="1">IFERROR(_xludf.XLOOKUP("Gastos_Aduana",PARAMETROS_IMPORTACION!$A:$A,PARAMETROS_IMPORTACION!$C:$C,0),0)</f>
        <v>0</v>
      </c>
      <c r="L661" s="2">
        <f t="shared" si="21"/>
        <v>0</v>
      </c>
    </row>
    <row r="662" spans="5:12" x14ac:dyDescent="0.35">
      <c r="E662" s="2"/>
      <c r="F662" s="2">
        <f>_xlfn.XLOOKUP(D662,TIPOS_CAMBIO!A:A,TIPOS_CAMBIO!B:B,"",0)</f>
        <v>0</v>
      </c>
      <c r="G662" s="3">
        <f t="shared" si="20"/>
        <v>0</v>
      </c>
      <c r="H662" s="3"/>
      <c r="I662" s="3">
        <f ca="1">IFERROR(_xludf.XLOOKUP("Seguro",PARAMETROS_IMPORTACION!$A:$A,PARAMETROS_IMPORTACION!$C:$C,0),0)</f>
        <v>0</v>
      </c>
      <c r="J662" s="3">
        <f ca="1">IFERROR(_xludf.XLOOKUP("Arancel",PARAMETROS_IMPORTACION!$A:$A,PARAMETROS_IMPORTACION!$C:$C,0),0)</f>
        <v>0</v>
      </c>
      <c r="K662" s="2">
        <f ca="1">IFERROR(_xludf.XLOOKUP("Gastos_Aduana",PARAMETROS_IMPORTACION!$A:$A,PARAMETROS_IMPORTACION!$C:$C,0),0)</f>
        <v>0</v>
      </c>
      <c r="L662" s="2">
        <f t="shared" si="21"/>
        <v>0</v>
      </c>
    </row>
    <row r="663" spans="5:12" x14ac:dyDescent="0.35">
      <c r="E663" s="2"/>
      <c r="F663" s="2">
        <f>_xlfn.XLOOKUP(D663,TIPOS_CAMBIO!A:A,TIPOS_CAMBIO!B:B,"",0)</f>
        <v>0</v>
      </c>
      <c r="G663" s="3">
        <f t="shared" si="20"/>
        <v>0</v>
      </c>
      <c r="H663" s="3"/>
      <c r="I663" s="3">
        <f ca="1">IFERROR(_xludf.XLOOKUP("Seguro",PARAMETROS_IMPORTACION!$A:$A,PARAMETROS_IMPORTACION!$C:$C,0),0)</f>
        <v>0</v>
      </c>
      <c r="J663" s="3">
        <f ca="1">IFERROR(_xludf.XLOOKUP("Arancel",PARAMETROS_IMPORTACION!$A:$A,PARAMETROS_IMPORTACION!$C:$C,0),0)</f>
        <v>0</v>
      </c>
      <c r="K663" s="2">
        <f ca="1">IFERROR(_xludf.XLOOKUP("Gastos_Aduana",PARAMETROS_IMPORTACION!$A:$A,PARAMETROS_IMPORTACION!$C:$C,0),0)</f>
        <v>0</v>
      </c>
      <c r="L663" s="2">
        <f t="shared" si="21"/>
        <v>0</v>
      </c>
    </row>
    <row r="664" spans="5:12" x14ac:dyDescent="0.35">
      <c r="E664" s="2"/>
      <c r="F664" s="2">
        <f>_xlfn.XLOOKUP(D664,TIPOS_CAMBIO!A:A,TIPOS_CAMBIO!B:B,"",0)</f>
        <v>0</v>
      </c>
      <c r="G664" s="3">
        <f t="shared" si="20"/>
        <v>0</v>
      </c>
      <c r="H664" s="3"/>
      <c r="I664" s="3">
        <f ca="1">IFERROR(_xludf.XLOOKUP("Seguro",PARAMETROS_IMPORTACION!$A:$A,PARAMETROS_IMPORTACION!$C:$C,0),0)</f>
        <v>0</v>
      </c>
      <c r="J664" s="3">
        <f ca="1">IFERROR(_xludf.XLOOKUP("Arancel",PARAMETROS_IMPORTACION!$A:$A,PARAMETROS_IMPORTACION!$C:$C,0),0)</f>
        <v>0</v>
      </c>
      <c r="K664" s="2">
        <f ca="1">IFERROR(_xludf.XLOOKUP("Gastos_Aduana",PARAMETROS_IMPORTACION!$A:$A,PARAMETROS_IMPORTACION!$C:$C,0),0)</f>
        <v>0</v>
      </c>
      <c r="L664" s="2">
        <f t="shared" si="21"/>
        <v>0</v>
      </c>
    </row>
    <row r="665" spans="5:12" x14ac:dyDescent="0.35">
      <c r="E665" s="2"/>
      <c r="F665" s="2">
        <f>_xlfn.XLOOKUP(D665,TIPOS_CAMBIO!A:A,TIPOS_CAMBIO!B:B,"",0)</f>
        <v>0</v>
      </c>
      <c r="G665" s="3">
        <f t="shared" si="20"/>
        <v>0</v>
      </c>
      <c r="H665" s="3"/>
      <c r="I665" s="3">
        <f ca="1">IFERROR(_xludf.XLOOKUP("Seguro",PARAMETROS_IMPORTACION!$A:$A,PARAMETROS_IMPORTACION!$C:$C,0),0)</f>
        <v>0</v>
      </c>
      <c r="J665" s="3">
        <f ca="1">IFERROR(_xludf.XLOOKUP("Arancel",PARAMETROS_IMPORTACION!$A:$A,PARAMETROS_IMPORTACION!$C:$C,0),0)</f>
        <v>0</v>
      </c>
      <c r="K665" s="2">
        <f ca="1">IFERROR(_xludf.XLOOKUP("Gastos_Aduana",PARAMETROS_IMPORTACION!$A:$A,PARAMETROS_IMPORTACION!$C:$C,0),0)</f>
        <v>0</v>
      </c>
      <c r="L665" s="2">
        <f t="shared" si="21"/>
        <v>0</v>
      </c>
    </row>
    <row r="666" spans="5:12" x14ac:dyDescent="0.35">
      <c r="E666" s="2"/>
      <c r="F666" s="2">
        <f>_xlfn.XLOOKUP(D666,TIPOS_CAMBIO!A:A,TIPOS_CAMBIO!B:B,"",0)</f>
        <v>0</v>
      </c>
      <c r="G666" s="3">
        <f t="shared" si="20"/>
        <v>0</v>
      </c>
      <c r="H666" s="3"/>
      <c r="I666" s="3">
        <f ca="1">IFERROR(_xludf.XLOOKUP("Seguro",PARAMETROS_IMPORTACION!$A:$A,PARAMETROS_IMPORTACION!$C:$C,0),0)</f>
        <v>0</v>
      </c>
      <c r="J666" s="3">
        <f ca="1">IFERROR(_xludf.XLOOKUP("Arancel",PARAMETROS_IMPORTACION!$A:$A,PARAMETROS_IMPORTACION!$C:$C,0),0)</f>
        <v>0</v>
      </c>
      <c r="K666" s="2">
        <f ca="1">IFERROR(_xludf.XLOOKUP("Gastos_Aduana",PARAMETROS_IMPORTACION!$A:$A,PARAMETROS_IMPORTACION!$C:$C,0),0)</f>
        <v>0</v>
      </c>
      <c r="L666" s="2">
        <f t="shared" si="21"/>
        <v>0</v>
      </c>
    </row>
    <row r="667" spans="5:12" x14ac:dyDescent="0.35">
      <c r="E667" s="2"/>
      <c r="F667" s="2">
        <f>_xlfn.XLOOKUP(D667,TIPOS_CAMBIO!A:A,TIPOS_CAMBIO!B:B,"",0)</f>
        <v>0</v>
      </c>
      <c r="G667" s="3">
        <f t="shared" si="20"/>
        <v>0</v>
      </c>
      <c r="H667" s="3"/>
      <c r="I667" s="3">
        <f ca="1">IFERROR(_xludf.XLOOKUP("Seguro",PARAMETROS_IMPORTACION!$A:$A,PARAMETROS_IMPORTACION!$C:$C,0),0)</f>
        <v>0</v>
      </c>
      <c r="J667" s="3">
        <f ca="1">IFERROR(_xludf.XLOOKUP("Arancel",PARAMETROS_IMPORTACION!$A:$A,PARAMETROS_IMPORTACION!$C:$C,0),0)</f>
        <v>0</v>
      </c>
      <c r="K667" s="2">
        <f ca="1">IFERROR(_xludf.XLOOKUP("Gastos_Aduana",PARAMETROS_IMPORTACION!$A:$A,PARAMETROS_IMPORTACION!$C:$C,0),0)</f>
        <v>0</v>
      </c>
      <c r="L667" s="2">
        <f t="shared" si="21"/>
        <v>0</v>
      </c>
    </row>
    <row r="668" spans="5:12" x14ac:dyDescent="0.35">
      <c r="E668" s="2"/>
      <c r="F668" s="2">
        <f>_xlfn.XLOOKUP(D668,TIPOS_CAMBIO!A:A,TIPOS_CAMBIO!B:B,"",0)</f>
        <v>0</v>
      </c>
      <c r="G668" s="3">
        <f t="shared" si="20"/>
        <v>0</v>
      </c>
      <c r="H668" s="3"/>
      <c r="I668" s="3">
        <f ca="1">IFERROR(_xludf.XLOOKUP("Seguro",PARAMETROS_IMPORTACION!$A:$A,PARAMETROS_IMPORTACION!$C:$C,0),0)</f>
        <v>0</v>
      </c>
      <c r="J668" s="3">
        <f ca="1">IFERROR(_xludf.XLOOKUP("Arancel",PARAMETROS_IMPORTACION!$A:$A,PARAMETROS_IMPORTACION!$C:$C,0),0)</f>
        <v>0</v>
      </c>
      <c r="K668" s="2">
        <f ca="1">IFERROR(_xludf.XLOOKUP("Gastos_Aduana",PARAMETROS_IMPORTACION!$A:$A,PARAMETROS_IMPORTACION!$C:$C,0),0)</f>
        <v>0</v>
      </c>
      <c r="L668" s="2">
        <f t="shared" si="21"/>
        <v>0</v>
      </c>
    </row>
    <row r="669" spans="5:12" x14ac:dyDescent="0.35">
      <c r="E669" s="2"/>
      <c r="F669" s="2">
        <f>_xlfn.XLOOKUP(D669,TIPOS_CAMBIO!A:A,TIPOS_CAMBIO!B:B,"",0)</f>
        <v>0</v>
      </c>
      <c r="G669" s="3">
        <f t="shared" si="20"/>
        <v>0</v>
      </c>
      <c r="H669" s="3"/>
      <c r="I669" s="3">
        <f ca="1">IFERROR(_xludf.XLOOKUP("Seguro",PARAMETROS_IMPORTACION!$A:$A,PARAMETROS_IMPORTACION!$C:$C,0),0)</f>
        <v>0</v>
      </c>
      <c r="J669" s="3">
        <f ca="1">IFERROR(_xludf.XLOOKUP("Arancel",PARAMETROS_IMPORTACION!$A:$A,PARAMETROS_IMPORTACION!$C:$C,0),0)</f>
        <v>0</v>
      </c>
      <c r="K669" s="2">
        <f ca="1">IFERROR(_xludf.XLOOKUP("Gastos_Aduana",PARAMETROS_IMPORTACION!$A:$A,PARAMETROS_IMPORTACION!$C:$C,0),0)</f>
        <v>0</v>
      </c>
      <c r="L669" s="2">
        <f t="shared" si="21"/>
        <v>0</v>
      </c>
    </row>
    <row r="670" spans="5:12" x14ac:dyDescent="0.35">
      <c r="E670" s="2"/>
      <c r="F670" s="2">
        <f>_xlfn.XLOOKUP(D670,TIPOS_CAMBIO!A:A,TIPOS_CAMBIO!B:B,"",0)</f>
        <v>0</v>
      </c>
      <c r="G670" s="3">
        <f t="shared" si="20"/>
        <v>0</v>
      </c>
      <c r="H670" s="3"/>
      <c r="I670" s="3">
        <f ca="1">IFERROR(_xludf.XLOOKUP("Seguro",PARAMETROS_IMPORTACION!$A:$A,PARAMETROS_IMPORTACION!$C:$C,0),0)</f>
        <v>0</v>
      </c>
      <c r="J670" s="3">
        <f ca="1">IFERROR(_xludf.XLOOKUP("Arancel",PARAMETROS_IMPORTACION!$A:$A,PARAMETROS_IMPORTACION!$C:$C,0),0)</f>
        <v>0</v>
      </c>
      <c r="K670" s="2">
        <f ca="1">IFERROR(_xludf.XLOOKUP("Gastos_Aduana",PARAMETROS_IMPORTACION!$A:$A,PARAMETROS_IMPORTACION!$C:$C,0),0)</f>
        <v>0</v>
      </c>
      <c r="L670" s="2">
        <f t="shared" si="21"/>
        <v>0</v>
      </c>
    </row>
    <row r="671" spans="5:12" x14ac:dyDescent="0.35">
      <c r="E671" s="2"/>
      <c r="F671" s="2">
        <f>_xlfn.XLOOKUP(D671,TIPOS_CAMBIO!A:A,TIPOS_CAMBIO!B:B,"",0)</f>
        <v>0</v>
      </c>
      <c r="G671" s="3">
        <f t="shared" si="20"/>
        <v>0</v>
      </c>
      <c r="H671" s="3"/>
      <c r="I671" s="3">
        <f ca="1">IFERROR(_xludf.XLOOKUP("Seguro",PARAMETROS_IMPORTACION!$A:$A,PARAMETROS_IMPORTACION!$C:$C,0),0)</f>
        <v>0</v>
      </c>
      <c r="J671" s="3">
        <f ca="1">IFERROR(_xludf.XLOOKUP("Arancel",PARAMETROS_IMPORTACION!$A:$A,PARAMETROS_IMPORTACION!$C:$C,0),0)</f>
        <v>0</v>
      </c>
      <c r="K671" s="2">
        <f ca="1">IFERROR(_xludf.XLOOKUP("Gastos_Aduana",PARAMETROS_IMPORTACION!$A:$A,PARAMETROS_IMPORTACION!$C:$C,0),0)</f>
        <v>0</v>
      </c>
      <c r="L671" s="2">
        <f t="shared" si="21"/>
        <v>0</v>
      </c>
    </row>
    <row r="672" spans="5:12" x14ac:dyDescent="0.35">
      <c r="E672" s="2"/>
      <c r="F672" s="2">
        <f>_xlfn.XLOOKUP(D672,TIPOS_CAMBIO!A:A,TIPOS_CAMBIO!B:B,"",0)</f>
        <v>0</v>
      </c>
      <c r="G672" s="3">
        <f t="shared" si="20"/>
        <v>0</v>
      </c>
      <c r="H672" s="3"/>
      <c r="I672" s="3">
        <f ca="1">IFERROR(_xludf.XLOOKUP("Seguro",PARAMETROS_IMPORTACION!$A:$A,PARAMETROS_IMPORTACION!$C:$C,0),0)</f>
        <v>0</v>
      </c>
      <c r="J672" s="3">
        <f ca="1">IFERROR(_xludf.XLOOKUP("Arancel",PARAMETROS_IMPORTACION!$A:$A,PARAMETROS_IMPORTACION!$C:$C,0),0)</f>
        <v>0</v>
      </c>
      <c r="K672" s="2">
        <f ca="1">IFERROR(_xludf.XLOOKUP("Gastos_Aduana",PARAMETROS_IMPORTACION!$A:$A,PARAMETROS_IMPORTACION!$C:$C,0),0)</f>
        <v>0</v>
      </c>
      <c r="L672" s="2">
        <f t="shared" si="21"/>
        <v>0</v>
      </c>
    </row>
    <row r="673" spans="5:12" x14ac:dyDescent="0.35">
      <c r="E673" s="2"/>
      <c r="F673" s="2">
        <f>_xlfn.XLOOKUP(D673,TIPOS_CAMBIO!A:A,TIPOS_CAMBIO!B:B,"",0)</f>
        <v>0</v>
      </c>
      <c r="G673" s="3">
        <f t="shared" si="20"/>
        <v>0</v>
      </c>
      <c r="H673" s="3"/>
      <c r="I673" s="3">
        <f ca="1">IFERROR(_xludf.XLOOKUP("Seguro",PARAMETROS_IMPORTACION!$A:$A,PARAMETROS_IMPORTACION!$C:$C,0),0)</f>
        <v>0</v>
      </c>
      <c r="J673" s="3">
        <f ca="1">IFERROR(_xludf.XLOOKUP("Arancel",PARAMETROS_IMPORTACION!$A:$A,PARAMETROS_IMPORTACION!$C:$C,0),0)</f>
        <v>0</v>
      </c>
      <c r="K673" s="2">
        <f ca="1">IFERROR(_xludf.XLOOKUP("Gastos_Aduana",PARAMETROS_IMPORTACION!$A:$A,PARAMETROS_IMPORTACION!$C:$C,0),0)</f>
        <v>0</v>
      </c>
      <c r="L673" s="2">
        <f t="shared" si="21"/>
        <v>0</v>
      </c>
    </row>
    <row r="674" spans="5:12" x14ac:dyDescent="0.35">
      <c r="E674" s="2"/>
      <c r="F674" s="2">
        <f>_xlfn.XLOOKUP(D674,TIPOS_CAMBIO!A:A,TIPOS_CAMBIO!B:B,"",0)</f>
        <v>0</v>
      </c>
      <c r="G674" s="3">
        <f t="shared" si="20"/>
        <v>0</v>
      </c>
      <c r="H674" s="3"/>
      <c r="I674" s="3">
        <f ca="1">IFERROR(_xludf.XLOOKUP("Seguro",PARAMETROS_IMPORTACION!$A:$A,PARAMETROS_IMPORTACION!$C:$C,0),0)</f>
        <v>0</v>
      </c>
      <c r="J674" s="3">
        <f ca="1">IFERROR(_xludf.XLOOKUP("Arancel",PARAMETROS_IMPORTACION!$A:$A,PARAMETROS_IMPORTACION!$C:$C,0),0)</f>
        <v>0</v>
      </c>
      <c r="K674" s="2">
        <f ca="1">IFERROR(_xludf.XLOOKUP("Gastos_Aduana",PARAMETROS_IMPORTACION!$A:$A,PARAMETROS_IMPORTACION!$C:$C,0),0)</f>
        <v>0</v>
      </c>
      <c r="L674" s="2">
        <f t="shared" si="21"/>
        <v>0</v>
      </c>
    </row>
    <row r="675" spans="5:12" x14ac:dyDescent="0.35">
      <c r="E675" s="2"/>
      <c r="F675" s="2">
        <f>_xlfn.XLOOKUP(D675,TIPOS_CAMBIO!A:A,TIPOS_CAMBIO!B:B,"",0)</f>
        <v>0</v>
      </c>
      <c r="G675" s="3">
        <f t="shared" si="20"/>
        <v>0</v>
      </c>
      <c r="H675" s="3"/>
      <c r="I675" s="3">
        <f ca="1">IFERROR(_xludf.XLOOKUP("Seguro",PARAMETROS_IMPORTACION!$A:$A,PARAMETROS_IMPORTACION!$C:$C,0),0)</f>
        <v>0</v>
      </c>
      <c r="J675" s="3">
        <f ca="1">IFERROR(_xludf.XLOOKUP("Arancel",PARAMETROS_IMPORTACION!$A:$A,PARAMETROS_IMPORTACION!$C:$C,0),0)</f>
        <v>0</v>
      </c>
      <c r="K675" s="2">
        <f ca="1">IFERROR(_xludf.XLOOKUP("Gastos_Aduana",PARAMETROS_IMPORTACION!$A:$A,PARAMETROS_IMPORTACION!$C:$C,0),0)</f>
        <v>0</v>
      </c>
      <c r="L675" s="2">
        <f t="shared" si="21"/>
        <v>0</v>
      </c>
    </row>
    <row r="676" spans="5:12" x14ac:dyDescent="0.35">
      <c r="E676" s="2"/>
      <c r="F676" s="2">
        <f>_xlfn.XLOOKUP(D676,TIPOS_CAMBIO!A:A,TIPOS_CAMBIO!B:B,"",0)</f>
        <v>0</v>
      </c>
      <c r="G676" s="3">
        <f t="shared" si="20"/>
        <v>0</v>
      </c>
      <c r="H676" s="3"/>
      <c r="I676" s="3">
        <f ca="1">IFERROR(_xludf.XLOOKUP("Seguro",PARAMETROS_IMPORTACION!$A:$A,PARAMETROS_IMPORTACION!$C:$C,0),0)</f>
        <v>0</v>
      </c>
      <c r="J676" s="3">
        <f ca="1">IFERROR(_xludf.XLOOKUP("Arancel",PARAMETROS_IMPORTACION!$A:$A,PARAMETROS_IMPORTACION!$C:$C,0),0)</f>
        <v>0</v>
      </c>
      <c r="K676" s="2">
        <f ca="1">IFERROR(_xludf.XLOOKUP("Gastos_Aduana",PARAMETROS_IMPORTACION!$A:$A,PARAMETROS_IMPORTACION!$C:$C,0),0)</f>
        <v>0</v>
      </c>
      <c r="L676" s="2">
        <f t="shared" si="21"/>
        <v>0</v>
      </c>
    </row>
    <row r="677" spans="5:12" x14ac:dyDescent="0.35">
      <c r="E677" s="2"/>
      <c r="F677" s="2">
        <f>_xlfn.XLOOKUP(D677,TIPOS_CAMBIO!A:A,TIPOS_CAMBIO!B:B,"",0)</f>
        <v>0</v>
      </c>
      <c r="G677" s="3">
        <f t="shared" si="20"/>
        <v>0</v>
      </c>
      <c r="H677" s="3"/>
      <c r="I677" s="3">
        <f ca="1">IFERROR(_xludf.XLOOKUP("Seguro",PARAMETROS_IMPORTACION!$A:$A,PARAMETROS_IMPORTACION!$C:$C,0),0)</f>
        <v>0</v>
      </c>
      <c r="J677" s="3">
        <f ca="1">IFERROR(_xludf.XLOOKUP("Arancel",PARAMETROS_IMPORTACION!$A:$A,PARAMETROS_IMPORTACION!$C:$C,0),0)</f>
        <v>0</v>
      </c>
      <c r="K677" s="2">
        <f ca="1">IFERROR(_xludf.XLOOKUP("Gastos_Aduana",PARAMETROS_IMPORTACION!$A:$A,PARAMETROS_IMPORTACION!$C:$C,0),0)</f>
        <v>0</v>
      </c>
      <c r="L677" s="2">
        <f t="shared" si="21"/>
        <v>0</v>
      </c>
    </row>
    <row r="678" spans="5:12" x14ac:dyDescent="0.35">
      <c r="E678" s="2"/>
      <c r="F678" s="2">
        <f>_xlfn.XLOOKUP(D678,TIPOS_CAMBIO!A:A,TIPOS_CAMBIO!B:B,"",0)</f>
        <v>0</v>
      </c>
      <c r="G678" s="3">
        <f t="shared" si="20"/>
        <v>0</v>
      </c>
      <c r="H678" s="3"/>
      <c r="I678" s="3">
        <f ca="1">IFERROR(_xludf.XLOOKUP("Seguro",PARAMETROS_IMPORTACION!$A:$A,PARAMETROS_IMPORTACION!$C:$C,0),0)</f>
        <v>0</v>
      </c>
      <c r="J678" s="3">
        <f ca="1">IFERROR(_xludf.XLOOKUP("Arancel",PARAMETROS_IMPORTACION!$A:$A,PARAMETROS_IMPORTACION!$C:$C,0),0)</f>
        <v>0</v>
      </c>
      <c r="K678" s="2">
        <f ca="1">IFERROR(_xludf.XLOOKUP("Gastos_Aduana",PARAMETROS_IMPORTACION!$A:$A,PARAMETROS_IMPORTACION!$C:$C,0),0)</f>
        <v>0</v>
      </c>
      <c r="L678" s="2">
        <f t="shared" si="21"/>
        <v>0</v>
      </c>
    </row>
    <row r="679" spans="5:12" x14ac:dyDescent="0.35">
      <c r="E679" s="2"/>
      <c r="F679" s="2">
        <f>_xlfn.XLOOKUP(D679,TIPOS_CAMBIO!A:A,TIPOS_CAMBIO!B:B,"",0)</f>
        <v>0</v>
      </c>
      <c r="G679" s="3">
        <f t="shared" si="20"/>
        <v>0</v>
      </c>
      <c r="H679" s="3"/>
      <c r="I679" s="3">
        <f ca="1">IFERROR(_xludf.XLOOKUP("Seguro",PARAMETROS_IMPORTACION!$A:$A,PARAMETROS_IMPORTACION!$C:$C,0),0)</f>
        <v>0</v>
      </c>
      <c r="J679" s="3">
        <f ca="1">IFERROR(_xludf.XLOOKUP("Arancel",PARAMETROS_IMPORTACION!$A:$A,PARAMETROS_IMPORTACION!$C:$C,0),0)</f>
        <v>0</v>
      </c>
      <c r="K679" s="2">
        <f ca="1">IFERROR(_xludf.XLOOKUP("Gastos_Aduana",PARAMETROS_IMPORTACION!$A:$A,PARAMETROS_IMPORTACION!$C:$C,0),0)</f>
        <v>0</v>
      </c>
      <c r="L679" s="2">
        <f t="shared" si="21"/>
        <v>0</v>
      </c>
    </row>
    <row r="680" spans="5:12" x14ac:dyDescent="0.35">
      <c r="E680" s="2"/>
      <c r="F680" s="2">
        <f>_xlfn.XLOOKUP(D680,TIPOS_CAMBIO!A:A,TIPOS_CAMBIO!B:B,"",0)</f>
        <v>0</v>
      </c>
      <c r="G680" s="3">
        <f t="shared" si="20"/>
        <v>0</v>
      </c>
      <c r="H680" s="3"/>
      <c r="I680" s="3">
        <f ca="1">IFERROR(_xludf.XLOOKUP("Seguro",PARAMETROS_IMPORTACION!$A:$A,PARAMETROS_IMPORTACION!$C:$C,0),0)</f>
        <v>0</v>
      </c>
      <c r="J680" s="3">
        <f ca="1">IFERROR(_xludf.XLOOKUP("Arancel",PARAMETROS_IMPORTACION!$A:$A,PARAMETROS_IMPORTACION!$C:$C,0),0)</f>
        <v>0</v>
      </c>
      <c r="K680" s="2">
        <f ca="1">IFERROR(_xludf.XLOOKUP("Gastos_Aduana",PARAMETROS_IMPORTACION!$A:$A,PARAMETROS_IMPORTACION!$C:$C,0),0)</f>
        <v>0</v>
      </c>
      <c r="L680" s="2">
        <f t="shared" si="21"/>
        <v>0</v>
      </c>
    </row>
    <row r="681" spans="5:12" x14ac:dyDescent="0.35">
      <c r="E681" s="2"/>
      <c r="F681" s="2">
        <f>_xlfn.XLOOKUP(D681,TIPOS_CAMBIO!A:A,TIPOS_CAMBIO!B:B,"",0)</f>
        <v>0</v>
      </c>
      <c r="G681" s="3">
        <f t="shared" si="20"/>
        <v>0</v>
      </c>
      <c r="H681" s="3"/>
      <c r="I681" s="3">
        <f ca="1">IFERROR(_xludf.XLOOKUP("Seguro",PARAMETROS_IMPORTACION!$A:$A,PARAMETROS_IMPORTACION!$C:$C,0),0)</f>
        <v>0</v>
      </c>
      <c r="J681" s="3">
        <f ca="1">IFERROR(_xludf.XLOOKUP("Arancel",PARAMETROS_IMPORTACION!$A:$A,PARAMETROS_IMPORTACION!$C:$C,0),0)</f>
        <v>0</v>
      </c>
      <c r="K681" s="2">
        <f ca="1">IFERROR(_xludf.XLOOKUP("Gastos_Aduana",PARAMETROS_IMPORTACION!$A:$A,PARAMETROS_IMPORTACION!$C:$C,0),0)</f>
        <v>0</v>
      </c>
      <c r="L681" s="2">
        <f t="shared" si="21"/>
        <v>0</v>
      </c>
    </row>
    <row r="682" spans="5:12" x14ac:dyDescent="0.35">
      <c r="E682" s="2"/>
      <c r="F682" s="2">
        <f>_xlfn.XLOOKUP(D682,TIPOS_CAMBIO!A:A,TIPOS_CAMBIO!B:B,"",0)</f>
        <v>0</v>
      </c>
      <c r="G682" s="3">
        <f t="shared" si="20"/>
        <v>0</v>
      </c>
      <c r="H682" s="3"/>
      <c r="I682" s="3">
        <f ca="1">IFERROR(_xludf.XLOOKUP("Seguro",PARAMETROS_IMPORTACION!$A:$A,PARAMETROS_IMPORTACION!$C:$C,0),0)</f>
        <v>0</v>
      </c>
      <c r="J682" s="3">
        <f ca="1">IFERROR(_xludf.XLOOKUP("Arancel",PARAMETROS_IMPORTACION!$A:$A,PARAMETROS_IMPORTACION!$C:$C,0),0)</f>
        <v>0</v>
      </c>
      <c r="K682" s="2">
        <f ca="1">IFERROR(_xludf.XLOOKUP("Gastos_Aduana",PARAMETROS_IMPORTACION!$A:$A,PARAMETROS_IMPORTACION!$C:$C,0),0)</f>
        <v>0</v>
      </c>
      <c r="L682" s="2">
        <f t="shared" si="21"/>
        <v>0</v>
      </c>
    </row>
    <row r="683" spans="5:12" x14ac:dyDescent="0.35">
      <c r="E683" s="2"/>
      <c r="F683" s="2">
        <f>_xlfn.XLOOKUP(D683,TIPOS_CAMBIO!A:A,TIPOS_CAMBIO!B:B,"",0)</f>
        <v>0</v>
      </c>
      <c r="G683" s="3">
        <f t="shared" si="20"/>
        <v>0</v>
      </c>
      <c r="H683" s="3"/>
      <c r="I683" s="3">
        <f ca="1">IFERROR(_xludf.XLOOKUP("Seguro",PARAMETROS_IMPORTACION!$A:$A,PARAMETROS_IMPORTACION!$C:$C,0),0)</f>
        <v>0</v>
      </c>
      <c r="J683" s="3">
        <f ca="1">IFERROR(_xludf.XLOOKUP("Arancel",PARAMETROS_IMPORTACION!$A:$A,PARAMETROS_IMPORTACION!$C:$C,0),0)</f>
        <v>0</v>
      </c>
      <c r="K683" s="2">
        <f ca="1">IFERROR(_xludf.XLOOKUP("Gastos_Aduana",PARAMETROS_IMPORTACION!$A:$A,PARAMETROS_IMPORTACION!$C:$C,0),0)</f>
        <v>0</v>
      </c>
      <c r="L683" s="2">
        <f t="shared" si="21"/>
        <v>0</v>
      </c>
    </row>
    <row r="684" spans="5:12" x14ac:dyDescent="0.35">
      <c r="E684" s="2"/>
      <c r="F684" s="2">
        <f>_xlfn.XLOOKUP(D684,TIPOS_CAMBIO!A:A,TIPOS_CAMBIO!B:B,"",0)</f>
        <v>0</v>
      </c>
      <c r="G684" s="3">
        <f t="shared" si="20"/>
        <v>0</v>
      </c>
      <c r="H684" s="3"/>
      <c r="I684" s="3">
        <f ca="1">IFERROR(_xludf.XLOOKUP("Seguro",PARAMETROS_IMPORTACION!$A:$A,PARAMETROS_IMPORTACION!$C:$C,0),0)</f>
        <v>0</v>
      </c>
      <c r="J684" s="3">
        <f ca="1">IFERROR(_xludf.XLOOKUP("Arancel",PARAMETROS_IMPORTACION!$A:$A,PARAMETROS_IMPORTACION!$C:$C,0),0)</f>
        <v>0</v>
      </c>
      <c r="K684" s="2">
        <f ca="1">IFERROR(_xludf.XLOOKUP("Gastos_Aduana",PARAMETROS_IMPORTACION!$A:$A,PARAMETROS_IMPORTACION!$C:$C,0),0)</f>
        <v>0</v>
      </c>
      <c r="L684" s="2">
        <f t="shared" si="21"/>
        <v>0</v>
      </c>
    </row>
    <row r="685" spans="5:12" x14ac:dyDescent="0.35">
      <c r="E685" s="2"/>
      <c r="F685" s="2">
        <f>_xlfn.XLOOKUP(D685,TIPOS_CAMBIO!A:A,TIPOS_CAMBIO!B:B,"",0)</f>
        <v>0</v>
      </c>
      <c r="G685" s="3">
        <f t="shared" si="20"/>
        <v>0</v>
      </c>
      <c r="H685" s="3"/>
      <c r="I685" s="3">
        <f ca="1">IFERROR(_xludf.XLOOKUP("Seguro",PARAMETROS_IMPORTACION!$A:$A,PARAMETROS_IMPORTACION!$C:$C,0),0)</f>
        <v>0</v>
      </c>
      <c r="J685" s="3">
        <f ca="1">IFERROR(_xludf.XLOOKUP("Arancel",PARAMETROS_IMPORTACION!$A:$A,PARAMETROS_IMPORTACION!$C:$C,0),0)</f>
        <v>0</v>
      </c>
      <c r="K685" s="2">
        <f ca="1">IFERROR(_xludf.XLOOKUP("Gastos_Aduana",PARAMETROS_IMPORTACION!$A:$A,PARAMETROS_IMPORTACION!$C:$C,0),0)</f>
        <v>0</v>
      </c>
      <c r="L685" s="2">
        <f t="shared" si="21"/>
        <v>0</v>
      </c>
    </row>
    <row r="686" spans="5:12" x14ac:dyDescent="0.35">
      <c r="E686" s="2"/>
      <c r="F686" s="2">
        <f>_xlfn.XLOOKUP(D686,TIPOS_CAMBIO!A:A,TIPOS_CAMBIO!B:B,"",0)</f>
        <v>0</v>
      </c>
      <c r="G686" s="3">
        <f t="shared" si="20"/>
        <v>0</v>
      </c>
      <c r="H686" s="3"/>
      <c r="I686" s="3">
        <f ca="1">IFERROR(_xludf.XLOOKUP("Seguro",PARAMETROS_IMPORTACION!$A:$A,PARAMETROS_IMPORTACION!$C:$C,0),0)</f>
        <v>0</v>
      </c>
      <c r="J686" s="3">
        <f ca="1">IFERROR(_xludf.XLOOKUP("Arancel",PARAMETROS_IMPORTACION!$A:$A,PARAMETROS_IMPORTACION!$C:$C,0),0)</f>
        <v>0</v>
      </c>
      <c r="K686" s="2">
        <f ca="1">IFERROR(_xludf.XLOOKUP("Gastos_Aduana",PARAMETROS_IMPORTACION!$A:$A,PARAMETROS_IMPORTACION!$C:$C,0),0)</f>
        <v>0</v>
      </c>
      <c r="L686" s="2">
        <f t="shared" si="21"/>
        <v>0</v>
      </c>
    </row>
    <row r="687" spans="5:12" x14ac:dyDescent="0.35">
      <c r="E687" s="2"/>
      <c r="F687" s="2">
        <f>_xlfn.XLOOKUP(D687,TIPOS_CAMBIO!A:A,TIPOS_CAMBIO!B:B,"",0)</f>
        <v>0</v>
      </c>
      <c r="G687" s="3">
        <f t="shared" si="20"/>
        <v>0</v>
      </c>
      <c r="H687" s="3"/>
      <c r="I687" s="3">
        <f ca="1">IFERROR(_xludf.XLOOKUP("Seguro",PARAMETROS_IMPORTACION!$A:$A,PARAMETROS_IMPORTACION!$C:$C,0),0)</f>
        <v>0</v>
      </c>
      <c r="J687" s="3">
        <f ca="1">IFERROR(_xludf.XLOOKUP("Arancel",PARAMETROS_IMPORTACION!$A:$A,PARAMETROS_IMPORTACION!$C:$C,0),0)</f>
        <v>0</v>
      </c>
      <c r="K687" s="2">
        <f ca="1">IFERROR(_xludf.XLOOKUP("Gastos_Aduana",PARAMETROS_IMPORTACION!$A:$A,PARAMETROS_IMPORTACION!$C:$C,0),0)</f>
        <v>0</v>
      </c>
      <c r="L687" s="2">
        <f t="shared" si="21"/>
        <v>0</v>
      </c>
    </row>
    <row r="688" spans="5:12" x14ac:dyDescent="0.35">
      <c r="E688" s="2"/>
      <c r="F688" s="2">
        <f>_xlfn.XLOOKUP(D688,TIPOS_CAMBIO!A:A,TIPOS_CAMBIO!B:B,"",0)</f>
        <v>0</v>
      </c>
      <c r="G688" s="3">
        <f t="shared" si="20"/>
        <v>0</v>
      </c>
      <c r="H688" s="3"/>
      <c r="I688" s="3">
        <f ca="1">IFERROR(_xludf.XLOOKUP("Seguro",PARAMETROS_IMPORTACION!$A:$A,PARAMETROS_IMPORTACION!$C:$C,0),0)</f>
        <v>0</v>
      </c>
      <c r="J688" s="3">
        <f ca="1">IFERROR(_xludf.XLOOKUP("Arancel",PARAMETROS_IMPORTACION!$A:$A,PARAMETROS_IMPORTACION!$C:$C,0),0)</f>
        <v>0</v>
      </c>
      <c r="K688" s="2">
        <f ca="1">IFERROR(_xludf.XLOOKUP("Gastos_Aduana",PARAMETROS_IMPORTACION!$A:$A,PARAMETROS_IMPORTACION!$C:$C,0),0)</f>
        <v>0</v>
      </c>
      <c r="L688" s="2">
        <f t="shared" si="21"/>
        <v>0</v>
      </c>
    </row>
    <row r="689" spans="5:12" x14ac:dyDescent="0.35">
      <c r="E689" s="2"/>
      <c r="F689" s="2">
        <f>_xlfn.XLOOKUP(D689,TIPOS_CAMBIO!A:A,TIPOS_CAMBIO!B:B,"",0)</f>
        <v>0</v>
      </c>
      <c r="G689" s="3">
        <f t="shared" si="20"/>
        <v>0</v>
      </c>
      <c r="H689" s="3"/>
      <c r="I689" s="3">
        <f ca="1">IFERROR(_xludf.XLOOKUP("Seguro",PARAMETROS_IMPORTACION!$A:$A,PARAMETROS_IMPORTACION!$C:$C,0),0)</f>
        <v>0</v>
      </c>
      <c r="J689" s="3">
        <f ca="1">IFERROR(_xludf.XLOOKUP("Arancel",PARAMETROS_IMPORTACION!$A:$A,PARAMETROS_IMPORTACION!$C:$C,0),0)</f>
        <v>0</v>
      </c>
      <c r="K689" s="2">
        <f ca="1">IFERROR(_xludf.XLOOKUP("Gastos_Aduana",PARAMETROS_IMPORTACION!$A:$A,PARAMETROS_IMPORTACION!$C:$C,0),0)</f>
        <v>0</v>
      </c>
      <c r="L689" s="2">
        <f t="shared" si="21"/>
        <v>0</v>
      </c>
    </row>
    <row r="690" spans="5:12" x14ac:dyDescent="0.35">
      <c r="E690" s="2"/>
      <c r="F690" s="2">
        <f>_xlfn.XLOOKUP(D690,TIPOS_CAMBIO!A:A,TIPOS_CAMBIO!B:B,"",0)</f>
        <v>0</v>
      </c>
      <c r="G690" s="3">
        <f t="shared" si="20"/>
        <v>0</v>
      </c>
      <c r="H690" s="3"/>
      <c r="I690" s="3">
        <f ca="1">IFERROR(_xludf.XLOOKUP("Seguro",PARAMETROS_IMPORTACION!$A:$A,PARAMETROS_IMPORTACION!$C:$C,0),0)</f>
        <v>0</v>
      </c>
      <c r="J690" s="3">
        <f ca="1">IFERROR(_xludf.XLOOKUP("Arancel",PARAMETROS_IMPORTACION!$A:$A,PARAMETROS_IMPORTACION!$C:$C,0),0)</f>
        <v>0</v>
      </c>
      <c r="K690" s="2">
        <f ca="1">IFERROR(_xludf.XLOOKUP("Gastos_Aduana",PARAMETROS_IMPORTACION!$A:$A,PARAMETROS_IMPORTACION!$C:$C,0),0)</f>
        <v>0</v>
      </c>
      <c r="L690" s="2">
        <f t="shared" si="21"/>
        <v>0</v>
      </c>
    </row>
    <row r="691" spans="5:12" x14ac:dyDescent="0.35">
      <c r="E691" s="2"/>
      <c r="F691" s="2">
        <f>_xlfn.XLOOKUP(D691,TIPOS_CAMBIO!A:A,TIPOS_CAMBIO!B:B,"",0)</f>
        <v>0</v>
      </c>
      <c r="G691" s="3">
        <f t="shared" si="20"/>
        <v>0</v>
      </c>
      <c r="H691" s="3"/>
      <c r="I691" s="3">
        <f ca="1">IFERROR(_xludf.XLOOKUP("Seguro",PARAMETROS_IMPORTACION!$A:$A,PARAMETROS_IMPORTACION!$C:$C,0),0)</f>
        <v>0</v>
      </c>
      <c r="J691" s="3">
        <f ca="1">IFERROR(_xludf.XLOOKUP("Arancel",PARAMETROS_IMPORTACION!$A:$A,PARAMETROS_IMPORTACION!$C:$C,0),0)</f>
        <v>0</v>
      </c>
      <c r="K691" s="2">
        <f ca="1">IFERROR(_xludf.XLOOKUP("Gastos_Aduana",PARAMETROS_IMPORTACION!$A:$A,PARAMETROS_IMPORTACION!$C:$C,0),0)</f>
        <v>0</v>
      </c>
      <c r="L691" s="2">
        <f t="shared" si="21"/>
        <v>0</v>
      </c>
    </row>
    <row r="692" spans="5:12" x14ac:dyDescent="0.35">
      <c r="E692" s="2"/>
      <c r="F692" s="2">
        <f>_xlfn.XLOOKUP(D692,TIPOS_CAMBIO!A:A,TIPOS_CAMBIO!B:B,"",0)</f>
        <v>0</v>
      </c>
      <c r="G692" s="3">
        <f t="shared" si="20"/>
        <v>0</v>
      </c>
      <c r="H692" s="3"/>
      <c r="I692" s="3">
        <f ca="1">IFERROR(_xludf.XLOOKUP("Seguro",PARAMETROS_IMPORTACION!$A:$A,PARAMETROS_IMPORTACION!$C:$C,0),0)</f>
        <v>0</v>
      </c>
      <c r="J692" s="3">
        <f ca="1">IFERROR(_xludf.XLOOKUP("Arancel",PARAMETROS_IMPORTACION!$A:$A,PARAMETROS_IMPORTACION!$C:$C,0),0)</f>
        <v>0</v>
      </c>
      <c r="K692" s="2">
        <f ca="1">IFERROR(_xludf.XLOOKUP("Gastos_Aduana",PARAMETROS_IMPORTACION!$A:$A,PARAMETROS_IMPORTACION!$C:$C,0),0)</f>
        <v>0</v>
      </c>
      <c r="L692" s="2">
        <f t="shared" si="21"/>
        <v>0</v>
      </c>
    </row>
    <row r="693" spans="5:12" x14ac:dyDescent="0.35">
      <c r="E693" s="2"/>
      <c r="F693" s="2">
        <f>_xlfn.XLOOKUP(D693,TIPOS_CAMBIO!A:A,TIPOS_CAMBIO!B:B,"",0)</f>
        <v>0</v>
      </c>
      <c r="G693" s="3">
        <f t="shared" si="20"/>
        <v>0</v>
      </c>
      <c r="H693" s="3"/>
      <c r="I693" s="3">
        <f ca="1">IFERROR(_xludf.XLOOKUP("Seguro",PARAMETROS_IMPORTACION!$A:$A,PARAMETROS_IMPORTACION!$C:$C,0),0)</f>
        <v>0</v>
      </c>
      <c r="J693" s="3">
        <f ca="1">IFERROR(_xludf.XLOOKUP("Arancel",PARAMETROS_IMPORTACION!$A:$A,PARAMETROS_IMPORTACION!$C:$C,0),0)</f>
        <v>0</v>
      </c>
      <c r="K693" s="2">
        <f ca="1">IFERROR(_xludf.XLOOKUP("Gastos_Aduana",PARAMETROS_IMPORTACION!$A:$A,PARAMETROS_IMPORTACION!$C:$C,0),0)</f>
        <v>0</v>
      </c>
      <c r="L693" s="2">
        <f t="shared" si="21"/>
        <v>0</v>
      </c>
    </row>
    <row r="694" spans="5:12" x14ac:dyDescent="0.35">
      <c r="E694" s="2"/>
      <c r="F694" s="2">
        <f>_xlfn.XLOOKUP(D694,TIPOS_CAMBIO!A:A,TIPOS_CAMBIO!B:B,"",0)</f>
        <v>0</v>
      </c>
      <c r="G694" s="3">
        <f t="shared" si="20"/>
        <v>0</v>
      </c>
      <c r="H694" s="3"/>
      <c r="I694" s="3">
        <f ca="1">IFERROR(_xludf.XLOOKUP("Seguro",PARAMETROS_IMPORTACION!$A:$A,PARAMETROS_IMPORTACION!$C:$C,0),0)</f>
        <v>0</v>
      </c>
      <c r="J694" s="3">
        <f ca="1">IFERROR(_xludf.XLOOKUP("Arancel",PARAMETROS_IMPORTACION!$A:$A,PARAMETROS_IMPORTACION!$C:$C,0),0)</f>
        <v>0</v>
      </c>
      <c r="K694" s="2">
        <f ca="1">IFERROR(_xludf.XLOOKUP("Gastos_Aduana",PARAMETROS_IMPORTACION!$A:$A,PARAMETROS_IMPORTACION!$C:$C,0),0)</f>
        <v>0</v>
      </c>
      <c r="L694" s="2">
        <f t="shared" si="21"/>
        <v>0</v>
      </c>
    </row>
    <row r="695" spans="5:12" x14ac:dyDescent="0.35">
      <c r="E695" s="2"/>
      <c r="F695" s="2">
        <f>_xlfn.XLOOKUP(D695,TIPOS_CAMBIO!A:A,TIPOS_CAMBIO!B:B,"",0)</f>
        <v>0</v>
      </c>
      <c r="G695" s="3">
        <f t="shared" si="20"/>
        <v>0</v>
      </c>
      <c r="H695" s="3"/>
      <c r="I695" s="3">
        <f ca="1">IFERROR(_xludf.XLOOKUP("Seguro",PARAMETROS_IMPORTACION!$A:$A,PARAMETROS_IMPORTACION!$C:$C,0),0)</f>
        <v>0</v>
      </c>
      <c r="J695" s="3">
        <f ca="1">IFERROR(_xludf.XLOOKUP("Arancel",PARAMETROS_IMPORTACION!$A:$A,PARAMETROS_IMPORTACION!$C:$C,0),0)</f>
        <v>0</v>
      </c>
      <c r="K695" s="2">
        <f ca="1">IFERROR(_xludf.XLOOKUP("Gastos_Aduana",PARAMETROS_IMPORTACION!$A:$A,PARAMETROS_IMPORTACION!$C:$C,0),0)</f>
        <v>0</v>
      </c>
      <c r="L695" s="2">
        <f t="shared" si="21"/>
        <v>0</v>
      </c>
    </row>
    <row r="696" spans="5:12" x14ac:dyDescent="0.35">
      <c r="E696" s="2"/>
      <c r="F696" s="2">
        <f>_xlfn.XLOOKUP(D696,TIPOS_CAMBIO!A:A,TIPOS_CAMBIO!B:B,"",0)</f>
        <v>0</v>
      </c>
      <c r="G696" s="3">
        <f t="shared" si="20"/>
        <v>0</v>
      </c>
      <c r="H696" s="3"/>
      <c r="I696" s="3">
        <f ca="1">IFERROR(_xludf.XLOOKUP("Seguro",PARAMETROS_IMPORTACION!$A:$A,PARAMETROS_IMPORTACION!$C:$C,0),0)</f>
        <v>0</v>
      </c>
      <c r="J696" s="3">
        <f ca="1">IFERROR(_xludf.XLOOKUP("Arancel",PARAMETROS_IMPORTACION!$A:$A,PARAMETROS_IMPORTACION!$C:$C,0),0)</f>
        <v>0</v>
      </c>
      <c r="K696" s="2">
        <f ca="1">IFERROR(_xludf.XLOOKUP("Gastos_Aduana",PARAMETROS_IMPORTACION!$A:$A,PARAMETROS_IMPORTACION!$C:$C,0),0)</f>
        <v>0</v>
      </c>
      <c r="L696" s="2">
        <f t="shared" si="21"/>
        <v>0</v>
      </c>
    </row>
    <row r="697" spans="5:12" x14ac:dyDescent="0.35">
      <c r="E697" s="2"/>
      <c r="F697" s="2">
        <f>_xlfn.XLOOKUP(D697,TIPOS_CAMBIO!A:A,TIPOS_CAMBIO!B:B,"",0)</f>
        <v>0</v>
      </c>
      <c r="G697" s="3">
        <f t="shared" si="20"/>
        <v>0</v>
      </c>
      <c r="H697" s="3"/>
      <c r="I697" s="3">
        <f ca="1">IFERROR(_xludf.XLOOKUP("Seguro",PARAMETROS_IMPORTACION!$A:$A,PARAMETROS_IMPORTACION!$C:$C,0),0)</f>
        <v>0</v>
      </c>
      <c r="J697" s="3">
        <f ca="1">IFERROR(_xludf.XLOOKUP("Arancel",PARAMETROS_IMPORTACION!$A:$A,PARAMETROS_IMPORTACION!$C:$C,0),0)</f>
        <v>0</v>
      </c>
      <c r="K697" s="2">
        <f ca="1">IFERROR(_xludf.XLOOKUP("Gastos_Aduana",PARAMETROS_IMPORTACION!$A:$A,PARAMETROS_IMPORTACION!$C:$C,0),0)</f>
        <v>0</v>
      </c>
      <c r="L697" s="2">
        <f t="shared" si="21"/>
        <v>0</v>
      </c>
    </row>
    <row r="698" spans="5:12" x14ac:dyDescent="0.35">
      <c r="E698" s="2"/>
      <c r="F698" s="2">
        <f>_xlfn.XLOOKUP(D698,TIPOS_CAMBIO!A:A,TIPOS_CAMBIO!B:B,"",0)</f>
        <v>0</v>
      </c>
      <c r="G698" s="3">
        <f t="shared" si="20"/>
        <v>0</v>
      </c>
      <c r="H698" s="3"/>
      <c r="I698" s="3">
        <f ca="1">IFERROR(_xludf.XLOOKUP("Seguro",PARAMETROS_IMPORTACION!$A:$A,PARAMETROS_IMPORTACION!$C:$C,0),0)</f>
        <v>0</v>
      </c>
      <c r="J698" s="3">
        <f ca="1">IFERROR(_xludf.XLOOKUP("Arancel",PARAMETROS_IMPORTACION!$A:$A,PARAMETROS_IMPORTACION!$C:$C,0),0)</f>
        <v>0</v>
      </c>
      <c r="K698" s="2">
        <f ca="1">IFERROR(_xludf.XLOOKUP("Gastos_Aduana",PARAMETROS_IMPORTACION!$A:$A,PARAMETROS_IMPORTACION!$C:$C,0),0)</f>
        <v>0</v>
      </c>
      <c r="L698" s="2">
        <f t="shared" si="21"/>
        <v>0</v>
      </c>
    </row>
    <row r="699" spans="5:12" x14ac:dyDescent="0.35">
      <c r="E699" s="2"/>
      <c r="F699" s="2">
        <f>_xlfn.XLOOKUP(D699,TIPOS_CAMBIO!A:A,TIPOS_CAMBIO!B:B,"",0)</f>
        <v>0</v>
      </c>
      <c r="G699" s="3">
        <f t="shared" si="20"/>
        <v>0</v>
      </c>
      <c r="H699" s="3"/>
      <c r="I699" s="3">
        <f ca="1">IFERROR(_xludf.XLOOKUP("Seguro",PARAMETROS_IMPORTACION!$A:$A,PARAMETROS_IMPORTACION!$C:$C,0),0)</f>
        <v>0</v>
      </c>
      <c r="J699" s="3">
        <f ca="1">IFERROR(_xludf.XLOOKUP("Arancel",PARAMETROS_IMPORTACION!$A:$A,PARAMETROS_IMPORTACION!$C:$C,0),0)</f>
        <v>0</v>
      </c>
      <c r="K699" s="2">
        <f ca="1">IFERROR(_xludf.XLOOKUP("Gastos_Aduana",PARAMETROS_IMPORTACION!$A:$A,PARAMETROS_IMPORTACION!$C:$C,0),0)</f>
        <v>0</v>
      </c>
      <c r="L699" s="2">
        <f t="shared" si="21"/>
        <v>0</v>
      </c>
    </row>
    <row r="700" spans="5:12" x14ac:dyDescent="0.35">
      <c r="E700" s="2"/>
      <c r="F700" s="2">
        <f>_xlfn.XLOOKUP(D700,TIPOS_CAMBIO!A:A,TIPOS_CAMBIO!B:B,"",0)</f>
        <v>0</v>
      </c>
      <c r="G700" s="3">
        <f t="shared" si="20"/>
        <v>0</v>
      </c>
      <c r="H700" s="3"/>
      <c r="I700" s="3">
        <f ca="1">IFERROR(_xludf.XLOOKUP("Seguro",PARAMETROS_IMPORTACION!$A:$A,PARAMETROS_IMPORTACION!$C:$C,0),0)</f>
        <v>0</v>
      </c>
      <c r="J700" s="3">
        <f ca="1">IFERROR(_xludf.XLOOKUP("Arancel",PARAMETROS_IMPORTACION!$A:$A,PARAMETROS_IMPORTACION!$C:$C,0),0)</f>
        <v>0</v>
      </c>
      <c r="K700" s="2">
        <f ca="1">IFERROR(_xludf.XLOOKUP("Gastos_Aduana",PARAMETROS_IMPORTACION!$A:$A,PARAMETROS_IMPORTACION!$C:$C,0),0)</f>
        <v>0</v>
      </c>
      <c r="L700" s="2">
        <f t="shared" si="21"/>
        <v>0</v>
      </c>
    </row>
    <row r="701" spans="5:12" x14ac:dyDescent="0.35">
      <c r="E701" s="2"/>
      <c r="F701" s="2">
        <f>_xlfn.XLOOKUP(D701,TIPOS_CAMBIO!A:A,TIPOS_CAMBIO!B:B,"",0)</f>
        <v>0</v>
      </c>
      <c r="G701" s="3">
        <f t="shared" si="20"/>
        <v>0</v>
      </c>
      <c r="H701" s="3"/>
      <c r="I701" s="3">
        <f ca="1">IFERROR(_xludf.XLOOKUP("Seguro",PARAMETROS_IMPORTACION!$A:$A,PARAMETROS_IMPORTACION!$C:$C,0),0)</f>
        <v>0</v>
      </c>
      <c r="J701" s="3">
        <f ca="1">IFERROR(_xludf.XLOOKUP("Arancel",PARAMETROS_IMPORTACION!$A:$A,PARAMETROS_IMPORTACION!$C:$C,0),0)</f>
        <v>0</v>
      </c>
      <c r="K701" s="2">
        <f ca="1">IFERROR(_xludf.XLOOKUP("Gastos_Aduana",PARAMETROS_IMPORTACION!$A:$A,PARAMETROS_IMPORTACION!$C:$C,0),0)</f>
        <v>0</v>
      </c>
      <c r="L701" s="2">
        <f t="shared" si="21"/>
        <v>0</v>
      </c>
    </row>
    <row r="702" spans="5:12" x14ac:dyDescent="0.35">
      <c r="E702" s="2"/>
      <c r="F702" s="2">
        <f>_xlfn.XLOOKUP(D702,TIPOS_CAMBIO!A:A,TIPOS_CAMBIO!B:B,"",0)</f>
        <v>0</v>
      </c>
      <c r="G702" s="3">
        <f t="shared" si="20"/>
        <v>0</v>
      </c>
      <c r="H702" s="3"/>
      <c r="I702" s="3">
        <f ca="1">IFERROR(_xludf.XLOOKUP("Seguro",PARAMETROS_IMPORTACION!$A:$A,PARAMETROS_IMPORTACION!$C:$C,0),0)</f>
        <v>0</v>
      </c>
      <c r="J702" s="3">
        <f ca="1">IFERROR(_xludf.XLOOKUP("Arancel",PARAMETROS_IMPORTACION!$A:$A,PARAMETROS_IMPORTACION!$C:$C,0),0)</f>
        <v>0</v>
      </c>
      <c r="K702" s="2">
        <f ca="1">IFERROR(_xludf.XLOOKUP("Gastos_Aduana",PARAMETROS_IMPORTACION!$A:$A,PARAMETROS_IMPORTACION!$C:$C,0),0)</f>
        <v>0</v>
      </c>
      <c r="L702" s="2">
        <f t="shared" si="21"/>
        <v>0</v>
      </c>
    </row>
    <row r="703" spans="5:12" x14ac:dyDescent="0.35">
      <c r="E703" s="2"/>
      <c r="F703" s="2">
        <f>_xlfn.XLOOKUP(D703,TIPOS_CAMBIO!A:A,TIPOS_CAMBIO!B:B,"",0)</f>
        <v>0</v>
      </c>
      <c r="G703" s="3">
        <f t="shared" si="20"/>
        <v>0</v>
      </c>
      <c r="H703" s="3"/>
      <c r="I703" s="3">
        <f ca="1">IFERROR(_xludf.XLOOKUP("Seguro",PARAMETROS_IMPORTACION!$A:$A,PARAMETROS_IMPORTACION!$C:$C,0),0)</f>
        <v>0</v>
      </c>
      <c r="J703" s="3">
        <f ca="1">IFERROR(_xludf.XLOOKUP("Arancel",PARAMETROS_IMPORTACION!$A:$A,PARAMETROS_IMPORTACION!$C:$C,0),0)</f>
        <v>0</v>
      </c>
      <c r="K703" s="2">
        <f ca="1">IFERROR(_xludf.XLOOKUP("Gastos_Aduana",PARAMETROS_IMPORTACION!$A:$A,PARAMETROS_IMPORTACION!$C:$C,0),0)</f>
        <v>0</v>
      </c>
      <c r="L703" s="2">
        <f t="shared" si="21"/>
        <v>0</v>
      </c>
    </row>
    <row r="704" spans="5:12" x14ac:dyDescent="0.35">
      <c r="E704" s="2"/>
      <c r="F704" s="2">
        <f>_xlfn.XLOOKUP(D704,TIPOS_CAMBIO!A:A,TIPOS_CAMBIO!B:B,"",0)</f>
        <v>0</v>
      </c>
      <c r="G704" s="3">
        <f t="shared" si="20"/>
        <v>0</v>
      </c>
      <c r="H704" s="3"/>
      <c r="I704" s="3">
        <f ca="1">IFERROR(_xludf.XLOOKUP("Seguro",PARAMETROS_IMPORTACION!$A:$A,PARAMETROS_IMPORTACION!$C:$C,0),0)</f>
        <v>0</v>
      </c>
      <c r="J704" s="3">
        <f ca="1">IFERROR(_xludf.XLOOKUP("Arancel",PARAMETROS_IMPORTACION!$A:$A,PARAMETROS_IMPORTACION!$C:$C,0),0)</f>
        <v>0</v>
      </c>
      <c r="K704" s="2">
        <f ca="1">IFERROR(_xludf.XLOOKUP("Gastos_Aduana",PARAMETROS_IMPORTACION!$A:$A,PARAMETROS_IMPORTACION!$C:$C,0),0)</f>
        <v>0</v>
      </c>
      <c r="L704" s="2">
        <f t="shared" si="21"/>
        <v>0</v>
      </c>
    </row>
    <row r="705" spans="5:12" x14ac:dyDescent="0.35">
      <c r="E705" s="2"/>
      <c r="F705" s="2">
        <f>_xlfn.XLOOKUP(D705,TIPOS_CAMBIO!A:A,TIPOS_CAMBIO!B:B,"",0)</f>
        <v>0</v>
      </c>
      <c r="G705" s="3">
        <f t="shared" si="20"/>
        <v>0</v>
      </c>
      <c r="H705" s="3"/>
      <c r="I705" s="3">
        <f ca="1">IFERROR(_xludf.XLOOKUP("Seguro",PARAMETROS_IMPORTACION!$A:$A,PARAMETROS_IMPORTACION!$C:$C,0),0)</f>
        <v>0</v>
      </c>
      <c r="J705" s="3">
        <f ca="1">IFERROR(_xludf.XLOOKUP("Arancel",PARAMETROS_IMPORTACION!$A:$A,PARAMETROS_IMPORTACION!$C:$C,0),0)</f>
        <v>0</v>
      </c>
      <c r="K705" s="2">
        <f ca="1">IFERROR(_xludf.XLOOKUP("Gastos_Aduana",PARAMETROS_IMPORTACION!$A:$A,PARAMETROS_IMPORTACION!$C:$C,0),0)</f>
        <v>0</v>
      </c>
      <c r="L705" s="2">
        <f t="shared" si="21"/>
        <v>0</v>
      </c>
    </row>
    <row r="706" spans="5:12" x14ac:dyDescent="0.35">
      <c r="E706" s="2"/>
      <c r="F706" s="2">
        <f>_xlfn.XLOOKUP(D706,TIPOS_CAMBIO!A:A,TIPOS_CAMBIO!B:B,"",0)</f>
        <v>0</v>
      </c>
      <c r="G706" s="3">
        <f t="shared" ref="G706:G769" si="22">$E706*$F706</f>
        <v>0</v>
      </c>
      <c r="H706" s="3"/>
      <c r="I706" s="3">
        <f ca="1">IFERROR(_xludf.XLOOKUP("Seguro",PARAMETROS_IMPORTACION!$A:$A,PARAMETROS_IMPORTACION!$C:$C,0),0)</f>
        <v>0</v>
      </c>
      <c r="J706" s="3">
        <f ca="1">IFERROR(_xludf.XLOOKUP("Arancel",PARAMETROS_IMPORTACION!$A:$A,PARAMETROS_IMPORTACION!$C:$C,0),0)</f>
        <v>0</v>
      </c>
      <c r="K706" s="2">
        <f ca="1">IFERROR(_xludf.XLOOKUP("Gastos_Aduana",PARAMETROS_IMPORTACION!$A:$A,PARAMETROS_IMPORTACION!$C:$C,0),0)</f>
        <v>0</v>
      </c>
      <c r="L706" s="2">
        <f t="shared" si="21"/>
        <v>0</v>
      </c>
    </row>
    <row r="707" spans="5:12" x14ac:dyDescent="0.35">
      <c r="E707" s="2"/>
      <c r="F707" s="2">
        <f>_xlfn.XLOOKUP(D707,TIPOS_CAMBIO!A:A,TIPOS_CAMBIO!B:B,"",0)</f>
        <v>0</v>
      </c>
      <c r="G707" s="3">
        <f t="shared" si="22"/>
        <v>0</v>
      </c>
      <c r="H707" s="3"/>
      <c r="I707" s="3">
        <f ca="1">IFERROR(_xludf.XLOOKUP("Seguro",PARAMETROS_IMPORTACION!$A:$A,PARAMETROS_IMPORTACION!$C:$C,0),0)</f>
        <v>0</v>
      </c>
      <c r="J707" s="3">
        <f ca="1">IFERROR(_xludf.XLOOKUP("Arancel",PARAMETROS_IMPORTACION!$A:$A,PARAMETROS_IMPORTACION!$C:$C,0),0)</f>
        <v>0</v>
      </c>
      <c r="K707" s="2">
        <f ca="1">IFERROR(_xludf.XLOOKUP("Gastos_Aduana",PARAMETROS_IMPORTACION!$A:$A,PARAMETROS_IMPORTACION!$C:$C,0),0)</f>
        <v>0</v>
      </c>
      <c r="L707" s="2">
        <f t="shared" ref="L707:L770" si="23">IF($C707="Importado",$G707*(1+$H707+$I707+$J707)+$K707,$G707)</f>
        <v>0</v>
      </c>
    </row>
    <row r="708" spans="5:12" x14ac:dyDescent="0.35">
      <c r="E708" s="2"/>
      <c r="F708" s="2">
        <f>_xlfn.XLOOKUP(D708,TIPOS_CAMBIO!A:A,TIPOS_CAMBIO!B:B,"",0)</f>
        <v>0</v>
      </c>
      <c r="G708" s="3">
        <f t="shared" si="22"/>
        <v>0</v>
      </c>
      <c r="H708" s="3"/>
      <c r="I708" s="3">
        <f ca="1">IFERROR(_xludf.XLOOKUP("Seguro",PARAMETROS_IMPORTACION!$A:$A,PARAMETROS_IMPORTACION!$C:$C,0),0)</f>
        <v>0</v>
      </c>
      <c r="J708" s="3">
        <f ca="1">IFERROR(_xludf.XLOOKUP("Arancel",PARAMETROS_IMPORTACION!$A:$A,PARAMETROS_IMPORTACION!$C:$C,0),0)</f>
        <v>0</v>
      </c>
      <c r="K708" s="2">
        <f ca="1">IFERROR(_xludf.XLOOKUP("Gastos_Aduana",PARAMETROS_IMPORTACION!$A:$A,PARAMETROS_IMPORTACION!$C:$C,0),0)</f>
        <v>0</v>
      </c>
      <c r="L708" s="2">
        <f t="shared" si="23"/>
        <v>0</v>
      </c>
    </row>
    <row r="709" spans="5:12" x14ac:dyDescent="0.35">
      <c r="E709" s="2"/>
      <c r="F709" s="2">
        <f>_xlfn.XLOOKUP(D709,TIPOS_CAMBIO!A:A,TIPOS_CAMBIO!B:B,"",0)</f>
        <v>0</v>
      </c>
      <c r="G709" s="3">
        <f t="shared" si="22"/>
        <v>0</v>
      </c>
      <c r="H709" s="3"/>
      <c r="I709" s="3">
        <f ca="1">IFERROR(_xludf.XLOOKUP("Seguro",PARAMETROS_IMPORTACION!$A:$A,PARAMETROS_IMPORTACION!$C:$C,0),0)</f>
        <v>0</v>
      </c>
      <c r="J709" s="3">
        <f ca="1">IFERROR(_xludf.XLOOKUP("Arancel",PARAMETROS_IMPORTACION!$A:$A,PARAMETROS_IMPORTACION!$C:$C,0),0)</f>
        <v>0</v>
      </c>
      <c r="K709" s="2">
        <f ca="1">IFERROR(_xludf.XLOOKUP("Gastos_Aduana",PARAMETROS_IMPORTACION!$A:$A,PARAMETROS_IMPORTACION!$C:$C,0),0)</f>
        <v>0</v>
      </c>
      <c r="L709" s="2">
        <f t="shared" si="23"/>
        <v>0</v>
      </c>
    </row>
    <row r="710" spans="5:12" x14ac:dyDescent="0.35">
      <c r="E710" s="2"/>
      <c r="F710" s="2">
        <f>_xlfn.XLOOKUP(D710,TIPOS_CAMBIO!A:A,TIPOS_CAMBIO!B:B,"",0)</f>
        <v>0</v>
      </c>
      <c r="G710" s="3">
        <f t="shared" si="22"/>
        <v>0</v>
      </c>
      <c r="H710" s="3"/>
      <c r="I710" s="3">
        <f ca="1">IFERROR(_xludf.XLOOKUP("Seguro",PARAMETROS_IMPORTACION!$A:$A,PARAMETROS_IMPORTACION!$C:$C,0),0)</f>
        <v>0</v>
      </c>
      <c r="J710" s="3">
        <f ca="1">IFERROR(_xludf.XLOOKUP("Arancel",PARAMETROS_IMPORTACION!$A:$A,PARAMETROS_IMPORTACION!$C:$C,0),0)</f>
        <v>0</v>
      </c>
      <c r="K710" s="2">
        <f ca="1">IFERROR(_xludf.XLOOKUP("Gastos_Aduana",PARAMETROS_IMPORTACION!$A:$A,PARAMETROS_IMPORTACION!$C:$C,0),0)</f>
        <v>0</v>
      </c>
      <c r="L710" s="2">
        <f t="shared" si="23"/>
        <v>0</v>
      </c>
    </row>
    <row r="711" spans="5:12" x14ac:dyDescent="0.35">
      <c r="E711" s="2"/>
      <c r="F711" s="2">
        <f>_xlfn.XLOOKUP(D711,TIPOS_CAMBIO!A:A,TIPOS_CAMBIO!B:B,"",0)</f>
        <v>0</v>
      </c>
      <c r="G711" s="3">
        <f t="shared" si="22"/>
        <v>0</v>
      </c>
      <c r="H711" s="3"/>
      <c r="I711" s="3">
        <f ca="1">IFERROR(_xludf.XLOOKUP("Seguro",PARAMETROS_IMPORTACION!$A:$A,PARAMETROS_IMPORTACION!$C:$C,0),0)</f>
        <v>0</v>
      </c>
      <c r="J711" s="3">
        <f ca="1">IFERROR(_xludf.XLOOKUP("Arancel",PARAMETROS_IMPORTACION!$A:$A,PARAMETROS_IMPORTACION!$C:$C,0),0)</f>
        <v>0</v>
      </c>
      <c r="K711" s="2">
        <f ca="1">IFERROR(_xludf.XLOOKUP("Gastos_Aduana",PARAMETROS_IMPORTACION!$A:$A,PARAMETROS_IMPORTACION!$C:$C,0),0)</f>
        <v>0</v>
      </c>
      <c r="L711" s="2">
        <f t="shared" si="23"/>
        <v>0</v>
      </c>
    </row>
    <row r="712" spans="5:12" x14ac:dyDescent="0.35">
      <c r="E712" s="2"/>
      <c r="F712" s="2">
        <f>_xlfn.XLOOKUP(D712,TIPOS_CAMBIO!A:A,TIPOS_CAMBIO!B:B,"",0)</f>
        <v>0</v>
      </c>
      <c r="G712" s="3">
        <f t="shared" si="22"/>
        <v>0</v>
      </c>
      <c r="H712" s="3"/>
      <c r="I712" s="3">
        <f ca="1">IFERROR(_xludf.XLOOKUP("Seguro",PARAMETROS_IMPORTACION!$A:$A,PARAMETROS_IMPORTACION!$C:$C,0),0)</f>
        <v>0</v>
      </c>
      <c r="J712" s="3">
        <f ca="1">IFERROR(_xludf.XLOOKUP("Arancel",PARAMETROS_IMPORTACION!$A:$A,PARAMETROS_IMPORTACION!$C:$C,0),0)</f>
        <v>0</v>
      </c>
      <c r="K712" s="2">
        <f ca="1">IFERROR(_xludf.XLOOKUP("Gastos_Aduana",PARAMETROS_IMPORTACION!$A:$A,PARAMETROS_IMPORTACION!$C:$C,0),0)</f>
        <v>0</v>
      </c>
      <c r="L712" s="2">
        <f t="shared" si="23"/>
        <v>0</v>
      </c>
    </row>
    <row r="713" spans="5:12" x14ac:dyDescent="0.35">
      <c r="E713" s="2"/>
      <c r="F713" s="2">
        <f>_xlfn.XLOOKUP(D713,TIPOS_CAMBIO!A:A,TIPOS_CAMBIO!B:B,"",0)</f>
        <v>0</v>
      </c>
      <c r="G713" s="3">
        <f t="shared" si="22"/>
        <v>0</v>
      </c>
      <c r="H713" s="3"/>
      <c r="I713" s="3">
        <f ca="1">IFERROR(_xludf.XLOOKUP("Seguro",PARAMETROS_IMPORTACION!$A:$A,PARAMETROS_IMPORTACION!$C:$C,0),0)</f>
        <v>0</v>
      </c>
      <c r="J713" s="3">
        <f ca="1">IFERROR(_xludf.XLOOKUP("Arancel",PARAMETROS_IMPORTACION!$A:$A,PARAMETROS_IMPORTACION!$C:$C,0),0)</f>
        <v>0</v>
      </c>
      <c r="K713" s="2">
        <f ca="1">IFERROR(_xludf.XLOOKUP("Gastos_Aduana",PARAMETROS_IMPORTACION!$A:$A,PARAMETROS_IMPORTACION!$C:$C,0),0)</f>
        <v>0</v>
      </c>
      <c r="L713" s="2">
        <f t="shared" si="23"/>
        <v>0</v>
      </c>
    </row>
    <row r="714" spans="5:12" x14ac:dyDescent="0.35">
      <c r="E714" s="2"/>
      <c r="F714" s="2">
        <f>_xlfn.XLOOKUP(D714,TIPOS_CAMBIO!A:A,TIPOS_CAMBIO!B:B,"",0)</f>
        <v>0</v>
      </c>
      <c r="G714" s="3">
        <f t="shared" si="22"/>
        <v>0</v>
      </c>
      <c r="H714" s="3"/>
      <c r="I714" s="3">
        <f ca="1">IFERROR(_xludf.XLOOKUP("Seguro",PARAMETROS_IMPORTACION!$A:$A,PARAMETROS_IMPORTACION!$C:$C,0),0)</f>
        <v>0</v>
      </c>
      <c r="J714" s="3">
        <f ca="1">IFERROR(_xludf.XLOOKUP("Arancel",PARAMETROS_IMPORTACION!$A:$A,PARAMETROS_IMPORTACION!$C:$C,0),0)</f>
        <v>0</v>
      </c>
      <c r="K714" s="2">
        <f ca="1">IFERROR(_xludf.XLOOKUP("Gastos_Aduana",PARAMETROS_IMPORTACION!$A:$A,PARAMETROS_IMPORTACION!$C:$C,0),0)</f>
        <v>0</v>
      </c>
      <c r="L714" s="2">
        <f t="shared" si="23"/>
        <v>0</v>
      </c>
    </row>
    <row r="715" spans="5:12" x14ac:dyDescent="0.35">
      <c r="E715" s="2"/>
      <c r="F715" s="2">
        <f>_xlfn.XLOOKUP(D715,TIPOS_CAMBIO!A:A,TIPOS_CAMBIO!B:B,"",0)</f>
        <v>0</v>
      </c>
      <c r="G715" s="3">
        <f t="shared" si="22"/>
        <v>0</v>
      </c>
      <c r="H715" s="3"/>
      <c r="I715" s="3">
        <f ca="1">IFERROR(_xludf.XLOOKUP("Seguro",PARAMETROS_IMPORTACION!$A:$A,PARAMETROS_IMPORTACION!$C:$C,0),0)</f>
        <v>0</v>
      </c>
      <c r="J715" s="3">
        <f ca="1">IFERROR(_xludf.XLOOKUP("Arancel",PARAMETROS_IMPORTACION!$A:$A,PARAMETROS_IMPORTACION!$C:$C,0),0)</f>
        <v>0</v>
      </c>
      <c r="K715" s="2">
        <f ca="1">IFERROR(_xludf.XLOOKUP("Gastos_Aduana",PARAMETROS_IMPORTACION!$A:$A,PARAMETROS_IMPORTACION!$C:$C,0),0)</f>
        <v>0</v>
      </c>
      <c r="L715" s="2">
        <f t="shared" si="23"/>
        <v>0</v>
      </c>
    </row>
    <row r="716" spans="5:12" x14ac:dyDescent="0.35">
      <c r="E716" s="2"/>
      <c r="F716" s="2">
        <f>_xlfn.XLOOKUP(D716,TIPOS_CAMBIO!A:A,TIPOS_CAMBIO!B:B,"",0)</f>
        <v>0</v>
      </c>
      <c r="G716" s="3">
        <f t="shared" si="22"/>
        <v>0</v>
      </c>
      <c r="H716" s="3"/>
      <c r="I716" s="3">
        <f ca="1">IFERROR(_xludf.XLOOKUP("Seguro",PARAMETROS_IMPORTACION!$A:$A,PARAMETROS_IMPORTACION!$C:$C,0),0)</f>
        <v>0</v>
      </c>
      <c r="J716" s="3">
        <f ca="1">IFERROR(_xludf.XLOOKUP("Arancel",PARAMETROS_IMPORTACION!$A:$A,PARAMETROS_IMPORTACION!$C:$C,0),0)</f>
        <v>0</v>
      </c>
      <c r="K716" s="2">
        <f ca="1">IFERROR(_xludf.XLOOKUP("Gastos_Aduana",PARAMETROS_IMPORTACION!$A:$A,PARAMETROS_IMPORTACION!$C:$C,0),0)</f>
        <v>0</v>
      </c>
      <c r="L716" s="2">
        <f t="shared" si="23"/>
        <v>0</v>
      </c>
    </row>
    <row r="717" spans="5:12" x14ac:dyDescent="0.35">
      <c r="E717" s="2"/>
      <c r="F717" s="2">
        <f>_xlfn.XLOOKUP(D717,TIPOS_CAMBIO!A:A,TIPOS_CAMBIO!B:B,"",0)</f>
        <v>0</v>
      </c>
      <c r="G717" s="3">
        <f t="shared" si="22"/>
        <v>0</v>
      </c>
      <c r="H717" s="3"/>
      <c r="I717" s="3">
        <f ca="1">IFERROR(_xludf.XLOOKUP("Seguro",PARAMETROS_IMPORTACION!$A:$A,PARAMETROS_IMPORTACION!$C:$C,0),0)</f>
        <v>0</v>
      </c>
      <c r="J717" s="3">
        <f ca="1">IFERROR(_xludf.XLOOKUP("Arancel",PARAMETROS_IMPORTACION!$A:$A,PARAMETROS_IMPORTACION!$C:$C,0),0)</f>
        <v>0</v>
      </c>
      <c r="K717" s="2">
        <f ca="1">IFERROR(_xludf.XLOOKUP("Gastos_Aduana",PARAMETROS_IMPORTACION!$A:$A,PARAMETROS_IMPORTACION!$C:$C,0),0)</f>
        <v>0</v>
      </c>
      <c r="L717" s="2">
        <f t="shared" si="23"/>
        <v>0</v>
      </c>
    </row>
    <row r="718" spans="5:12" x14ac:dyDescent="0.35">
      <c r="E718" s="2"/>
      <c r="F718" s="2">
        <f>_xlfn.XLOOKUP(D718,TIPOS_CAMBIO!A:A,TIPOS_CAMBIO!B:B,"",0)</f>
        <v>0</v>
      </c>
      <c r="G718" s="3">
        <f t="shared" si="22"/>
        <v>0</v>
      </c>
      <c r="H718" s="3"/>
      <c r="I718" s="3">
        <f ca="1">IFERROR(_xludf.XLOOKUP("Seguro",PARAMETROS_IMPORTACION!$A:$A,PARAMETROS_IMPORTACION!$C:$C,0),0)</f>
        <v>0</v>
      </c>
      <c r="J718" s="3">
        <f ca="1">IFERROR(_xludf.XLOOKUP("Arancel",PARAMETROS_IMPORTACION!$A:$A,PARAMETROS_IMPORTACION!$C:$C,0),0)</f>
        <v>0</v>
      </c>
      <c r="K718" s="2">
        <f ca="1">IFERROR(_xludf.XLOOKUP("Gastos_Aduana",PARAMETROS_IMPORTACION!$A:$A,PARAMETROS_IMPORTACION!$C:$C,0),0)</f>
        <v>0</v>
      </c>
      <c r="L718" s="2">
        <f t="shared" si="23"/>
        <v>0</v>
      </c>
    </row>
    <row r="719" spans="5:12" x14ac:dyDescent="0.35">
      <c r="E719" s="2"/>
      <c r="F719" s="2">
        <f>_xlfn.XLOOKUP(D719,TIPOS_CAMBIO!A:A,TIPOS_CAMBIO!B:B,"",0)</f>
        <v>0</v>
      </c>
      <c r="G719" s="3">
        <f t="shared" si="22"/>
        <v>0</v>
      </c>
      <c r="H719" s="3"/>
      <c r="I719" s="3">
        <f ca="1">IFERROR(_xludf.XLOOKUP("Seguro",PARAMETROS_IMPORTACION!$A:$A,PARAMETROS_IMPORTACION!$C:$C,0),0)</f>
        <v>0</v>
      </c>
      <c r="J719" s="3">
        <f ca="1">IFERROR(_xludf.XLOOKUP("Arancel",PARAMETROS_IMPORTACION!$A:$A,PARAMETROS_IMPORTACION!$C:$C,0),0)</f>
        <v>0</v>
      </c>
      <c r="K719" s="2">
        <f ca="1">IFERROR(_xludf.XLOOKUP("Gastos_Aduana",PARAMETROS_IMPORTACION!$A:$A,PARAMETROS_IMPORTACION!$C:$C,0),0)</f>
        <v>0</v>
      </c>
      <c r="L719" s="2">
        <f t="shared" si="23"/>
        <v>0</v>
      </c>
    </row>
    <row r="720" spans="5:12" x14ac:dyDescent="0.35">
      <c r="E720" s="2"/>
      <c r="F720" s="2">
        <f>_xlfn.XLOOKUP(D720,TIPOS_CAMBIO!A:A,TIPOS_CAMBIO!B:B,"",0)</f>
        <v>0</v>
      </c>
      <c r="G720" s="3">
        <f t="shared" si="22"/>
        <v>0</v>
      </c>
      <c r="H720" s="3"/>
      <c r="I720" s="3">
        <f ca="1">IFERROR(_xludf.XLOOKUP("Seguro",PARAMETROS_IMPORTACION!$A:$A,PARAMETROS_IMPORTACION!$C:$C,0),0)</f>
        <v>0</v>
      </c>
      <c r="J720" s="3">
        <f ca="1">IFERROR(_xludf.XLOOKUP("Arancel",PARAMETROS_IMPORTACION!$A:$A,PARAMETROS_IMPORTACION!$C:$C,0),0)</f>
        <v>0</v>
      </c>
      <c r="K720" s="2">
        <f ca="1">IFERROR(_xludf.XLOOKUP("Gastos_Aduana",PARAMETROS_IMPORTACION!$A:$A,PARAMETROS_IMPORTACION!$C:$C,0),0)</f>
        <v>0</v>
      </c>
      <c r="L720" s="2">
        <f t="shared" si="23"/>
        <v>0</v>
      </c>
    </row>
    <row r="721" spans="5:12" x14ac:dyDescent="0.35">
      <c r="E721" s="2"/>
      <c r="F721" s="2">
        <f>_xlfn.XLOOKUP(D721,TIPOS_CAMBIO!A:A,TIPOS_CAMBIO!B:B,"",0)</f>
        <v>0</v>
      </c>
      <c r="G721" s="3">
        <f t="shared" si="22"/>
        <v>0</v>
      </c>
      <c r="H721" s="3"/>
      <c r="I721" s="3">
        <f ca="1">IFERROR(_xludf.XLOOKUP("Seguro",PARAMETROS_IMPORTACION!$A:$A,PARAMETROS_IMPORTACION!$C:$C,0),0)</f>
        <v>0</v>
      </c>
      <c r="J721" s="3">
        <f ca="1">IFERROR(_xludf.XLOOKUP("Arancel",PARAMETROS_IMPORTACION!$A:$A,PARAMETROS_IMPORTACION!$C:$C,0),0)</f>
        <v>0</v>
      </c>
      <c r="K721" s="2">
        <f ca="1">IFERROR(_xludf.XLOOKUP("Gastos_Aduana",PARAMETROS_IMPORTACION!$A:$A,PARAMETROS_IMPORTACION!$C:$C,0),0)</f>
        <v>0</v>
      </c>
      <c r="L721" s="2">
        <f t="shared" si="23"/>
        <v>0</v>
      </c>
    </row>
    <row r="722" spans="5:12" x14ac:dyDescent="0.35">
      <c r="E722" s="2"/>
      <c r="F722" s="2">
        <f>_xlfn.XLOOKUP(D722,TIPOS_CAMBIO!A:A,TIPOS_CAMBIO!B:B,"",0)</f>
        <v>0</v>
      </c>
      <c r="G722" s="3">
        <f t="shared" si="22"/>
        <v>0</v>
      </c>
      <c r="H722" s="3"/>
      <c r="I722" s="3">
        <f ca="1">IFERROR(_xludf.XLOOKUP("Seguro",PARAMETROS_IMPORTACION!$A:$A,PARAMETROS_IMPORTACION!$C:$C,0),0)</f>
        <v>0</v>
      </c>
      <c r="J722" s="3">
        <f ca="1">IFERROR(_xludf.XLOOKUP("Arancel",PARAMETROS_IMPORTACION!$A:$A,PARAMETROS_IMPORTACION!$C:$C,0),0)</f>
        <v>0</v>
      </c>
      <c r="K722" s="2">
        <f ca="1">IFERROR(_xludf.XLOOKUP("Gastos_Aduana",PARAMETROS_IMPORTACION!$A:$A,PARAMETROS_IMPORTACION!$C:$C,0),0)</f>
        <v>0</v>
      </c>
      <c r="L722" s="2">
        <f t="shared" si="23"/>
        <v>0</v>
      </c>
    </row>
    <row r="723" spans="5:12" x14ac:dyDescent="0.35">
      <c r="E723" s="2"/>
      <c r="F723" s="2">
        <f>_xlfn.XLOOKUP(D723,TIPOS_CAMBIO!A:A,TIPOS_CAMBIO!B:B,"",0)</f>
        <v>0</v>
      </c>
      <c r="G723" s="3">
        <f t="shared" si="22"/>
        <v>0</v>
      </c>
      <c r="H723" s="3"/>
      <c r="I723" s="3">
        <f ca="1">IFERROR(_xludf.XLOOKUP("Seguro",PARAMETROS_IMPORTACION!$A:$A,PARAMETROS_IMPORTACION!$C:$C,0),0)</f>
        <v>0</v>
      </c>
      <c r="J723" s="3">
        <f ca="1">IFERROR(_xludf.XLOOKUP("Arancel",PARAMETROS_IMPORTACION!$A:$A,PARAMETROS_IMPORTACION!$C:$C,0),0)</f>
        <v>0</v>
      </c>
      <c r="K723" s="2">
        <f ca="1">IFERROR(_xludf.XLOOKUP("Gastos_Aduana",PARAMETROS_IMPORTACION!$A:$A,PARAMETROS_IMPORTACION!$C:$C,0),0)</f>
        <v>0</v>
      </c>
      <c r="L723" s="2">
        <f t="shared" si="23"/>
        <v>0</v>
      </c>
    </row>
    <row r="724" spans="5:12" x14ac:dyDescent="0.35">
      <c r="E724" s="2"/>
      <c r="F724" s="2">
        <f>_xlfn.XLOOKUP(D724,TIPOS_CAMBIO!A:A,TIPOS_CAMBIO!B:B,"",0)</f>
        <v>0</v>
      </c>
      <c r="G724" s="3">
        <f t="shared" si="22"/>
        <v>0</v>
      </c>
      <c r="H724" s="3"/>
      <c r="I724" s="3">
        <f ca="1">IFERROR(_xludf.XLOOKUP("Seguro",PARAMETROS_IMPORTACION!$A:$A,PARAMETROS_IMPORTACION!$C:$C,0),0)</f>
        <v>0</v>
      </c>
      <c r="J724" s="3">
        <f ca="1">IFERROR(_xludf.XLOOKUP("Arancel",PARAMETROS_IMPORTACION!$A:$A,PARAMETROS_IMPORTACION!$C:$C,0),0)</f>
        <v>0</v>
      </c>
      <c r="K724" s="2">
        <f ca="1">IFERROR(_xludf.XLOOKUP("Gastos_Aduana",PARAMETROS_IMPORTACION!$A:$A,PARAMETROS_IMPORTACION!$C:$C,0),0)</f>
        <v>0</v>
      </c>
      <c r="L724" s="2">
        <f t="shared" si="23"/>
        <v>0</v>
      </c>
    </row>
    <row r="725" spans="5:12" x14ac:dyDescent="0.35">
      <c r="E725" s="2"/>
      <c r="F725" s="2">
        <f>_xlfn.XLOOKUP(D725,TIPOS_CAMBIO!A:A,TIPOS_CAMBIO!B:B,"",0)</f>
        <v>0</v>
      </c>
      <c r="G725" s="3">
        <f t="shared" si="22"/>
        <v>0</v>
      </c>
      <c r="H725" s="3"/>
      <c r="I725" s="3">
        <f ca="1">IFERROR(_xludf.XLOOKUP("Seguro",PARAMETROS_IMPORTACION!$A:$A,PARAMETROS_IMPORTACION!$C:$C,0),0)</f>
        <v>0</v>
      </c>
      <c r="J725" s="3">
        <f ca="1">IFERROR(_xludf.XLOOKUP("Arancel",PARAMETROS_IMPORTACION!$A:$A,PARAMETROS_IMPORTACION!$C:$C,0),0)</f>
        <v>0</v>
      </c>
      <c r="K725" s="2">
        <f ca="1">IFERROR(_xludf.XLOOKUP("Gastos_Aduana",PARAMETROS_IMPORTACION!$A:$A,PARAMETROS_IMPORTACION!$C:$C,0),0)</f>
        <v>0</v>
      </c>
      <c r="L725" s="2">
        <f t="shared" si="23"/>
        <v>0</v>
      </c>
    </row>
    <row r="726" spans="5:12" x14ac:dyDescent="0.35">
      <c r="E726" s="2"/>
      <c r="F726" s="2">
        <f>_xlfn.XLOOKUP(D726,TIPOS_CAMBIO!A:A,TIPOS_CAMBIO!B:B,"",0)</f>
        <v>0</v>
      </c>
      <c r="G726" s="3">
        <f t="shared" si="22"/>
        <v>0</v>
      </c>
      <c r="H726" s="3"/>
      <c r="I726" s="3">
        <f ca="1">IFERROR(_xludf.XLOOKUP("Seguro",PARAMETROS_IMPORTACION!$A:$A,PARAMETROS_IMPORTACION!$C:$C,0),0)</f>
        <v>0</v>
      </c>
      <c r="J726" s="3">
        <f ca="1">IFERROR(_xludf.XLOOKUP("Arancel",PARAMETROS_IMPORTACION!$A:$A,PARAMETROS_IMPORTACION!$C:$C,0),0)</f>
        <v>0</v>
      </c>
      <c r="K726" s="2">
        <f ca="1">IFERROR(_xludf.XLOOKUP("Gastos_Aduana",PARAMETROS_IMPORTACION!$A:$A,PARAMETROS_IMPORTACION!$C:$C,0),0)</f>
        <v>0</v>
      </c>
      <c r="L726" s="2">
        <f t="shared" si="23"/>
        <v>0</v>
      </c>
    </row>
    <row r="727" spans="5:12" x14ac:dyDescent="0.35">
      <c r="E727" s="2"/>
      <c r="F727" s="2">
        <f>_xlfn.XLOOKUP(D727,TIPOS_CAMBIO!A:A,TIPOS_CAMBIO!B:B,"",0)</f>
        <v>0</v>
      </c>
      <c r="G727" s="3">
        <f t="shared" si="22"/>
        <v>0</v>
      </c>
      <c r="H727" s="3"/>
      <c r="I727" s="3">
        <f ca="1">IFERROR(_xludf.XLOOKUP("Seguro",PARAMETROS_IMPORTACION!$A:$A,PARAMETROS_IMPORTACION!$C:$C,0),0)</f>
        <v>0</v>
      </c>
      <c r="J727" s="3">
        <f ca="1">IFERROR(_xludf.XLOOKUP("Arancel",PARAMETROS_IMPORTACION!$A:$A,PARAMETROS_IMPORTACION!$C:$C,0),0)</f>
        <v>0</v>
      </c>
      <c r="K727" s="2">
        <f ca="1">IFERROR(_xludf.XLOOKUP("Gastos_Aduana",PARAMETROS_IMPORTACION!$A:$A,PARAMETROS_IMPORTACION!$C:$C,0),0)</f>
        <v>0</v>
      </c>
      <c r="L727" s="2">
        <f t="shared" si="23"/>
        <v>0</v>
      </c>
    </row>
    <row r="728" spans="5:12" x14ac:dyDescent="0.35">
      <c r="E728" s="2"/>
      <c r="F728" s="2">
        <f>_xlfn.XLOOKUP(D728,TIPOS_CAMBIO!A:A,TIPOS_CAMBIO!B:B,"",0)</f>
        <v>0</v>
      </c>
      <c r="G728" s="3">
        <f t="shared" si="22"/>
        <v>0</v>
      </c>
      <c r="H728" s="3"/>
      <c r="I728" s="3">
        <f ca="1">IFERROR(_xludf.XLOOKUP("Seguro",PARAMETROS_IMPORTACION!$A:$A,PARAMETROS_IMPORTACION!$C:$C,0),0)</f>
        <v>0</v>
      </c>
      <c r="J728" s="3">
        <f ca="1">IFERROR(_xludf.XLOOKUP("Arancel",PARAMETROS_IMPORTACION!$A:$A,PARAMETROS_IMPORTACION!$C:$C,0),0)</f>
        <v>0</v>
      </c>
      <c r="K728" s="2">
        <f ca="1">IFERROR(_xludf.XLOOKUP("Gastos_Aduana",PARAMETROS_IMPORTACION!$A:$A,PARAMETROS_IMPORTACION!$C:$C,0),0)</f>
        <v>0</v>
      </c>
      <c r="L728" s="2">
        <f t="shared" si="23"/>
        <v>0</v>
      </c>
    </row>
    <row r="729" spans="5:12" x14ac:dyDescent="0.35">
      <c r="E729" s="2"/>
      <c r="F729" s="2">
        <f>_xlfn.XLOOKUP(D729,TIPOS_CAMBIO!A:A,TIPOS_CAMBIO!B:B,"",0)</f>
        <v>0</v>
      </c>
      <c r="G729" s="3">
        <f t="shared" si="22"/>
        <v>0</v>
      </c>
      <c r="H729" s="3"/>
      <c r="I729" s="3">
        <f ca="1">IFERROR(_xludf.XLOOKUP("Seguro",PARAMETROS_IMPORTACION!$A:$A,PARAMETROS_IMPORTACION!$C:$C,0),0)</f>
        <v>0</v>
      </c>
      <c r="J729" s="3">
        <f ca="1">IFERROR(_xludf.XLOOKUP("Arancel",PARAMETROS_IMPORTACION!$A:$A,PARAMETROS_IMPORTACION!$C:$C,0),0)</f>
        <v>0</v>
      </c>
      <c r="K729" s="2">
        <f ca="1">IFERROR(_xludf.XLOOKUP("Gastos_Aduana",PARAMETROS_IMPORTACION!$A:$A,PARAMETROS_IMPORTACION!$C:$C,0),0)</f>
        <v>0</v>
      </c>
      <c r="L729" s="2">
        <f t="shared" si="23"/>
        <v>0</v>
      </c>
    </row>
    <row r="730" spans="5:12" x14ac:dyDescent="0.35">
      <c r="E730" s="2"/>
      <c r="F730" s="2">
        <f>_xlfn.XLOOKUP(D730,TIPOS_CAMBIO!A:A,TIPOS_CAMBIO!B:B,"",0)</f>
        <v>0</v>
      </c>
      <c r="G730" s="3">
        <f t="shared" si="22"/>
        <v>0</v>
      </c>
      <c r="H730" s="3"/>
      <c r="I730" s="3">
        <f ca="1">IFERROR(_xludf.XLOOKUP("Seguro",PARAMETROS_IMPORTACION!$A:$A,PARAMETROS_IMPORTACION!$C:$C,0),0)</f>
        <v>0</v>
      </c>
      <c r="J730" s="3">
        <f ca="1">IFERROR(_xludf.XLOOKUP("Arancel",PARAMETROS_IMPORTACION!$A:$A,PARAMETROS_IMPORTACION!$C:$C,0),0)</f>
        <v>0</v>
      </c>
      <c r="K730" s="2">
        <f ca="1">IFERROR(_xludf.XLOOKUP("Gastos_Aduana",PARAMETROS_IMPORTACION!$A:$A,PARAMETROS_IMPORTACION!$C:$C,0),0)</f>
        <v>0</v>
      </c>
      <c r="L730" s="2">
        <f t="shared" si="23"/>
        <v>0</v>
      </c>
    </row>
    <row r="731" spans="5:12" x14ac:dyDescent="0.35">
      <c r="E731" s="2"/>
      <c r="F731" s="2">
        <f>_xlfn.XLOOKUP(D731,TIPOS_CAMBIO!A:A,TIPOS_CAMBIO!B:B,"",0)</f>
        <v>0</v>
      </c>
      <c r="G731" s="3">
        <f t="shared" si="22"/>
        <v>0</v>
      </c>
      <c r="H731" s="3"/>
      <c r="I731" s="3">
        <f ca="1">IFERROR(_xludf.XLOOKUP("Seguro",PARAMETROS_IMPORTACION!$A:$A,PARAMETROS_IMPORTACION!$C:$C,0),0)</f>
        <v>0</v>
      </c>
      <c r="J731" s="3">
        <f ca="1">IFERROR(_xludf.XLOOKUP("Arancel",PARAMETROS_IMPORTACION!$A:$A,PARAMETROS_IMPORTACION!$C:$C,0),0)</f>
        <v>0</v>
      </c>
      <c r="K731" s="2">
        <f ca="1">IFERROR(_xludf.XLOOKUP("Gastos_Aduana",PARAMETROS_IMPORTACION!$A:$A,PARAMETROS_IMPORTACION!$C:$C,0),0)</f>
        <v>0</v>
      </c>
      <c r="L731" s="2">
        <f t="shared" si="23"/>
        <v>0</v>
      </c>
    </row>
    <row r="732" spans="5:12" x14ac:dyDescent="0.35">
      <c r="E732" s="2"/>
      <c r="F732" s="2">
        <f>_xlfn.XLOOKUP(D732,TIPOS_CAMBIO!A:A,TIPOS_CAMBIO!B:B,"",0)</f>
        <v>0</v>
      </c>
      <c r="G732" s="3">
        <f t="shared" si="22"/>
        <v>0</v>
      </c>
      <c r="H732" s="3"/>
      <c r="I732" s="3">
        <f ca="1">IFERROR(_xludf.XLOOKUP("Seguro",PARAMETROS_IMPORTACION!$A:$A,PARAMETROS_IMPORTACION!$C:$C,0),0)</f>
        <v>0</v>
      </c>
      <c r="J732" s="3">
        <f ca="1">IFERROR(_xludf.XLOOKUP("Arancel",PARAMETROS_IMPORTACION!$A:$A,PARAMETROS_IMPORTACION!$C:$C,0),0)</f>
        <v>0</v>
      </c>
      <c r="K732" s="2">
        <f ca="1">IFERROR(_xludf.XLOOKUP("Gastos_Aduana",PARAMETROS_IMPORTACION!$A:$A,PARAMETROS_IMPORTACION!$C:$C,0),0)</f>
        <v>0</v>
      </c>
      <c r="L732" s="2">
        <f t="shared" si="23"/>
        <v>0</v>
      </c>
    </row>
    <row r="733" spans="5:12" x14ac:dyDescent="0.35">
      <c r="E733" s="2"/>
      <c r="F733" s="2">
        <f>_xlfn.XLOOKUP(D733,TIPOS_CAMBIO!A:A,TIPOS_CAMBIO!B:B,"",0)</f>
        <v>0</v>
      </c>
      <c r="G733" s="3">
        <f t="shared" si="22"/>
        <v>0</v>
      </c>
      <c r="H733" s="3"/>
      <c r="I733" s="3">
        <f ca="1">IFERROR(_xludf.XLOOKUP("Seguro",PARAMETROS_IMPORTACION!$A:$A,PARAMETROS_IMPORTACION!$C:$C,0),0)</f>
        <v>0</v>
      </c>
      <c r="J733" s="3">
        <f ca="1">IFERROR(_xludf.XLOOKUP("Arancel",PARAMETROS_IMPORTACION!$A:$A,PARAMETROS_IMPORTACION!$C:$C,0),0)</f>
        <v>0</v>
      </c>
      <c r="K733" s="2">
        <f ca="1">IFERROR(_xludf.XLOOKUP("Gastos_Aduana",PARAMETROS_IMPORTACION!$A:$A,PARAMETROS_IMPORTACION!$C:$C,0),0)</f>
        <v>0</v>
      </c>
      <c r="L733" s="2">
        <f t="shared" si="23"/>
        <v>0</v>
      </c>
    </row>
    <row r="734" spans="5:12" x14ac:dyDescent="0.35">
      <c r="E734" s="2"/>
      <c r="F734" s="2">
        <f>_xlfn.XLOOKUP(D734,TIPOS_CAMBIO!A:A,TIPOS_CAMBIO!B:B,"",0)</f>
        <v>0</v>
      </c>
      <c r="G734" s="3">
        <f t="shared" si="22"/>
        <v>0</v>
      </c>
      <c r="H734" s="3"/>
      <c r="I734" s="3">
        <f ca="1">IFERROR(_xludf.XLOOKUP("Seguro",PARAMETROS_IMPORTACION!$A:$A,PARAMETROS_IMPORTACION!$C:$C,0),0)</f>
        <v>0</v>
      </c>
      <c r="J734" s="3">
        <f ca="1">IFERROR(_xludf.XLOOKUP("Arancel",PARAMETROS_IMPORTACION!$A:$A,PARAMETROS_IMPORTACION!$C:$C,0),0)</f>
        <v>0</v>
      </c>
      <c r="K734" s="2">
        <f ca="1">IFERROR(_xludf.XLOOKUP("Gastos_Aduana",PARAMETROS_IMPORTACION!$A:$A,PARAMETROS_IMPORTACION!$C:$C,0),0)</f>
        <v>0</v>
      </c>
      <c r="L734" s="2">
        <f t="shared" si="23"/>
        <v>0</v>
      </c>
    </row>
    <row r="735" spans="5:12" x14ac:dyDescent="0.35">
      <c r="E735" s="2"/>
      <c r="F735" s="2">
        <f>_xlfn.XLOOKUP(D735,TIPOS_CAMBIO!A:A,TIPOS_CAMBIO!B:B,"",0)</f>
        <v>0</v>
      </c>
      <c r="G735" s="3">
        <f t="shared" si="22"/>
        <v>0</v>
      </c>
      <c r="H735" s="3"/>
      <c r="I735" s="3">
        <f ca="1">IFERROR(_xludf.XLOOKUP("Seguro",PARAMETROS_IMPORTACION!$A:$A,PARAMETROS_IMPORTACION!$C:$C,0),0)</f>
        <v>0</v>
      </c>
      <c r="J735" s="3">
        <f ca="1">IFERROR(_xludf.XLOOKUP("Arancel",PARAMETROS_IMPORTACION!$A:$A,PARAMETROS_IMPORTACION!$C:$C,0),0)</f>
        <v>0</v>
      </c>
      <c r="K735" s="2">
        <f ca="1">IFERROR(_xludf.XLOOKUP("Gastos_Aduana",PARAMETROS_IMPORTACION!$A:$A,PARAMETROS_IMPORTACION!$C:$C,0),0)</f>
        <v>0</v>
      </c>
      <c r="L735" s="2">
        <f t="shared" si="23"/>
        <v>0</v>
      </c>
    </row>
    <row r="736" spans="5:12" x14ac:dyDescent="0.35">
      <c r="E736" s="2"/>
      <c r="F736" s="2">
        <f>_xlfn.XLOOKUP(D736,TIPOS_CAMBIO!A:A,TIPOS_CAMBIO!B:B,"",0)</f>
        <v>0</v>
      </c>
      <c r="G736" s="3">
        <f t="shared" si="22"/>
        <v>0</v>
      </c>
      <c r="H736" s="3"/>
      <c r="I736" s="3">
        <f ca="1">IFERROR(_xludf.XLOOKUP("Seguro",PARAMETROS_IMPORTACION!$A:$A,PARAMETROS_IMPORTACION!$C:$C,0),0)</f>
        <v>0</v>
      </c>
      <c r="J736" s="3">
        <f ca="1">IFERROR(_xludf.XLOOKUP("Arancel",PARAMETROS_IMPORTACION!$A:$A,PARAMETROS_IMPORTACION!$C:$C,0),0)</f>
        <v>0</v>
      </c>
      <c r="K736" s="2">
        <f ca="1">IFERROR(_xludf.XLOOKUP("Gastos_Aduana",PARAMETROS_IMPORTACION!$A:$A,PARAMETROS_IMPORTACION!$C:$C,0),0)</f>
        <v>0</v>
      </c>
      <c r="L736" s="2">
        <f t="shared" si="23"/>
        <v>0</v>
      </c>
    </row>
    <row r="737" spans="5:12" x14ac:dyDescent="0.35">
      <c r="E737" s="2"/>
      <c r="F737" s="2">
        <f>_xlfn.XLOOKUP(D737,TIPOS_CAMBIO!A:A,TIPOS_CAMBIO!B:B,"",0)</f>
        <v>0</v>
      </c>
      <c r="G737" s="3">
        <f t="shared" si="22"/>
        <v>0</v>
      </c>
      <c r="H737" s="3"/>
      <c r="I737" s="3">
        <f ca="1">IFERROR(_xludf.XLOOKUP("Seguro",PARAMETROS_IMPORTACION!$A:$A,PARAMETROS_IMPORTACION!$C:$C,0),0)</f>
        <v>0</v>
      </c>
      <c r="J737" s="3">
        <f ca="1">IFERROR(_xludf.XLOOKUP("Arancel",PARAMETROS_IMPORTACION!$A:$A,PARAMETROS_IMPORTACION!$C:$C,0),0)</f>
        <v>0</v>
      </c>
      <c r="K737" s="2">
        <f ca="1">IFERROR(_xludf.XLOOKUP("Gastos_Aduana",PARAMETROS_IMPORTACION!$A:$A,PARAMETROS_IMPORTACION!$C:$C,0),0)</f>
        <v>0</v>
      </c>
      <c r="L737" s="2">
        <f t="shared" si="23"/>
        <v>0</v>
      </c>
    </row>
    <row r="738" spans="5:12" x14ac:dyDescent="0.35">
      <c r="E738" s="2"/>
      <c r="F738" s="2">
        <f>_xlfn.XLOOKUP(D738,TIPOS_CAMBIO!A:A,TIPOS_CAMBIO!B:B,"",0)</f>
        <v>0</v>
      </c>
      <c r="G738" s="3">
        <f t="shared" si="22"/>
        <v>0</v>
      </c>
      <c r="H738" s="3"/>
      <c r="I738" s="3">
        <f ca="1">IFERROR(_xludf.XLOOKUP("Seguro",PARAMETROS_IMPORTACION!$A:$A,PARAMETROS_IMPORTACION!$C:$C,0),0)</f>
        <v>0</v>
      </c>
      <c r="J738" s="3">
        <f ca="1">IFERROR(_xludf.XLOOKUP("Arancel",PARAMETROS_IMPORTACION!$A:$A,PARAMETROS_IMPORTACION!$C:$C,0),0)</f>
        <v>0</v>
      </c>
      <c r="K738" s="2">
        <f ca="1">IFERROR(_xludf.XLOOKUP("Gastos_Aduana",PARAMETROS_IMPORTACION!$A:$A,PARAMETROS_IMPORTACION!$C:$C,0),0)</f>
        <v>0</v>
      </c>
      <c r="L738" s="2">
        <f t="shared" si="23"/>
        <v>0</v>
      </c>
    </row>
    <row r="739" spans="5:12" x14ac:dyDescent="0.35">
      <c r="E739" s="2"/>
      <c r="F739" s="2">
        <f>_xlfn.XLOOKUP(D739,TIPOS_CAMBIO!A:A,TIPOS_CAMBIO!B:B,"",0)</f>
        <v>0</v>
      </c>
      <c r="G739" s="3">
        <f t="shared" si="22"/>
        <v>0</v>
      </c>
      <c r="H739" s="3"/>
      <c r="I739" s="3">
        <f ca="1">IFERROR(_xludf.XLOOKUP("Seguro",PARAMETROS_IMPORTACION!$A:$A,PARAMETROS_IMPORTACION!$C:$C,0),0)</f>
        <v>0</v>
      </c>
      <c r="J739" s="3">
        <f ca="1">IFERROR(_xludf.XLOOKUP("Arancel",PARAMETROS_IMPORTACION!$A:$A,PARAMETROS_IMPORTACION!$C:$C,0),0)</f>
        <v>0</v>
      </c>
      <c r="K739" s="2">
        <f ca="1">IFERROR(_xludf.XLOOKUP("Gastos_Aduana",PARAMETROS_IMPORTACION!$A:$A,PARAMETROS_IMPORTACION!$C:$C,0),0)</f>
        <v>0</v>
      </c>
      <c r="L739" s="2">
        <f t="shared" si="23"/>
        <v>0</v>
      </c>
    </row>
    <row r="740" spans="5:12" x14ac:dyDescent="0.35">
      <c r="E740" s="2"/>
      <c r="F740" s="2">
        <f>_xlfn.XLOOKUP(D740,TIPOS_CAMBIO!A:A,TIPOS_CAMBIO!B:B,"",0)</f>
        <v>0</v>
      </c>
      <c r="G740" s="3">
        <f t="shared" si="22"/>
        <v>0</v>
      </c>
      <c r="H740" s="3"/>
      <c r="I740" s="3">
        <f ca="1">IFERROR(_xludf.XLOOKUP("Seguro",PARAMETROS_IMPORTACION!$A:$A,PARAMETROS_IMPORTACION!$C:$C,0),0)</f>
        <v>0</v>
      </c>
      <c r="J740" s="3">
        <f ca="1">IFERROR(_xludf.XLOOKUP("Arancel",PARAMETROS_IMPORTACION!$A:$A,PARAMETROS_IMPORTACION!$C:$C,0),0)</f>
        <v>0</v>
      </c>
      <c r="K740" s="2">
        <f ca="1">IFERROR(_xludf.XLOOKUP("Gastos_Aduana",PARAMETROS_IMPORTACION!$A:$A,PARAMETROS_IMPORTACION!$C:$C,0),0)</f>
        <v>0</v>
      </c>
      <c r="L740" s="2">
        <f t="shared" si="23"/>
        <v>0</v>
      </c>
    </row>
    <row r="741" spans="5:12" x14ac:dyDescent="0.35">
      <c r="E741" s="2"/>
      <c r="F741" s="2">
        <f>_xlfn.XLOOKUP(D741,TIPOS_CAMBIO!A:A,TIPOS_CAMBIO!B:B,"",0)</f>
        <v>0</v>
      </c>
      <c r="G741" s="3">
        <f t="shared" si="22"/>
        <v>0</v>
      </c>
      <c r="H741" s="3"/>
      <c r="I741" s="3">
        <f ca="1">IFERROR(_xludf.XLOOKUP("Seguro",PARAMETROS_IMPORTACION!$A:$A,PARAMETROS_IMPORTACION!$C:$C,0),0)</f>
        <v>0</v>
      </c>
      <c r="J741" s="3">
        <f ca="1">IFERROR(_xludf.XLOOKUP("Arancel",PARAMETROS_IMPORTACION!$A:$A,PARAMETROS_IMPORTACION!$C:$C,0),0)</f>
        <v>0</v>
      </c>
      <c r="K741" s="2">
        <f ca="1">IFERROR(_xludf.XLOOKUP("Gastos_Aduana",PARAMETROS_IMPORTACION!$A:$A,PARAMETROS_IMPORTACION!$C:$C,0),0)</f>
        <v>0</v>
      </c>
      <c r="L741" s="2">
        <f t="shared" si="23"/>
        <v>0</v>
      </c>
    </row>
    <row r="742" spans="5:12" x14ac:dyDescent="0.35">
      <c r="E742" s="2"/>
      <c r="F742" s="2">
        <f>_xlfn.XLOOKUP(D742,TIPOS_CAMBIO!A:A,TIPOS_CAMBIO!B:B,"",0)</f>
        <v>0</v>
      </c>
      <c r="G742" s="3">
        <f t="shared" si="22"/>
        <v>0</v>
      </c>
      <c r="H742" s="3"/>
      <c r="I742" s="3">
        <f ca="1">IFERROR(_xludf.XLOOKUP("Seguro",PARAMETROS_IMPORTACION!$A:$A,PARAMETROS_IMPORTACION!$C:$C,0),0)</f>
        <v>0</v>
      </c>
      <c r="J742" s="3">
        <f ca="1">IFERROR(_xludf.XLOOKUP("Arancel",PARAMETROS_IMPORTACION!$A:$A,PARAMETROS_IMPORTACION!$C:$C,0),0)</f>
        <v>0</v>
      </c>
      <c r="K742" s="2">
        <f ca="1">IFERROR(_xludf.XLOOKUP("Gastos_Aduana",PARAMETROS_IMPORTACION!$A:$A,PARAMETROS_IMPORTACION!$C:$C,0),0)</f>
        <v>0</v>
      </c>
      <c r="L742" s="2">
        <f t="shared" si="23"/>
        <v>0</v>
      </c>
    </row>
    <row r="743" spans="5:12" x14ac:dyDescent="0.35">
      <c r="E743" s="2"/>
      <c r="F743" s="2">
        <f>_xlfn.XLOOKUP(D743,TIPOS_CAMBIO!A:A,TIPOS_CAMBIO!B:B,"",0)</f>
        <v>0</v>
      </c>
      <c r="G743" s="3">
        <f t="shared" si="22"/>
        <v>0</v>
      </c>
      <c r="H743" s="3"/>
      <c r="I743" s="3">
        <f ca="1">IFERROR(_xludf.XLOOKUP("Seguro",PARAMETROS_IMPORTACION!$A:$A,PARAMETROS_IMPORTACION!$C:$C,0),0)</f>
        <v>0</v>
      </c>
      <c r="J743" s="3">
        <f ca="1">IFERROR(_xludf.XLOOKUP("Arancel",PARAMETROS_IMPORTACION!$A:$A,PARAMETROS_IMPORTACION!$C:$C,0),0)</f>
        <v>0</v>
      </c>
      <c r="K743" s="2">
        <f ca="1">IFERROR(_xludf.XLOOKUP("Gastos_Aduana",PARAMETROS_IMPORTACION!$A:$A,PARAMETROS_IMPORTACION!$C:$C,0),0)</f>
        <v>0</v>
      </c>
      <c r="L743" s="2">
        <f t="shared" si="23"/>
        <v>0</v>
      </c>
    </row>
    <row r="744" spans="5:12" x14ac:dyDescent="0.35">
      <c r="E744" s="2"/>
      <c r="F744" s="2">
        <f>_xlfn.XLOOKUP(D744,TIPOS_CAMBIO!A:A,TIPOS_CAMBIO!B:B,"",0)</f>
        <v>0</v>
      </c>
      <c r="G744" s="3">
        <f t="shared" si="22"/>
        <v>0</v>
      </c>
      <c r="H744" s="3"/>
      <c r="I744" s="3">
        <f ca="1">IFERROR(_xludf.XLOOKUP("Seguro",PARAMETROS_IMPORTACION!$A:$A,PARAMETROS_IMPORTACION!$C:$C,0),0)</f>
        <v>0</v>
      </c>
      <c r="J744" s="3">
        <f ca="1">IFERROR(_xludf.XLOOKUP("Arancel",PARAMETROS_IMPORTACION!$A:$A,PARAMETROS_IMPORTACION!$C:$C,0),0)</f>
        <v>0</v>
      </c>
      <c r="K744" s="2">
        <f ca="1">IFERROR(_xludf.XLOOKUP("Gastos_Aduana",PARAMETROS_IMPORTACION!$A:$A,PARAMETROS_IMPORTACION!$C:$C,0),0)</f>
        <v>0</v>
      </c>
      <c r="L744" s="2">
        <f t="shared" si="23"/>
        <v>0</v>
      </c>
    </row>
    <row r="745" spans="5:12" x14ac:dyDescent="0.35">
      <c r="E745" s="2"/>
      <c r="F745" s="2">
        <f>_xlfn.XLOOKUP(D745,TIPOS_CAMBIO!A:A,TIPOS_CAMBIO!B:B,"",0)</f>
        <v>0</v>
      </c>
      <c r="G745" s="3">
        <f t="shared" si="22"/>
        <v>0</v>
      </c>
      <c r="H745" s="3"/>
      <c r="I745" s="3">
        <f ca="1">IFERROR(_xludf.XLOOKUP("Seguro",PARAMETROS_IMPORTACION!$A:$A,PARAMETROS_IMPORTACION!$C:$C,0),0)</f>
        <v>0</v>
      </c>
      <c r="J745" s="3">
        <f ca="1">IFERROR(_xludf.XLOOKUP("Arancel",PARAMETROS_IMPORTACION!$A:$A,PARAMETROS_IMPORTACION!$C:$C,0),0)</f>
        <v>0</v>
      </c>
      <c r="K745" s="2">
        <f ca="1">IFERROR(_xludf.XLOOKUP("Gastos_Aduana",PARAMETROS_IMPORTACION!$A:$A,PARAMETROS_IMPORTACION!$C:$C,0),0)</f>
        <v>0</v>
      </c>
      <c r="L745" s="2">
        <f t="shared" si="23"/>
        <v>0</v>
      </c>
    </row>
    <row r="746" spans="5:12" x14ac:dyDescent="0.35">
      <c r="E746" s="2"/>
      <c r="F746" s="2">
        <f>_xlfn.XLOOKUP(D746,TIPOS_CAMBIO!A:A,TIPOS_CAMBIO!B:B,"",0)</f>
        <v>0</v>
      </c>
      <c r="G746" s="3">
        <f t="shared" si="22"/>
        <v>0</v>
      </c>
      <c r="H746" s="3"/>
      <c r="I746" s="3">
        <f ca="1">IFERROR(_xludf.XLOOKUP("Seguro",PARAMETROS_IMPORTACION!$A:$A,PARAMETROS_IMPORTACION!$C:$C,0),0)</f>
        <v>0</v>
      </c>
      <c r="J746" s="3">
        <f ca="1">IFERROR(_xludf.XLOOKUP("Arancel",PARAMETROS_IMPORTACION!$A:$A,PARAMETROS_IMPORTACION!$C:$C,0),0)</f>
        <v>0</v>
      </c>
      <c r="K746" s="2">
        <f ca="1">IFERROR(_xludf.XLOOKUP("Gastos_Aduana",PARAMETROS_IMPORTACION!$A:$A,PARAMETROS_IMPORTACION!$C:$C,0),0)</f>
        <v>0</v>
      </c>
      <c r="L746" s="2">
        <f t="shared" si="23"/>
        <v>0</v>
      </c>
    </row>
    <row r="747" spans="5:12" x14ac:dyDescent="0.35">
      <c r="E747" s="2"/>
      <c r="F747" s="2">
        <f>_xlfn.XLOOKUP(D747,TIPOS_CAMBIO!A:A,TIPOS_CAMBIO!B:B,"",0)</f>
        <v>0</v>
      </c>
      <c r="G747" s="3">
        <f t="shared" si="22"/>
        <v>0</v>
      </c>
      <c r="H747" s="3"/>
      <c r="I747" s="3">
        <f ca="1">IFERROR(_xludf.XLOOKUP("Seguro",PARAMETROS_IMPORTACION!$A:$A,PARAMETROS_IMPORTACION!$C:$C,0),0)</f>
        <v>0</v>
      </c>
      <c r="J747" s="3">
        <f ca="1">IFERROR(_xludf.XLOOKUP("Arancel",PARAMETROS_IMPORTACION!$A:$A,PARAMETROS_IMPORTACION!$C:$C,0),0)</f>
        <v>0</v>
      </c>
      <c r="K747" s="2">
        <f ca="1">IFERROR(_xludf.XLOOKUP("Gastos_Aduana",PARAMETROS_IMPORTACION!$A:$A,PARAMETROS_IMPORTACION!$C:$C,0),0)</f>
        <v>0</v>
      </c>
      <c r="L747" s="2">
        <f t="shared" si="23"/>
        <v>0</v>
      </c>
    </row>
    <row r="748" spans="5:12" x14ac:dyDescent="0.35">
      <c r="E748" s="2"/>
      <c r="F748" s="2">
        <f>_xlfn.XLOOKUP(D748,TIPOS_CAMBIO!A:A,TIPOS_CAMBIO!B:B,"",0)</f>
        <v>0</v>
      </c>
      <c r="G748" s="3">
        <f t="shared" si="22"/>
        <v>0</v>
      </c>
      <c r="H748" s="3"/>
      <c r="I748" s="3">
        <f ca="1">IFERROR(_xludf.XLOOKUP("Seguro",PARAMETROS_IMPORTACION!$A:$A,PARAMETROS_IMPORTACION!$C:$C,0),0)</f>
        <v>0</v>
      </c>
      <c r="J748" s="3">
        <f ca="1">IFERROR(_xludf.XLOOKUP("Arancel",PARAMETROS_IMPORTACION!$A:$A,PARAMETROS_IMPORTACION!$C:$C,0),0)</f>
        <v>0</v>
      </c>
      <c r="K748" s="2">
        <f ca="1">IFERROR(_xludf.XLOOKUP("Gastos_Aduana",PARAMETROS_IMPORTACION!$A:$A,PARAMETROS_IMPORTACION!$C:$C,0),0)</f>
        <v>0</v>
      </c>
      <c r="L748" s="2">
        <f t="shared" si="23"/>
        <v>0</v>
      </c>
    </row>
    <row r="749" spans="5:12" x14ac:dyDescent="0.35">
      <c r="E749" s="2"/>
      <c r="F749" s="2">
        <f>_xlfn.XLOOKUP(D749,TIPOS_CAMBIO!A:A,TIPOS_CAMBIO!B:B,"",0)</f>
        <v>0</v>
      </c>
      <c r="G749" s="3">
        <f t="shared" si="22"/>
        <v>0</v>
      </c>
      <c r="H749" s="3"/>
      <c r="I749" s="3">
        <f ca="1">IFERROR(_xludf.XLOOKUP("Seguro",PARAMETROS_IMPORTACION!$A:$A,PARAMETROS_IMPORTACION!$C:$C,0),0)</f>
        <v>0</v>
      </c>
      <c r="J749" s="3">
        <f ca="1">IFERROR(_xludf.XLOOKUP("Arancel",PARAMETROS_IMPORTACION!$A:$A,PARAMETROS_IMPORTACION!$C:$C,0),0)</f>
        <v>0</v>
      </c>
      <c r="K749" s="2">
        <f ca="1">IFERROR(_xludf.XLOOKUP("Gastos_Aduana",PARAMETROS_IMPORTACION!$A:$A,PARAMETROS_IMPORTACION!$C:$C,0),0)</f>
        <v>0</v>
      </c>
      <c r="L749" s="2">
        <f t="shared" si="23"/>
        <v>0</v>
      </c>
    </row>
    <row r="750" spans="5:12" x14ac:dyDescent="0.35">
      <c r="E750" s="2"/>
      <c r="F750" s="2">
        <f>_xlfn.XLOOKUP(D750,TIPOS_CAMBIO!A:A,TIPOS_CAMBIO!B:B,"",0)</f>
        <v>0</v>
      </c>
      <c r="G750" s="3">
        <f t="shared" si="22"/>
        <v>0</v>
      </c>
      <c r="H750" s="3"/>
      <c r="I750" s="3">
        <f ca="1">IFERROR(_xludf.XLOOKUP("Seguro",PARAMETROS_IMPORTACION!$A:$A,PARAMETROS_IMPORTACION!$C:$C,0),0)</f>
        <v>0</v>
      </c>
      <c r="J750" s="3">
        <f ca="1">IFERROR(_xludf.XLOOKUP("Arancel",PARAMETROS_IMPORTACION!$A:$A,PARAMETROS_IMPORTACION!$C:$C,0),0)</f>
        <v>0</v>
      </c>
      <c r="K750" s="2">
        <f ca="1">IFERROR(_xludf.XLOOKUP("Gastos_Aduana",PARAMETROS_IMPORTACION!$A:$A,PARAMETROS_IMPORTACION!$C:$C,0),0)</f>
        <v>0</v>
      </c>
      <c r="L750" s="2">
        <f t="shared" si="23"/>
        <v>0</v>
      </c>
    </row>
    <row r="751" spans="5:12" x14ac:dyDescent="0.35">
      <c r="E751" s="2"/>
      <c r="F751" s="2">
        <f>_xlfn.XLOOKUP(D751,TIPOS_CAMBIO!A:A,TIPOS_CAMBIO!B:B,"",0)</f>
        <v>0</v>
      </c>
      <c r="G751" s="3">
        <f t="shared" si="22"/>
        <v>0</v>
      </c>
      <c r="H751" s="3"/>
      <c r="I751" s="3">
        <f ca="1">IFERROR(_xludf.XLOOKUP("Seguro",PARAMETROS_IMPORTACION!$A:$A,PARAMETROS_IMPORTACION!$C:$C,0),0)</f>
        <v>0</v>
      </c>
      <c r="J751" s="3">
        <f ca="1">IFERROR(_xludf.XLOOKUP("Arancel",PARAMETROS_IMPORTACION!$A:$A,PARAMETROS_IMPORTACION!$C:$C,0),0)</f>
        <v>0</v>
      </c>
      <c r="K751" s="2">
        <f ca="1">IFERROR(_xludf.XLOOKUP("Gastos_Aduana",PARAMETROS_IMPORTACION!$A:$A,PARAMETROS_IMPORTACION!$C:$C,0),0)</f>
        <v>0</v>
      </c>
      <c r="L751" s="2">
        <f t="shared" si="23"/>
        <v>0</v>
      </c>
    </row>
    <row r="752" spans="5:12" x14ac:dyDescent="0.35">
      <c r="E752" s="2"/>
      <c r="F752" s="2">
        <f>_xlfn.XLOOKUP(D752,TIPOS_CAMBIO!A:A,TIPOS_CAMBIO!B:B,"",0)</f>
        <v>0</v>
      </c>
      <c r="G752" s="3">
        <f t="shared" si="22"/>
        <v>0</v>
      </c>
      <c r="H752" s="3"/>
      <c r="I752" s="3">
        <f ca="1">IFERROR(_xludf.XLOOKUP("Seguro",PARAMETROS_IMPORTACION!$A:$A,PARAMETROS_IMPORTACION!$C:$C,0),0)</f>
        <v>0</v>
      </c>
      <c r="J752" s="3">
        <f ca="1">IFERROR(_xludf.XLOOKUP("Arancel",PARAMETROS_IMPORTACION!$A:$A,PARAMETROS_IMPORTACION!$C:$C,0),0)</f>
        <v>0</v>
      </c>
      <c r="K752" s="2">
        <f ca="1">IFERROR(_xludf.XLOOKUP("Gastos_Aduana",PARAMETROS_IMPORTACION!$A:$A,PARAMETROS_IMPORTACION!$C:$C,0),0)</f>
        <v>0</v>
      </c>
      <c r="L752" s="2">
        <f t="shared" si="23"/>
        <v>0</v>
      </c>
    </row>
    <row r="753" spans="5:12" x14ac:dyDescent="0.35">
      <c r="E753" s="2"/>
      <c r="F753" s="2">
        <f>_xlfn.XLOOKUP(D753,TIPOS_CAMBIO!A:A,TIPOS_CAMBIO!B:B,"",0)</f>
        <v>0</v>
      </c>
      <c r="G753" s="3">
        <f t="shared" si="22"/>
        <v>0</v>
      </c>
      <c r="H753" s="3"/>
      <c r="I753" s="3">
        <f ca="1">IFERROR(_xludf.XLOOKUP("Seguro",PARAMETROS_IMPORTACION!$A:$A,PARAMETROS_IMPORTACION!$C:$C,0),0)</f>
        <v>0</v>
      </c>
      <c r="J753" s="3">
        <f ca="1">IFERROR(_xludf.XLOOKUP("Arancel",PARAMETROS_IMPORTACION!$A:$A,PARAMETROS_IMPORTACION!$C:$C,0),0)</f>
        <v>0</v>
      </c>
      <c r="K753" s="2">
        <f ca="1">IFERROR(_xludf.XLOOKUP("Gastos_Aduana",PARAMETROS_IMPORTACION!$A:$A,PARAMETROS_IMPORTACION!$C:$C,0),0)</f>
        <v>0</v>
      </c>
      <c r="L753" s="2">
        <f t="shared" si="23"/>
        <v>0</v>
      </c>
    </row>
    <row r="754" spans="5:12" x14ac:dyDescent="0.35">
      <c r="E754" s="2"/>
      <c r="F754" s="2">
        <f>_xlfn.XLOOKUP(D754,TIPOS_CAMBIO!A:A,TIPOS_CAMBIO!B:B,"",0)</f>
        <v>0</v>
      </c>
      <c r="G754" s="3">
        <f t="shared" si="22"/>
        <v>0</v>
      </c>
      <c r="H754" s="3"/>
      <c r="I754" s="3">
        <f ca="1">IFERROR(_xludf.XLOOKUP("Seguro",PARAMETROS_IMPORTACION!$A:$A,PARAMETROS_IMPORTACION!$C:$C,0),0)</f>
        <v>0</v>
      </c>
      <c r="J754" s="3">
        <f ca="1">IFERROR(_xludf.XLOOKUP("Arancel",PARAMETROS_IMPORTACION!$A:$A,PARAMETROS_IMPORTACION!$C:$C,0),0)</f>
        <v>0</v>
      </c>
      <c r="K754" s="2">
        <f ca="1">IFERROR(_xludf.XLOOKUP("Gastos_Aduana",PARAMETROS_IMPORTACION!$A:$A,PARAMETROS_IMPORTACION!$C:$C,0),0)</f>
        <v>0</v>
      </c>
      <c r="L754" s="2">
        <f t="shared" si="23"/>
        <v>0</v>
      </c>
    </row>
    <row r="755" spans="5:12" x14ac:dyDescent="0.35">
      <c r="E755" s="2"/>
      <c r="F755" s="2">
        <f>_xlfn.XLOOKUP(D755,TIPOS_CAMBIO!A:A,TIPOS_CAMBIO!B:B,"",0)</f>
        <v>0</v>
      </c>
      <c r="G755" s="3">
        <f t="shared" si="22"/>
        <v>0</v>
      </c>
      <c r="H755" s="3"/>
      <c r="I755" s="3">
        <f ca="1">IFERROR(_xludf.XLOOKUP("Seguro",PARAMETROS_IMPORTACION!$A:$A,PARAMETROS_IMPORTACION!$C:$C,0),0)</f>
        <v>0</v>
      </c>
      <c r="J755" s="3">
        <f ca="1">IFERROR(_xludf.XLOOKUP("Arancel",PARAMETROS_IMPORTACION!$A:$A,PARAMETROS_IMPORTACION!$C:$C,0),0)</f>
        <v>0</v>
      </c>
      <c r="K755" s="2">
        <f ca="1">IFERROR(_xludf.XLOOKUP("Gastos_Aduana",PARAMETROS_IMPORTACION!$A:$A,PARAMETROS_IMPORTACION!$C:$C,0),0)</f>
        <v>0</v>
      </c>
      <c r="L755" s="2">
        <f t="shared" si="23"/>
        <v>0</v>
      </c>
    </row>
    <row r="756" spans="5:12" x14ac:dyDescent="0.35">
      <c r="E756" s="2"/>
      <c r="F756" s="2">
        <f>_xlfn.XLOOKUP(D756,TIPOS_CAMBIO!A:A,TIPOS_CAMBIO!B:B,"",0)</f>
        <v>0</v>
      </c>
      <c r="G756" s="3">
        <f t="shared" si="22"/>
        <v>0</v>
      </c>
      <c r="H756" s="3"/>
      <c r="I756" s="3">
        <f ca="1">IFERROR(_xludf.XLOOKUP("Seguro",PARAMETROS_IMPORTACION!$A:$A,PARAMETROS_IMPORTACION!$C:$C,0),0)</f>
        <v>0</v>
      </c>
      <c r="J756" s="3">
        <f ca="1">IFERROR(_xludf.XLOOKUP("Arancel",PARAMETROS_IMPORTACION!$A:$A,PARAMETROS_IMPORTACION!$C:$C,0),0)</f>
        <v>0</v>
      </c>
      <c r="K756" s="2">
        <f ca="1">IFERROR(_xludf.XLOOKUP("Gastos_Aduana",PARAMETROS_IMPORTACION!$A:$A,PARAMETROS_IMPORTACION!$C:$C,0),0)</f>
        <v>0</v>
      </c>
      <c r="L756" s="2">
        <f t="shared" si="23"/>
        <v>0</v>
      </c>
    </row>
    <row r="757" spans="5:12" x14ac:dyDescent="0.35">
      <c r="E757" s="2"/>
      <c r="F757" s="2">
        <f>_xlfn.XLOOKUP(D757,TIPOS_CAMBIO!A:A,TIPOS_CAMBIO!B:B,"",0)</f>
        <v>0</v>
      </c>
      <c r="G757" s="3">
        <f t="shared" si="22"/>
        <v>0</v>
      </c>
      <c r="H757" s="3"/>
      <c r="I757" s="3">
        <f ca="1">IFERROR(_xludf.XLOOKUP("Seguro",PARAMETROS_IMPORTACION!$A:$A,PARAMETROS_IMPORTACION!$C:$C,0),0)</f>
        <v>0</v>
      </c>
      <c r="J757" s="3">
        <f ca="1">IFERROR(_xludf.XLOOKUP("Arancel",PARAMETROS_IMPORTACION!$A:$A,PARAMETROS_IMPORTACION!$C:$C,0),0)</f>
        <v>0</v>
      </c>
      <c r="K757" s="2">
        <f ca="1">IFERROR(_xludf.XLOOKUP("Gastos_Aduana",PARAMETROS_IMPORTACION!$A:$A,PARAMETROS_IMPORTACION!$C:$C,0),0)</f>
        <v>0</v>
      </c>
      <c r="L757" s="2">
        <f t="shared" si="23"/>
        <v>0</v>
      </c>
    </row>
    <row r="758" spans="5:12" x14ac:dyDescent="0.35">
      <c r="E758" s="2"/>
      <c r="F758" s="2">
        <f>_xlfn.XLOOKUP(D758,TIPOS_CAMBIO!A:A,TIPOS_CAMBIO!B:B,"",0)</f>
        <v>0</v>
      </c>
      <c r="G758" s="3">
        <f t="shared" si="22"/>
        <v>0</v>
      </c>
      <c r="H758" s="3"/>
      <c r="I758" s="3">
        <f ca="1">IFERROR(_xludf.XLOOKUP("Seguro",PARAMETROS_IMPORTACION!$A:$A,PARAMETROS_IMPORTACION!$C:$C,0),0)</f>
        <v>0</v>
      </c>
      <c r="J758" s="3">
        <f ca="1">IFERROR(_xludf.XLOOKUP("Arancel",PARAMETROS_IMPORTACION!$A:$A,PARAMETROS_IMPORTACION!$C:$C,0),0)</f>
        <v>0</v>
      </c>
      <c r="K758" s="2">
        <f ca="1">IFERROR(_xludf.XLOOKUP("Gastos_Aduana",PARAMETROS_IMPORTACION!$A:$A,PARAMETROS_IMPORTACION!$C:$C,0),0)</f>
        <v>0</v>
      </c>
      <c r="L758" s="2">
        <f t="shared" si="23"/>
        <v>0</v>
      </c>
    </row>
    <row r="759" spans="5:12" x14ac:dyDescent="0.35">
      <c r="E759" s="2"/>
      <c r="F759" s="2">
        <f>_xlfn.XLOOKUP(D759,TIPOS_CAMBIO!A:A,TIPOS_CAMBIO!B:B,"",0)</f>
        <v>0</v>
      </c>
      <c r="G759" s="3">
        <f t="shared" si="22"/>
        <v>0</v>
      </c>
      <c r="H759" s="3"/>
      <c r="I759" s="3">
        <f ca="1">IFERROR(_xludf.XLOOKUP("Seguro",PARAMETROS_IMPORTACION!$A:$A,PARAMETROS_IMPORTACION!$C:$C,0),0)</f>
        <v>0</v>
      </c>
      <c r="J759" s="3">
        <f ca="1">IFERROR(_xludf.XLOOKUP("Arancel",PARAMETROS_IMPORTACION!$A:$A,PARAMETROS_IMPORTACION!$C:$C,0),0)</f>
        <v>0</v>
      </c>
      <c r="K759" s="2">
        <f ca="1">IFERROR(_xludf.XLOOKUP("Gastos_Aduana",PARAMETROS_IMPORTACION!$A:$A,PARAMETROS_IMPORTACION!$C:$C,0),0)</f>
        <v>0</v>
      </c>
      <c r="L759" s="2">
        <f t="shared" si="23"/>
        <v>0</v>
      </c>
    </row>
    <row r="760" spans="5:12" x14ac:dyDescent="0.35">
      <c r="E760" s="2"/>
      <c r="F760" s="2">
        <f>_xlfn.XLOOKUP(D760,TIPOS_CAMBIO!A:A,TIPOS_CAMBIO!B:B,"",0)</f>
        <v>0</v>
      </c>
      <c r="G760" s="3">
        <f t="shared" si="22"/>
        <v>0</v>
      </c>
      <c r="H760" s="3"/>
      <c r="I760" s="3">
        <f ca="1">IFERROR(_xludf.XLOOKUP("Seguro",PARAMETROS_IMPORTACION!$A:$A,PARAMETROS_IMPORTACION!$C:$C,0),0)</f>
        <v>0</v>
      </c>
      <c r="J760" s="3">
        <f ca="1">IFERROR(_xludf.XLOOKUP("Arancel",PARAMETROS_IMPORTACION!$A:$A,PARAMETROS_IMPORTACION!$C:$C,0),0)</f>
        <v>0</v>
      </c>
      <c r="K760" s="2">
        <f ca="1">IFERROR(_xludf.XLOOKUP("Gastos_Aduana",PARAMETROS_IMPORTACION!$A:$A,PARAMETROS_IMPORTACION!$C:$C,0),0)</f>
        <v>0</v>
      </c>
      <c r="L760" s="2">
        <f t="shared" si="23"/>
        <v>0</v>
      </c>
    </row>
    <row r="761" spans="5:12" x14ac:dyDescent="0.35">
      <c r="E761" s="2"/>
      <c r="F761" s="2">
        <f>_xlfn.XLOOKUP(D761,TIPOS_CAMBIO!A:A,TIPOS_CAMBIO!B:B,"",0)</f>
        <v>0</v>
      </c>
      <c r="G761" s="3">
        <f t="shared" si="22"/>
        <v>0</v>
      </c>
      <c r="H761" s="3"/>
      <c r="I761" s="3">
        <f ca="1">IFERROR(_xludf.XLOOKUP("Seguro",PARAMETROS_IMPORTACION!$A:$A,PARAMETROS_IMPORTACION!$C:$C,0),0)</f>
        <v>0</v>
      </c>
      <c r="J761" s="3">
        <f ca="1">IFERROR(_xludf.XLOOKUP("Arancel",PARAMETROS_IMPORTACION!$A:$A,PARAMETROS_IMPORTACION!$C:$C,0),0)</f>
        <v>0</v>
      </c>
      <c r="K761" s="2">
        <f ca="1">IFERROR(_xludf.XLOOKUP("Gastos_Aduana",PARAMETROS_IMPORTACION!$A:$A,PARAMETROS_IMPORTACION!$C:$C,0),0)</f>
        <v>0</v>
      </c>
      <c r="L761" s="2">
        <f t="shared" si="23"/>
        <v>0</v>
      </c>
    </row>
    <row r="762" spans="5:12" x14ac:dyDescent="0.35">
      <c r="E762" s="2"/>
      <c r="F762" s="2">
        <f>_xlfn.XLOOKUP(D762,TIPOS_CAMBIO!A:A,TIPOS_CAMBIO!B:B,"",0)</f>
        <v>0</v>
      </c>
      <c r="G762" s="3">
        <f t="shared" si="22"/>
        <v>0</v>
      </c>
      <c r="H762" s="3"/>
      <c r="I762" s="3">
        <f ca="1">IFERROR(_xludf.XLOOKUP("Seguro",PARAMETROS_IMPORTACION!$A:$A,PARAMETROS_IMPORTACION!$C:$C,0),0)</f>
        <v>0</v>
      </c>
      <c r="J762" s="3">
        <f ca="1">IFERROR(_xludf.XLOOKUP("Arancel",PARAMETROS_IMPORTACION!$A:$A,PARAMETROS_IMPORTACION!$C:$C,0),0)</f>
        <v>0</v>
      </c>
      <c r="K762" s="2">
        <f ca="1">IFERROR(_xludf.XLOOKUP("Gastos_Aduana",PARAMETROS_IMPORTACION!$A:$A,PARAMETROS_IMPORTACION!$C:$C,0),0)</f>
        <v>0</v>
      </c>
      <c r="L762" s="2">
        <f t="shared" si="23"/>
        <v>0</v>
      </c>
    </row>
    <row r="763" spans="5:12" x14ac:dyDescent="0.35">
      <c r="E763" s="2"/>
      <c r="F763" s="2">
        <f>_xlfn.XLOOKUP(D763,TIPOS_CAMBIO!A:A,TIPOS_CAMBIO!B:B,"",0)</f>
        <v>0</v>
      </c>
      <c r="G763" s="3">
        <f t="shared" si="22"/>
        <v>0</v>
      </c>
      <c r="H763" s="3"/>
      <c r="I763" s="3">
        <f ca="1">IFERROR(_xludf.XLOOKUP("Seguro",PARAMETROS_IMPORTACION!$A:$A,PARAMETROS_IMPORTACION!$C:$C,0),0)</f>
        <v>0</v>
      </c>
      <c r="J763" s="3">
        <f ca="1">IFERROR(_xludf.XLOOKUP("Arancel",PARAMETROS_IMPORTACION!$A:$A,PARAMETROS_IMPORTACION!$C:$C,0),0)</f>
        <v>0</v>
      </c>
      <c r="K763" s="2">
        <f ca="1">IFERROR(_xludf.XLOOKUP("Gastos_Aduana",PARAMETROS_IMPORTACION!$A:$A,PARAMETROS_IMPORTACION!$C:$C,0),0)</f>
        <v>0</v>
      </c>
      <c r="L763" s="2">
        <f t="shared" si="23"/>
        <v>0</v>
      </c>
    </row>
    <row r="764" spans="5:12" x14ac:dyDescent="0.35">
      <c r="E764" s="2"/>
      <c r="F764" s="2">
        <f>_xlfn.XLOOKUP(D764,TIPOS_CAMBIO!A:A,TIPOS_CAMBIO!B:B,"",0)</f>
        <v>0</v>
      </c>
      <c r="G764" s="3">
        <f t="shared" si="22"/>
        <v>0</v>
      </c>
      <c r="H764" s="3"/>
      <c r="I764" s="3">
        <f ca="1">IFERROR(_xludf.XLOOKUP("Seguro",PARAMETROS_IMPORTACION!$A:$A,PARAMETROS_IMPORTACION!$C:$C,0),0)</f>
        <v>0</v>
      </c>
      <c r="J764" s="3">
        <f ca="1">IFERROR(_xludf.XLOOKUP("Arancel",PARAMETROS_IMPORTACION!$A:$A,PARAMETROS_IMPORTACION!$C:$C,0),0)</f>
        <v>0</v>
      </c>
      <c r="K764" s="2">
        <f ca="1">IFERROR(_xludf.XLOOKUP("Gastos_Aduana",PARAMETROS_IMPORTACION!$A:$A,PARAMETROS_IMPORTACION!$C:$C,0),0)</f>
        <v>0</v>
      </c>
      <c r="L764" s="2">
        <f t="shared" si="23"/>
        <v>0</v>
      </c>
    </row>
    <row r="765" spans="5:12" x14ac:dyDescent="0.35">
      <c r="E765" s="2"/>
      <c r="F765" s="2">
        <f>_xlfn.XLOOKUP(D765,TIPOS_CAMBIO!A:A,TIPOS_CAMBIO!B:B,"",0)</f>
        <v>0</v>
      </c>
      <c r="G765" s="3">
        <f t="shared" si="22"/>
        <v>0</v>
      </c>
      <c r="H765" s="3"/>
      <c r="I765" s="3">
        <f ca="1">IFERROR(_xludf.XLOOKUP("Seguro",PARAMETROS_IMPORTACION!$A:$A,PARAMETROS_IMPORTACION!$C:$C,0),0)</f>
        <v>0</v>
      </c>
      <c r="J765" s="3">
        <f ca="1">IFERROR(_xludf.XLOOKUP("Arancel",PARAMETROS_IMPORTACION!$A:$A,PARAMETROS_IMPORTACION!$C:$C,0),0)</f>
        <v>0</v>
      </c>
      <c r="K765" s="2">
        <f ca="1">IFERROR(_xludf.XLOOKUP("Gastos_Aduana",PARAMETROS_IMPORTACION!$A:$A,PARAMETROS_IMPORTACION!$C:$C,0),0)</f>
        <v>0</v>
      </c>
      <c r="L765" s="2">
        <f t="shared" si="23"/>
        <v>0</v>
      </c>
    </row>
    <row r="766" spans="5:12" x14ac:dyDescent="0.35">
      <c r="E766" s="2"/>
      <c r="F766" s="2">
        <f>_xlfn.XLOOKUP(D766,TIPOS_CAMBIO!A:A,TIPOS_CAMBIO!B:B,"",0)</f>
        <v>0</v>
      </c>
      <c r="G766" s="3">
        <f t="shared" si="22"/>
        <v>0</v>
      </c>
      <c r="H766" s="3"/>
      <c r="I766" s="3">
        <f ca="1">IFERROR(_xludf.XLOOKUP("Seguro",PARAMETROS_IMPORTACION!$A:$A,PARAMETROS_IMPORTACION!$C:$C,0),0)</f>
        <v>0</v>
      </c>
      <c r="J766" s="3">
        <f ca="1">IFERROR(_xludf.XLOOKUP("Arancel",PARAMETROS_IMPORTACION!$A:$A,PARAMETROS_IMPORTACION!$C:$C,0),0)</f>
        <v>0</v>
      </c>
      <c r="K766" s="2">
        <f ca="1">IFERROR(_xludf.XLOOKUP("Gastos_Aduana",PARAMETROS_IMPORTACION!$A:$A,PARAMETROS_IMPORTACION!$C:$C,0),0)</f>
        <v>0</v>
      </c>
      <c r="L766" s="2">
        <f t="shared" si="23"/>
        <v>0</v>
      </c>
    </row>
    <row r="767" spans="5:12" x14ac:dyDescent="0.35">
      <c r="E767" s="2"/>
      <c r="F767" s="2">
        <f>_xlfn.XLOOKUP(D767,TIPOS_CAMBIO!A:A,TIPOS_CAMBIO!B:B,"",0)</f>
        <v>0</v>
      </c>
      <c r="G767" s="3">
        <f t="shared" si="22"/>
        <v>0</v>
      </c>
      <c r="H767" s="3"/>
      <c r="I767" s="3">
        <f ca="1">IFERROR(_xludf.XLOOKUP("Seguro",PARAMETROS_IMPORTACION!$A:$A,PARAMETROS_IMPORTACION!$C:$C,0),0)</f>
        <v>0</v>
      </c>
      <c r="J767" s="3">
        <f ca="1">IFERROR(_xludf.XLOOKUP("Arancel",PARAMETROS_IMPORTACION!$A:$A,PARAMETROS_IMPORTACION!$C:$C,0),0)</f>
        <v>0</v>
      </c>
      <c r="K767" s="2">
        <f ca="1">IFERROR(_xludf.XLOOKUP("Gastos_Aduana",PARAMETROS_IMPORTACION!$A:$A,PARAMETROS_IMPORTACION!$C:$C,0),0)</f>
        <v>0</v>
      </c>
      <c r="L767" s="2">
        <f t="shared" si="23"/>
        <v>0</v>
      </c>
    </row>
    <row r="768" spans="5:12" x14ac:dyDescent="0.35">
      <c r="E768" s="2"/>
      <c r="F768" s="2">
        <f>_xlfn.XLOOKUP(D768,TIPOS_CAMBIO!A:A,TIPOS_CAMBIO!B:B,"",0)</f>
        <v>0</v>
      </c>
      <c r="G768" s="3">
        <f t="shared" si="22"/>
        <v>0</v>
      </c>
      <c r="H768" s="3"/>
      <c r="I768" s="3">
        <f ca="1">IFERROR(_xludf.XLOOKUP("Seguro",PARAMETROS_IMPORTACION!$A:$A,PARAMETROS_IMPORTACION!$C:$C,0),0)</f>
        <v>0</v>
      </c>
      <c r="J768" s="3">
        <f ca="1">IFERROR(_xludf.XLOOKUP("Arancel",PARAMETROS_IMPORTACION!$A:$A,PARAMETROS_IMPORTACION!$C:$C,0),0)</f>
        <v>0</v>
      </c>
      <c r="K768" s="2">
        <f ca="1">IFERROR(_xludf.XLOOKUP("Gastos_Aduana",PARAMETROS_IMPORTACION!$A:$A,PARAMETROS_IMPORTACION!$C:$C,0),0)</f>
        <v>0</v>
      </c>
      <c r="L768" s="2">
        <f t="shared" si="23"/>
        <v>0</v>
      </c>
    </row>
    <row r="769" spans="5:12" x14ac:dyDescent="0.35">
      <c r="E769" s="2"/>
      <c r="F769" s="2">
        <f>_xlfn.XLOOKUP(D769,TIPOS_CAMBIO!A:A,TIPOS_CAMBIO!B:B,"",0)</f>
        <v>0</v>
      </c>
      <c r="G769" s="3">
        <f t="shared" si="22"/>
        <v>0</v>
      </c>
      <c r="H769" s="3"/>
      <c r="I769" s="3">
        <f ca="1">IFERROR(_xludf.XLOOKUP("Seguro",PARAMETROS_IMPORTACION!$A:$A,PARAMETROS_IMPORTACION!$C:$C,0),0)</f>
        <v>0</v>
      </c>
      <c r="J769" s="3">
        <f ca="1">IFERROR(_xludf.XLOOKUP("Arancel",PARAMETROS_IMPORTACION!$A:$A,PARAMETROS_IMPORTACION!$C:$C,0),0)</f>
        <v>0</v>
      </c>
      <c r="K769" s="2">
        <f ca="1">IFERROR(_xludf.XLOOKUP("Gastos_Aduana",PARAMETROS_IMPORTACION!$A:$A,PARAMETROS_IMPORTACION!$C:$C,0),0)</f>
        <v>0</v>
      </c>
      <c r="L769" s="2">
        <f t="shared" si="23"/>
        <v>0</v>
      </c>
    </row>
    <row r="770" spans="5:12" x14ac:dyDescent="0.35">
      <c r="E770" s="2"/>
      <c r="F770" s="2">
        <f>_xlfn.XLOOKUP(D770,TIPOS_CAMBIO!A:A,TIPOS_CAMBIO!B:B,"",0)</f>
        <v>0</v>
      </c>
      <c r="G770" s="3">
        <f t="shared" ref="G770:G833" si="24">$E770*$F770</f>
        <v>0</v>
      </c>
      <c r="H770" s="3"/>
      <c r="I770" s="3">
        <f ca="1">IFERROR(_xludf.XLOOKUP("Seguro",PARAMETROS_IMPORTACION!$A:$A,PARAMETROS_IMPORTACION!$C:$C,0),0)</f>
        <v>0</v>
      </c>
      <c r="J770" s="3">
        <f ca="1">IFERROR(_xludf.XLOOKUP("Arancel",PARAMETROS_IMPORTACION!$A:$A,PARAMETROS_IMPORTACION!$C:$C,0),0)</f>
        <v>0</v>
      </c>
      <c r="K770" s="2">
        <f ca="1">IFERROR(_xludf.XLOOKUP("Gastos_Aduana",PARAMETROS_IMPORTACION!$A:$A,PARAMETROS_IMPORTACION!$C:$C,0),0)</f>
        <v>0</v>
      </c>
      <c r="L770" s="2">
        <f t="shared" si="23"/>
        <v>0</v>
      </c>
    </row>
    <row r="771" spans="5:12" x14ac:dyDescent="0.35">
      <c r="E771" s="2"/>
      <c r="F771" s="2">
        <f>_xlfn.XLOOKUP(D771,TIPOS_CAMBIO!A:A,TIPOS_CAMBIO!B:B,"",0)</f>
        <v>0</v>
      </c>
      <c r="G771" s="3">
        <f t="shared" si="24"/>
        <v>0</v>
      </c>
      <c r="H771" s="3"/>
      <c r="I771" s="3">
        <f ca="1">IFERROR(_xludf.XLOOKUP("Seguro",PARAMETROS_IMPORTACION!$A:$A,PARAMETROS_IMPORTACION!$C:$C,0),0)</f>
        <v>0</v>
      </c>
      <c r="J771" s="3">
        <f ca="1">IFERROR(_xludf.XLOOKUP("Arancel",PARAMETROS_IMPORTACION!$A:$A,PARAMETROS_IMPORTACION!$C:$C,0),0)</f>
        <v>0</v>
      </c>
      <c r="K771" s="2">
        <f ca="1">IFERROR(_xludf.XLOOKUP("Gastos_Aduana",PARAMETROS_IMPORTACION!$A:$A,PARAMETROS_IMPORTACION!$C:$C,0),0)</f>
        <v>0</v>
      </c>
      <c r="L771" s="2">
        <f t="shared" ref="L771:L834" si="25">IF($C771="Importado",$G771*(1+$H771+$I771+$J771)+$K771,$G771)</f>
        <v>0</v>
      </c>
    </row>
    <row r="772" spans="5:12" x14ac:dyDescent="0.35">
      <c r="E772" s="2"/>
      <c r="F772" s="2">
        <f>_xlfn.XLOOKUP(D772,TIPOS_CAMBIO!A:A,TIPOS_CAMBIO!B:B,"",0)</f>
        <v>0</v>
      </c>
      <c r="G772" s="3">
        <f t="shared" si="24"/>
        <v>0</v>
      </c>
      <c r="H772" s="3"/>
      <c r="I772" s="3">
        <f ca="1">IFERROR(_xludf.XLOOKUP("Seguro",PARAMETROS_IMPORTACION!$A:$A,PARAMETROS_IMPORTACION!$C:$C,0),0)</f>
        <v>0</v>
      </c>
      <c r="J772" s="3">
        <f ca="1">IFERROR(_xludf.XLOOKUP("Arancel",PARAMETROS_IMPORTACION!$A:$A,PARAMETROS_IMPORTACION!$C:$C,0),0)</f>
        <v>0</v>
      </c>
      <c r="K772" s="2">
        <f ca="1">IFERROR(_xludf.XLOOKUP("Gastos_Aduana",PARAMETROS_IMPORTACION!$A:$A,PARAMETROS_IMPORTACION!$C:$C,0),0)</f>
        <v>0</v>
      </c>
      <c r="L772" s="2">
        <f t="shared" si="25"/>
        <v>0</v>
      </c>
    </row>
    <row r="773" spans="5:12" x14ac:dyDescent="0.35">
      <c r="E773" s="2"/>
      <c r="F773" s="2">
        <f>_xlfn.XLOOKUP(D773,TIPOS_CAMBIO!A:A,TIPOS_CAMBIO!B:B,"",0)</f>
        <v>0</v>
      </c>
      <c r="G773" s="3">
        <f t="shared" si="24"/>
        <v>0</v>
      </c>
      <c r="H773" s="3"/>
      <c r="I773" s="3">
        <f ca="1">IFERROR(_xludf.XLOOKUP("Seguro",PARAMETROS_IMPORTACION!$A:$A,PARAMETROS_IMPORTACION!$C:$C,0),0)</f>
        <v>0</v>
      </c>
      <c r="J773" s="3">
        <f ca="1">IFERROR(_xludf.XLOOKUP("Arancel",PARAMETROS_IMPORTACION!$A:$A,PARAMETROS_IMPORTACION!$C:$C,0),0)</f>
        <v>0</v>
      </c>
      <c r="K773" s="2">
        <f ca="1">IFERROR(_xludf.XLOOKUP("Gastos_Aduana",PARAMETROS_IMPORTACION!$A:$A,PARAMETROS_IMPORTACION!$C:$C,0),0)</f>
        <v>0</v>
      </c>
      <c r="L773" s="2">
        <f t="shared" si="25"/>
        <v>0</v>
      </c>
    </row>
    <row r="774" spans="5:12" x14ac:dyDescent="0.35">
      <c r="E774" s="2"/>
      <c r="F774" s="2">
        <f>_xlfn.XLOOKUP(D774,TIPOS_CAMBIO!A:A,TIPOS_CAMBIO!B:B,"",0)</f>
        <v>0</v>
      </c>
      <c r="G774" s="3">
        <f t="shared" si="24"/>
        <v>0</v>
      </c>
      <c r="H774" s="3"/>
      <c r="I774" s="3">
        <f ca="1">IFERROR(_xludf.XLOOKUP("Seguro",PARAMETROS_IMPORTACION!$A:$A,PARAMETROS_IMPORTACION!$C:$C,0),0)</f>
        <v>0</v>
      </c>
      <c r="J774" s="3">
        <f ca="1">IFERROR(_xludf.XLOOKUP("Arancel",PARAMETROS_IMPORTACION!$A:$A,PARAMETROS_IMPORTACION!$C:$C,0),0)</f>
        <v>0</v>
      </c>
      <c r="K774" s="2">
        <f ca="1">IFERROR(_xludf.XLOOKUP("Gastos_Aduana",PARAMETROS_IMPORTACION!$A:$A,PARAMETROS_IMPORTACION!$C:$C,0),0)</f>
        <v>0</v>
      </c>
      <c r="L774" s="2">
        <f t="shared" si="25"/>
        <v>0</v>
      </c>
    </row>
    <row r="775" spans="5:12" x14ac:dyDescent="0.35">
      <c r="E775" s="2"/>
      <c r="F775" s="2">
        <f>_xlfn.XLOOKUP(D775,TIPOS_CAMBIO!A:A,TIPOS_CAMBIO!B:B,"",0)</f>
        <v>0</v>
      </c>
      <c r="G775" s="3">
        <f t="shared" si="24"/>
        <v>0</v>
      </c>
      <c r="H775" s="3"/>
      <c r="I775" s="3">
        <f ca="1">IFERROR(_xludf.XLOOKUP("Seguro",PARAMETROS_IMPORTACION!$A:$A,PARAMETROS_IMPORTACION!$C:$C,0),0)</f>
        <v>0</v>
      </c>
      <c r="J775" s="3">
        <f ca="1">IFERROR(_xludf.XLOOKUP("Arancel",PARAMETROS_IMPORTACION!$A:$A,PARAMETROS_IMPORTACION!$C:$C,0),0)</f>
        <v>0</v>
      </c>
      <c r="K775" s="2">
        <f ca="1">IFERROR(_xludf.XLOOKUP("Gastos_Aduana",PARAMETROS_IMPORTACION!$A:$A,PARAMETROS_IMPORTACION!$C:$C,0),0)</f>
        <v>0</v>
      </c>
      <c r="L775" s="2">
        <f t="shared" si="25"/>
        <v>0</v>
      </c>
    </row>
    <row r="776" spans="5:12" x14ac:dyDescent="0.35">
      <c r="E776" s="2"/>
      <c r="F776" s="2">
        <f>_xlfn.XLOOKUP(D776,TIPOS_CAMBIO!A:A,TIPOS_CAMBIO!B:B,"",0)</f>
        <v>0</v>
      </c>
      <c r="G776" s="3">
        <f t="shared" si="24"/>
        <v>0</v>
      </c>
      <c r="H776" s="3"/>
      <c r="I776" s="3">
        <f ca="1">IFERROR(_xludf.XLOOKUP("Seguro",PARAMETROS_IMPORTACION!$A:$A,PARAMETROS_IMPORTACION!$C:$C,0),0)</f>
        <v>0</v>
      </c>
      <c r="J776" s="3">
        <f ca="1">IFERROR(_xludf.XLOOKUP("Arancel",PARAMETROS_IMPORTACION!$A:$A,PARAMETROS_IMPORTACION!$C:$C,0),0)</f>
        <v>0</v>
      </c>
      <c r="K776" s="2">
        <f ca="1">IFERROR(_xludf.XLOOKUP("Gastos_Aduana",PARAMETROS_IMPORTACION!$A:$A,PARAMETROS_IMPORTACION!$C:$C,0),0)</f>
        <v>0</v>
      </c>
      <c r="L776" s="2">
        <f t="shared" si="25"/>
        <v>0</v>
      </c>
    </row>
    <row r="777" spans="5:12" x14ac:dyDescent="0.35">
      <c r="E777" s="2"/>
      <c r="F777" s="2">
        <f>_xlfn.XLOOKUP(D777,TIPOS_CAMBIO!A:A,TIPOS_CAMBIO!B:B,"",0)</f>
        <v>0</v>
      </c>
      <c r="G777" s="3">
        <f t="shared" si="24"/>
        <v>0</v>
      </c>
      <c r="H777" s="3"/>
      <c r="I777" s="3">
        <f ca="1">IFERROR(_xludf.XLOOKUP("Seguro",PARAMETROS_IMPORTACION!$A:$A,PARAMETROS_IMPORTACION!$C:$C,0),0)</f>
        <v>0</v>
      </c>
      <c r="J777" s="3">
        <f ca="1">IFERROR(_xludf.XLOOKUP("Arancel",PARAMETROS_IMPORTACION!$A:$A,PARAMETROS_IMPORTACION!$C:$C,0),0)</f>
        <v>0</v>
      </c>
      <c r="K777" s="2">
        <f ca="1">IFERROR(_xludf.XLOOKUP("Gastos_Aduana",PARAMETROS_IMPORTACION!$A:$A,PARAMETROS_IMPORTACION!$C:$C,0),0)</f>
        <v>0</v>
      </c>
      <c r="L777" s="2">
        <f t="shared" si="25"/>
        <v>0</v>
      </c>
    </row>
    <row r="778" spans="5:12" x14ac:dyDescent="0.35">
      <c r="E778" s="2"/>
      <c r="F778" s="2">
        <f>_xlfn.XLOOKUP(D778,TIPOS_CAMBIO!A:A,TIPOS_CAMBIO!B:B,"",0)</f>
        <v>0</v>
      </c>
      <c r="G778" s="3">
        <f t="shared" si="24"/>
        <v>0</v>
      </c>
      <c r="H778" s="3"/>
      <c r="I778" s="3">
        <f ca="1">IFERROR(_xludf.XLOOKUP("Seguro",PARAMETROS_IMPORTACION!$A:$A,PARAMETROS_IMPORTACION!$C:$C,0),0)</f>
        <v>0</v>
      </c>
      <c r="J778" s="3">
        <f ca="1">IFERROR(_xludf.XLOOKUP("Arancel",PARAMETROS_IMPORTACION!$A:$A,PARAMETROS_IMPORTACION!$C:$C,0),0)</f>
        <v>0</v>
      </c>
      <c r="K778" s="2">
        <f ca="1">IFERROR(_xludf.XLOOKUP("Gastos_Aduana",PARAMETROS_IMPORTACION!$A:$A,PARAMETROS_IMPORTACION!$C:$C,0),0)</f>
        <v>0</v>
      </c>
      <c r="L778" s="2">
        <f t="shared" si="25"/>
        <v>0</v>
      </c>
    </row>
    <row r="779" spans="5:12" x14ac:dyDescent="0.35">
      <c r="E779" s="2"/>
      <c r="F779" s="2">
        <f>_xlfn.XLOOKUP(D779,TIPOS_CAMBIO!A:A,TIPOS_CAMBIO!B:B,"",0)</f>
        <v>0</v>
      </c>
      <c r="G779" s="3">
        <f t="shared" si="24"/>
        <v>0</v>
      </c>
      <c r="H779" s="3"/>
      <c r="I779" s="3">
        <f ca="1">IFERROR(_xludf.XLOOKUP("Seguro",PARAMETROS_IMPORTACION!$A:$A,PARAMETROS_IMPORTACION!$C:$C,0),0)</f>
        <v>0</v>
      </c>
      <c r="J779" s="3">
        <f ca="1">IFERROR(_xludf.XLOOKUP("Arancel",PARAMETROS_IMPORTACION!$A:$A,PARAMETROS_IMPORTACION!$C:$C,0),0)</f>
        <v>0</v>
      </c>
      <c r="K779" s="2">
        <f ca="1">IFERROR(_xludf.XLOOKUP("Gastos_Aduana",PARAMETROS_IMPORTACION!$A:$A,PARAMETROS_IMPORTACION!$C:$C,0),0)</f>
        <v>0</v>
      </c>
      <c r="L779" s="2">
        <f t="shared" si="25"/>
        <v>0</v>
      </c>
    </row>
    <row r="780" spans="5:12" x14ac:dyDescent="0.35">
      <c r="E780" s="2"/>
      <c r="F780" s="2">
        <f>_xlfn.XLOOKUP(D780,TIPOS_CAMBIO!A:A,TIPOS_CAMBIO!B:B,"",0)</f>
        <v>0</v>
      </c>
      <c r="G780" s="3">
        <f t="shared" si="24"/>
        <v>0</v>
      </c>
      <c r="H780" s="3"/>
      <c r="I780" s="3">
        <f ca="1">IFERROR(_xludf.XLOOKUP("Seguro",PARAMETROS_IMPORTACION!$A:$A,PARAMETROS_IMPORTACION!$C:$C,0),0)</f>
        <v>0</v>
      </c>
      <c r="J780" s="3">
        <f ca="1">IFERROR(_xludf.XLOOKUP("Arancel",PARAMETROS_IMPORTACION!$A:$A,PARAMETROS_IMPORTACION!$C:$C,0),0)</f>
        <v>0</v>
      </c>
      <c r="K780" s="2">
        <f ca="1">IFERROR(_xludf.XLOOKUP("Gastos_Aduana",PARAMETROS_IMPORTACION!$A:$A,PARAMETROS_IMPORTACION!$C:$C,0),0)</f>
        <v>0</v>
      </c>
      <c r="L780" s="2">
        <f t="shared" si="25"/>
        <v>0</v>
      </c>
    </row>
    <row r="781" spans="5:12" x14ac:dyDescent="0.35">
      <c r="E781" s="2"/>
      <c r="F781" s="2">
        <f>_xlfn.XLOOKUP(D781,TIPOS_CAMBIO!A:A,TIPOS_CAMBIO!B:B,"",0)</f>
        <v>0</v>
      </c>
      <c r="G781" s="3">
        <f t="shared" si="24"/>
        <v>0</v>
      </c>
      <c r="H781" s="3"/>
      <c r="I781" s="3">
        <f ca="1">IFERROR(_xludf.XLOOKUP("Seguro",PARAMETROS_IMPORTACION!$A:$A,PARAMETROS_IMPORTACION!$C:$C,0),0)</f>
        <v>0</v>
      </c>
      <c r="J781" s="3">
        <f ca="1">IFERROR(_xludf.XLOOKUP("Arancel",PARAMETROS_IMPORTACION!$A:$A,PARAMETROS_IMPORTACION!$C:$C,0),0)</f>
        <v>0</v>
      </c>
      <c r="K781" s="2">
        <f ca="1">IFERROR(_xludf.XLOOKUP("Gastos_Aduana",PARAMETROS_IMPORTACION!$A:$A,PARAMETROS_IMPORTACION!$C:$C,0),0)</f>
        <v>0</v>
      </c>
      <c r="L781" s="2">
        <f t="shared" si="25"/>
        <v>0</v>
      </c>
    </row>
    <row r="782" spans="5:12" x14ac:dyDescent="0.35">
      <c r="E782" s="2"/>
      <c r="F782" s="2">
        <f>_xlfn.XLOOKUP(D782,TIPOS_CAMBIO!A:A,TIPOS_CAMBIO!B:B,"",0)</f>
        <v>0</v>
      </c>
      <c r="G782" s="3">
        <f t="shared" si="24"/>
        <v>0</v>
      </c>
      <c r="H782" s="3"/>
      <c r="I782" s="3">
        <f ca="1">IFERROR(_xludf.XLOOKUP("Seguro",PARAMETROS_IMPORTACION!$A:$A,PARAMETROS_IMPORTACION!$C:$C,0),0)</f>
        <v>0</v>
      </c>
      <c r="J782" s="3">
        <f ca="1">IFERROR(_xludf.XLOOKUP("Arancel",PARAMETROS_IMPORTACION!$A:$A,PARAMETROS_IMPORTACION!$C:$C,0),0)</f>
        <v>0</v>
      </c>
      <c r="K782" s="2">
        <f ca="1">IFERROR(_xludf.XLOOKUP("Gastos_Aduana",PARAMETROS_IMPORTACION!$A:$A,PARAMETROS_IMPORTACION!$C:$C,0),0)</f>
        <v>0</v>
      </c>
      <c r="L782" s="2">
        <f t="shared" si="25"/>
        <v>0</v>
      </c>
    </row>
    <row r="783" spans="5:12" x14ac:dyDescent="0.35">
      <c r="E783" s="2"/>
      <c r="F783" s="2">
        <f>_xlfn.XLOOKUP(D783,TIPOS_CAMBIO!A:A,TIPOS_CAMBIO!B:B,"",0)</f>
        <v>0</v>
      </c>
      <c r="G783" s="3">
        <f t="shared" si="24"/>
        <v>0</v>
      </c>
      <c r="H783" s="3"/>
      <c r="I783" s="3">
        <f ca="1">IFERROR(_xludf.XLOOKUP("Seguro",PARAMETROS_IMPORTACION!$A:$A,PARAMETROS_IMPORTACION!$C:$C,0),0)</f>
        <v>0</v>
      </c>
      <c r="J783" s="3">
        <f ca="1">IFERROR(_xludf.XLOOKUP("Arancel",PARAMETROS_IMPORTACION!$A:$A,PARAMETROS_IMPORTACION!$C:$C,0),0)</f>
        <v>0</v>
      </c>
      <c r="K783" s="2">
        <f ca="1">IFERROR(_xludf.XLOOKUP("Gastos_Aduana",PARAMETROS_IMPORTACION!$A:$A,PARAMETROS_IMPORTACION!$C:$C,0),0)</f>
        <v>0</v>
      </c>
      <c r="L783" s="2">
        <f t="shared" si="25"/>
        <v>0</v>
      </c>
    </row>
    <row r="784" spans="5:12" x14ac:dyDescent="0.35">
      <c r="E784" s="2"/>
      <c r="F784" s="2">
        <f>_xlfn.XLOOKUP(D784,TIPOS_CAMBIO!A:A,TIPOS_CAMBIO!B:B,"",0)</f>
        <v>0</v>
      </c>
      <c r="G784" s="3">
        <f t="shared" si="24"/>
        <v>0</v>
      </c>
      <c r="H784" s="3"/>
      <c r="I784" s="3">
        <f ca="1">IFERROR(_xludf.XLOOKUP("Seguro",PARAMETROS_IMPORTACION!$A:$A,PARAMETROS_IMPORTACION!$C:$C,0),0)</f>
        <v>0</v>
      </c>
      <c r="J784" s="3">
        <f ca="1">IFERROR(_xludf.XLOOKUP("Arancel",PARAMETROS_IMPORTACION!$A:$A,PARAMETROS_IMPORTACION!$C:$C,0),0)</f>
        <v>0</v>
      </c>
      <c r="K784" s="2">
        <f ca="1">IFERROR(_xludf.XLOOKUP("Gastos_Aduana",PARAMETROS_IMPORTACION!$A:$A,PARAMETROS_IMPORTACION!$C:$C,0),0)</f>
        <v>0</v>
      </c>
      <c r="L784" s="2">
        <f t="shared" si="25"/>
        <v>0</v>
      </c>
    </row>
    <row r="785" spans="5:12" x14ac:dyDescent="0.35">
      <c r="E785" s="2"/>
      <c r="F785" s="2">
        <f>_xlfn.XLOOKUP(D785,TIPOS_CAMBIO!A:A,TIPOS_CAMBIO!B:B,"",0)</f>
        <v>0</v>
      </c>
      <c r="G785" s="3">
        <f t="shared" si="24"/>
        <v>0</v>
      </c>
      <c r="H785" s="3"/>
      <c r="I785" s="3">
        <f ca="1">IFERROR(_xludf.XLOOKUP("Seguro",PARAMETROS_IMPORTACION!$A:$A,PARAMETROS_IMPORTACION!$C:$C,0),0)</f>
        <v>0</v>
      </c>
      <c r="J785" s="3">
        <f ca="1">IFERROR(_xludf.XLOOKUP("Arancel",PARAMETROS_IMPORTACION!$A:$A,PARAMETROS_IMPORTACION!$C:$C,0),0)</f>
        <v>0</v>
      </c>
      <c r="K785" s="2">
        <f ca="1">IFERROR(_xludf.XLOOKUP("Gastos_Aduana",PARAMETROS_IMPORTACION!$A:$A,PARAMETROS_IMPORTACION!$C:$C,0),0)</f>
        <v>0</v>
      </c>
      <c r="L785" s="2">
        <f t="shared" si="25"/>
        <v>0</v>
      </c>
    </row>
    <row r="786" spans="5:12" x14ac:dyDescent="0.35">
      <c r="E786" s="2"/>
      <c r="F786" s="2">
        <f>_xlfn.XLOOKUP(D786,TIPOS_CAMBIO!A:A,TIPOS_CAMBIO!B:B,"",0)</f>
        <v>0</v>
      </c>
      <c r="G786" s="3">
        <f t="shared" si="24"/>
        <v>0</v>
      </c>
      <c r="H786" s="3"/>
      <c r="I786" s="3">
        <f ca="1">IFERROR(_xludf.XLOOKUP("Seguro",PARAMETROS_IMPORTACION!$A:$A,PARAMETROS_IMPORTACION!$C:$C,0),0)</f>
        <v>0</v>
      </c>
      <c r="J786" s="3">
        <f ca="1">IFERROR(_xludf.XLOOKUP("Arancel",PARAMETROS_IMPORTACION!$A:$A,PARAMETROS_IMPORTACION!$C:$C,0),0)</f>
        <v>0</v>
      </c>
      <c r="K786" s="2">
        <f ca="1">IFERROR(_xludf.XLOOKUP("Gastos_Aduana",PARAMETROS_IMPORTACION!$A:$A,PARAMETROS_IMPORTACION!$C:$C,0),0)</f>
        <v>0</v>
      </c>
      <c r="L786" s="2">
        <f t="shared" si="25"/>
        <v>0</v>
      </c>
    </row>
    <row r="787" spans="5:12" x14ac:dyDescent="0.35">
      <c r="E787" s="2"/>
      <c r="F787" s="2">
        <f>_xlfn.XLOOKUP(D787,TIPOS_CAMBIO!A:A,TIPOS_CAMBIO!B:B,"",0)</f>
        <v>0</v>
      </c>
      <c r="G787" s="3">
        <f t="shared" si="24"/>
        <v>0</v>
      </c>
      <c r="H787" s="3"/>
      <c r="I787" s="3">
        <f ca="1">IFERROR(_xludf.XLOOKUP("Seguro",PARAMETROS_IMPORTACION!$A:$A,PARAMETROS_IMPORTACION!$C:$C,0),0)</f>
        <v>0</v>
      </c>
      <c r="J787" s="3">
        <f ca="1">IFERROR(_xludf.XLOOKUP("Arancel",PARAMETROS_IMPORTACION!$A:$A,PARAMETROS_IMPORTACION!$C:$C,0),0)</f>
        <v>0</v>
      </c>
      <c r="K787" s="2">
        <f ca="1">IFERROR(_xludf.XLOOKUP("Gastos_Aduana",PARAMETROS_IMPORTACION!$A:$A,PARAMETROS_IMPORTACION!$C:$C,0),0)</f>
        <v>0</v>
      </c>
      <c r="L787" s="2">
        <f t="shared" si="25"/>
        <v>0</v>
      </c>
    </row>
    <row r="788" spans="5:12" x14ac:dyDescent="0.35">
      <c r="E788" s="2"/>
      <c r="F788" s="2">
        <f>_xlfn.XLOOKUP(D788,TIPOS_CAMBIO!A:A,TIPOS_CAMBIO!B:B,"",0)</f>
        <v>0</v>
      </c>
      <c r="G788" s="3">
        <f t="shared" si="24"/>
        <v>0</v>
      </c>
      <c r="H788" s="3"/>
      <c r="I788" s="3">
        <f ca="1">IFERROR(_xludf.XLOOKUP("Seguro",PARAMETROS_IMPORTACION!$A:$A,PARAMETROS_IMPORTACION!$C:$C,0),0)</f>
        <v>0</v>
      </c>
      <c r="J788" s="3">
        <f ca="1">IFERROR(_xludf.XLOOKUP("Arancel",PARAMETROS_IMPORTACION!$A:$A,PARAMETROS_IMPORTACION!$C:$C,0),0)</f>
        <v>0</v>
      </c>
      <c r="K788" s="2">
        <f ca="1">IFERROR(_xludf.XLOOKUP("Gastos_Aduana",PARAMETROS_IMPORTACION!$A:$A,PARAMETROS_IMPORTACION!$C:$C,0),0)</f>
        <v>0</v>
      </c>
      <c r="L788" s="2">
        <f t="shared" si="25"/>
        <v>0</v>
      </c>
    </row>
    <row r="789" spans="5:12" x14ac:dyDescent="0.35">
      <c r="E789" s="2"/>
      <c r="F789" s="2">
        <f>_xlfn.XLOOKUP(D789,TIPOS_CAMBIO!A:A,TIPOS_CAMBIO!B:B,"",0)</f>
        <v>0</v>
      </c>
      <c r="G789" s="3">
        <f t="shared" si="24"/>
        <v>0</v>
      </c>
      <c r="H789" s="3"/>
      <c r="I789" s="3">
        <f ca="1">IFERROR(_xludf.XLOOKUP("Seguro",PARAMETROS_IMPORTACION!$A:$A,PARAMETROS_IMPORTACION!$C:$C,0),0)</f>
        <v>0</v>
      </c>
      <c r="J789" s="3">
        <f ca="1">IFERROR(_xludf.XLOOKUP("Arancel",PARAMETROS_IMPORTACION!$A:$A,PARAMETROS_IMPORTACION!$C:$C,0),0)</f>
        <v>0</v>
      </c>
      <c r="K789" s="2">
        <f ca="1">IFERROR(_xludf.XLOOKUP("Gastos_Aduana",PARAMETROS_IMPORTACION!$A:$A,PARAMETROS_IMPORTACION!$C:$C,0),0)</f>
        <v>0</v>
      </c>
      <c r="L789" s="2">
        <f t="shared" si="25"/>
        <v>0</v>
      </c>
    </row>
    <row r="790" spans="5:12" x14ac:dyDescent="0.35">
      <c r="E790" s="2"/>
      <c r="F790" s="2">
        <f>_xlfn.XLOOKUP(D790,TIPOS_CAMBIO!A:A,TIPOS_CAMBIO!B:B,"",0)</f>
        <v>0</v>
      </c>
      <c r="G790" s="3">
        <f t="shared" si="24"/>
        <v>0</v>
      </c>
      <c r="H790" s="3"/>
      <c r="I790" s="3">
        <f ca="1">IFERROR(_xludf.XLOOKUP("Seguro",PARAMETROS_IMPORTACION!$A:$A,PARAMETROS_IMPORTACION!$C:$C,0),0)</f>
        <v>0</v>
      </c>
      <c r="J790" s="3">
        <f ca="1">IFERROR(_xludf.XLOOKUP("Arancel",PARAMETROS_IMPORTACION!$A:$A,PARAMETROS_IMPORTACION!$C:$C,0),0)</f>
        <v>0</v>
      </c>
      <c r="K790" s="2">
        <f ca="1">IFERROR(_xludf.XLOOKUP("Gastos_Aduana",PARAMETROS_IMPORTACION!$A:$A,PARAMETROS_IMPORTACION!$C:$C,0),0)</f>
        <v>0</v>
      </c>
      <c r="L790" s="2">
        <f t="shared" si="25"/>
        <v>0</v>
      </c>
    </row>
    <row r="791" spans="5:12" x14ac:dyDescent="0.35">
      <c r="E791" s="2"/>
      <c r="F791" s="2">
        <f>_xlfn.XLOOKUP(D791,TIPOS_CAMBIO!A:A,TIPOS_CAMBIO!B:B,"",0)</f>
        <v>0</v>
      </c>
      <c r="G791" s="3">
        <f t="shared" si="24"/>
        <v>0</v>
      </c>
      <c r="H791" s="3"/>
      <c r="I791" s="3">
        <f ca="1">IFERROR(_xludf.XLOOKUP("Seguro",PARAMETROS_IMPORTACION!$A:$A,PARAMETROS_IMPORTACION!$C:$C,0),0)</f>
        <v>0</v>
      </c>
      <c r="J791" s="3">
        <f ca="1">IFERROR(_xludf.XLOOKUP("Arancel",PARAMETROS_IMPORTACION!$A:$A,PARAMETROS_IMPORTACION!$C:$C,0),0)</f>
        <v>0</v>
      </c>
      <c r="K791" s="2">
        <f ca="1">IFERROR(_xludf.XLOOKUP("Gastos_Aduana",PARAMETROS_IMPORTACION!$A:$A,PARAMETROS_IMPORTACION!$C:$C,0),0)</f>
        <v>0</v>
      </c>
      <c r="L791" s="2">
        <f t="shared" si="25"/>
        <v>0</v>
      </c>
    </row>
    <row r="792" spans="5:12" x14ac:dyDescent="0.35">
      <c r="E792" s="2"/>
      <c r="F792" s="2">
        <f>_xlfn.XLOOKUP(D792,TIPOS_CAMBIO!A:A,TIPOS_CAMBIO!B:B,"",0)</f>
        <v>0</v>
      </c>
      <c r="G792" s="3">
        <f t="shared" si="24"/>
        <v>0</v>
      </c>
      <c r="H792" s="3"/>
      <c r="I792" s="3">
        <f ca="1">IFERROR(_xludf.XLOOKUP("Seguro",PARAMETROS_IMPORTACION!$A:$A,PARAMETROS_IMPORTACION!$C:$C,0),0)</f>
        <v>0</v>
      </c>
      <c r="J792" s="3">
        <f ca="1">IFERROR(_xludf.XLOOKUP("Arancel",PARAMETROS_IMPORTACION!$A:$A,PARAMETROS_IMPORTACION!$C:$C,0),0)</f>
        <v>0</v>
      </c>
      <c r="K792" s="2">
        <f ca="1">IFERROR(_xludf.XLOOKUP("Gastos_Aduana",PARAMETROS_IMPORTACION!$A:$A,PARAMETROS_IMPORTACION!$C:$C,0),0)</f>
        <v>0</v>
      </c>
      <c r="L792" s="2">
        <f t="shared" si="25"/>
        <v>0</v>
      </c>
    </row>
    <row r="793" spans="5:12" x14ac:dyDescent="0.35">
      <c r="E793" s="2"/>
      <c r="F793" s="2">
        <f>_xlfn.XLOOKUP(D793,TIPOS_CAMBIO!A:A,TIPOS_CAMBIO!B:B,"",0)</f>
        <v>0</v>
      </c>
      <c r="G793" s="3">
        <f t="shared" si="24"/>
        <v>0</v>
      </c>
      <c r="H793" s="3"/>
      <c r="I793" s="3">
        <f ca="1">IFERROR(_xludf.XLOOKUP("Seguro",PARAMETROS_IMPORTACION!$A:$A,PARAMETROS_IMPORTACION!$C:$C,0),0)</f>
        <v>0</v>
      </c>
      <c r="J793" s="3">
        <f ca="1">IFERROR(_xludf.XLOOKUP("Arancel",PARAMETROS_IMPORTACION!$A:$A,PARAMETROS_IMPORTACION!$C:$C,0),0)</f>
        <v>0</v>
      </c>
      <c r="K793" s="2">
        <f ca="1">IFERROR(_xludf.XLOOKUP("Gastos_Aduana",PARAMETROS_IMPORTACION!$A:$A,PARAMETROS_IMPORTACION!$C:$C,0),0)</f>
        <v>0</v>
      </c>
      <c r="L793" s="2">
        <f t="shared" si="25"/>
        <v>0</v>
      </c>
    </row>
    <row r="794" spans="5:12" x14ac:dyDescent="0.35">
      <c r="E794" s="2"/>
      <c r="F794" s="2">
        <f>_xlfn.XLOOKUP(D794,TIPOS_CAMBIO!A:A,TIPOS_CAMBIO!B:B,"",0)</f>
        <v>0</v>
      </c>
      <c r="G794" s="3">
        <f t="shared" si="24"/>
        <v>0</v>
      </c>
      <c r="H794" s="3"/>
      <c r="I794" s="3">
        <f ca="1">IFERROR(_xludf.XLOOKUP("Seguro",PARAMETROS_IMPORTACION!$A:$A,PARAMETROS_IMPORTACION!$C:$C,0),0)</f>
        <v>0</v>
      </c>
      <c r="J794" s="3">
        <f ca="1">IFERROR(_xludf.XLOOKUP("Arancel",PARAMETROS_IMPORTACION!$A:$A,PARAMETROS_IMPORTACION!$C:$C,0),0)</f>
        <v>0</v>
      </c>
      <c r="K794" s="2">
        <f ca="1">IFERROR(_xludf.XLOOKUP("Gastos_Aduana",PARAMETROS_IMPORTACION!$A:$A,PARAMETROS_IMPORTACION!$C:$C,0),0)</f>
        <v>0</v>
      </c>
      <c r="L794" s="2">
        <f t="shared" si="25"/>
        <v>0</v>
      </c>
    </row>
    <row r="795" spans="5:12" x14ac:dyDescent="0.35">
      <c r="E795" s="2"/>
      <c r="F795" s="2">
        <f>_xlfn.XLOOKUP(D795,TIPOS_CAMBIO!A:A,TIPOS_CAMBIO!B:B,"",0)</f>
        <v>0</v>
      </c>
      <c r="G795" s="3">
        <f t="shared" si="24"/>
        <v>0</v>
      </c>
      <c r="H795" s="3"/>
      <c r="I795" s="3">
        <f ca="1">IFERROR(_xludf.XLOOKUP("Seguro",PARAMETROS_IMPORTACION!$A:$A,PARAMETROS_IMPORTACION!$C:$C,0),0)</f>
        <v>0</v>
      </c>
      <c r="J795" s="3">
        <f ca="1">IFERROR(_xludf.XLOOKUP("Arancel",PARAMETROS_IMPORTACION!$A:$A,PARAMETROS_IMPORTACION!$C:$C,0),0)</f>
        <v>0</v>
      </c>
      <c r="K795" s="2">
        <f ca="1">IFERROR(_xludf.XLOOKUP("Gastos_Aduana",PARAMETROS_IMPORTACION!$A:$A,PARAMETROS_IMPORTACION!$C:$C,0),0)</f>
        <v>0</v>
      </c>
      <c r="L795" s="2">
        <f t="shared" si="25"/>
        <v>0</v>
      </c>
    </row>
    <row r="796" spans="5:12" x14ac:dyDescent="0.35">
      <c r="E796" s="2"/>
      <c r="F796" s="2">
        <f>_xlfn.XLOOKUP(D796,TIPOS_CAMBIO!A:A,TIPOS_CAMBIO!B:B,"",0)</f>
        <v>0</v>
      </c>
      <c r="G796" s="3">
        <f t="shared" si="24"/>
        <v>0</v>
      </c>
      <c r="H796" s="3"/>
      <c r="I796" s="3">
        <f ca="1">IFERROR(_xludf.XLOOKUP("Seguro",PARAMETROS_IMPORTACION!$A:$A,PARAMETROS_IMPORTACION!$C:$C,0),0)</f>
        <v>0</v>
      </c>
      <c r="J796" s="3">
        <f ca="1">IFERROR(_xludf.XLOOKUP("Arancel",PARAMETROS_IMPORTACION!$A:$A,PARAMETROS_IMPORTACION!$C:$C,0),0)</f>
        <v>0</v>
      </c>
      <c r="K796" s="2">
        <f ca="1">IFERROR(_xludf.XLOOKUP("Gastos_Aduana",PARAMETROS_IMPORTACION!$A:$A,PARAMETROS_IMPORTACION!$C:$C,0),0)</f>
        <v>0</v>
      </c>
      <c r="L796" s="2">
        <f t="shared" si="25"/>
        <v>0</v>
      </c>
    </row>
    <row r="797" spans="5:12" x14ac:dyDescent="0.35">
      <c r="E797" s="2"/>
      <c r="F797" s="2">
        <f>_xlfn.XLOOKUP(D797,TIPOS_CAMBIO!A:A,TIPOS_CAMBIO!B:B,"",0)</f>
        <v>0</v>
      </c>
      <c r="G797" s="3">
        <f t="shared" si="24"/>
        <v>0</v>
      </c>
      <c r="H797" s="3"/>
      <c r="I797" s="3">
        <f ca="1">IFERROR(_xludf.XLOOKUP("Seguro",PARAMETROS_IMPORTACION!$A:$A,PARAMETROS_IMPORTACION!$C:$C,0),0)</f>
        <v>0</v>
      </c>
      <c r="J797" s="3">
        <f ca="1">IFERROR(_xludf.XLOOKUP("Arancel",PARAMETROS_IMPORTACION!$A:$A,PARAMETROS_IMPORTACION!$C:$C,0),0)</f>
        <v>0</v>
      </c>
      <c r="K797" s="2">
        <f ca="1">IFERROR(_xludf.XLOOKUP("Gastos_Aduana",PARAMETROS_IMPORTACION!$A:$A,PARAMETROS_IMPORTACION!$C:$C,0),0)</f>
        <v>0</v>
      </c>
      <c r="L797" s="2">
        <f t="shared" si="25"/>
        <v>0</v>
      </c>
    </row>
    <row r="798" spans="5:12" x14ac:dyDescent="0.35">
      <c r="E798" s="2"/>
      <c r="F798" s="2">
        <f>_xlfn.XLOOKUP(D798,TIPOS_CAMBIO!A:A,TIPOS_CAMBIO!B:B,"",0)</f>
        <v>0</v>
      </c>
      <c r="G798" s="3">
        <f t="shared" si="24"/>
        <v>0</v>
      </c>
      <c r="H798" s="3"/>
      <c r="I798" s="3">
        <f ca="1">IFERROR(_xludf.XLOOKUP("Seguro",PARAMETROS_IMPORTACION!$A:$A,PARAMETROS_IMPORTACION!$C:$C,0),0)</f>
        <v>0</v>
      </c>
      <c r="J798" s="3">
        <f ca="1">IFERROR(_xludf.XLOOKUP("Arancel",PARAMETROS_IMPORTACION!$A:$A,PARAMETROS_IMPORTACION!$C:$C,0),0)</f>
        <v>0</v>
      </c>
      <c r="K798" s="2">
        <f ca="1">IFERROR(_xludf.XLOOKUP("Gastos_Aduana",PARAMETROS_IMPORTACION!$A:$A,PARAMETROS_IMPORTACION!$C:$C,0),0)</f>
        <v>0</v>
      </c>
      <c r="L798" s="2">
        <f t="shared" si="25"/>
        <v>0</v>
      </c>
    </row>
    <row r="799" spans="5:12" x14ac:dyDescent="0.35">
      <c r="E799" s="2"/>
      <c r="F799" s="2">
        <f>_xlfn.XLOOKUP(D799,TIPOS_CAMBIO!A:A,TIPOS_CAMBIO!B:B,"",0)</f>
        <v>0</v>
      </c>
      <c r="G799" s="3">
        <f t="shared" si="24"/>
        <v>0</v>
      </c>
      <c r="H799" s="3"/>
      <c r="I799" s="3">
        <f ca="1">IFERROR(_xludf.XLOOKUP("Seguro",PARAMETROS_IMPORTACION!$A:$A,PARAMETROS_IMPORTACION!$C:$C,0),0)</f>
        <v>0</v>
      </c>
      <c r="J799" s="3">
        <f ca="1">IFERROR(_xludf.XLOOKUP("Arancel",PARAMETROS_IMPORTACION!$A:$A,PARAMETROS_IMPORTACION!$C:$C,0),0)</f>
        <v>0</v>
      </c>
      <c r="K799" s="2">
        <f ca="1">IFERROR(_xludf.XLOOKUP("Gastos_Aduana",PARAMETROS_IMPORTACION!$A:$A,PARAMETROS_IMPORTACION!$C:$C,0),0)</f>
        <v>0</v>
      </c>
      <c r="L799" s="2">
        <f t="shared" si="25"/>
        <v>0</v>
      </c>
    </row>
    <row r="800" spans="5:12" x14ac:dyDescent="0.35">
      <c r="E800" s="2"/>
      <c r="F800" s="2">
        <f>_xlfn.XLOOKUP(D800,TIPOS_CAMBIO!A:A,TIPOS_CAMBIO!B:B,"",0)</f>
        <v>0</v>
      </c>
      <c r="G800" s="3">
        <f t="shared" si="24"/>
        <v>0</v>
      </c>
      <c r="H800" s="3"/>
      <c r="I800" s="3">
        <f ca="1">IFERROR(_xludf.XLOOKUP("Seguro",PARAMETROS_IMPORTACION!$A:$A,PARAMETROS_IMPORTACION!$C:$C,0),0)</f>
        <v>0</v>
      </c>
      <c r="J800" s="3">
        <f ca="1">IFERROR(_xludf.XLOOKUP("Arancel",PARAMETROS_IMPORTACION!$A:$A,PARAMETROS_IMPORTACION!$C:$C,0),0)</f>
        <v>0</v>
      </c>
      <c r="K800" s="2">
        <f ca="1">IFERROR(_xludf.XLOOKUP("Gastos_Aduana",PARAMETROS_IMPORTACION!$A:$A,PARAMETROS_IMPORTACION!$C:$C,0),0)</f>
        <v>0</v>
      </c>
      <c r="L800" s="2">
        <f t="shared" si="25"/>
        <v>0</v>
      </c>
    </row>
    <row r="801" spans="5:12" x14ac:dyDescent="0.35">
      <c r="E801" s="2"/>
      <c r="F801" s="2">
        <f>_xlfn.XLOOKUP(D801,TIPOS_CAMBIO!A:A,TIPOS_CAMBIO!B:B,"",0)</f>
        <v>0</v>
      </c>
      <c r="G801" s="3">
        <f t="shared" si="24"/>
        <v>0</v>
      </c>
      <c r="H801" s="3"/>
      <c r="I801" s="3">
        <f ca="1">IFERROR(_xludf.XLOOKUP("Seguro",PARAMETROS_IMPORTACION!$A:$A,PARAMETROS_IMPORTACION!$C:$C,0),0)</f>
        <v>0</v>
      </c>
      <c r="J801" s="3">
        <f ca="1">IFERROR(_xludf.XLOOKUP("Arancel",PARAMETROS_IMPORTACION!$A:$A,PARAMETROS_IMPORTACION!$C:$C,0),0)</f>
        <v>0</v>
      </c>
      <c r="K801" s="2">
        <f ca="1">IFERROR(_xludf.XLOOKUP("Gastos_Aduana",PARAMETROS_IMPORTACION!$A:$A,PARAMETROS_IMPORTACION!$C:$C,0),0)</f>
        <v>0</v>
      </c>
      <c r="L801" s="2">
        <f t="shared" si="25"/>
        <v>0</v>
      </c>
    </row>
    <row r="802" spans="5:12" x14ac:dyDescent="0.35">
      <c r="E802" s="2"/>
      <c r="F802" s="2">
        <f>_xlfn.XLOOKUP(D802,TIPOS_CAMBIO!A:A,TIPOS_CAMBIO!B:B,"",0)</f>
        <v>0</v>
      </c>
      <c r="G802" s="3">
        <f t="shared" si="24"/>
        <v>0</v>
      </c>
      <c r="H802" s="3"/>
      <c r="I802" s="3">
        <f ca="1">IFERROR(_xludf.XLOOKUP("Seguro",PARAMETROS_IMPORTACION!$A:$A,PARAMETROS_IMPORTACION!$C:$C,0),0)</f>
        <v>0</v>
      </c>
      <c r="J802" s="3">
        <f ca="1">IFERROR(_xludf.XLOOKUP("Arancel",PARAMETROS_IMPORTACION!$A:$A,PARAMETROS_IMPORTACION!$C:$C,0),0)</f>
        <v>0</v>
      </c>
      <c r="K802" s="2">
        <f ca="1">IFERROR(_xludf.XLOOKUP("Gastos_Aduana",PARAMETROS_IMPORTACION!$A:$A,PARAMETROS_IMPORTACION!$C:$C,0),0)</f>
        <v>0</v>
      </c>
      <c r="L802" s="2">
        <f t="shared" si="25"/>
        <v>0</v>
      </c>
    </row>
    <row r="803" spans="5:12" x14ac:dyDescent="0.35">
      <c r="E803" s="2"/>
      <c r="F803" s="2">
        <f>_xlfn.XLOOKUP(D803,TIPOS_CAMBIO!A:A,TIPOS_CAMBIO!B:B,"",0)</f>
        <v>0</v>
      </c>
      <c r="G803" s="3">
        <f t="shared" si="24"/>
        <v>0</v>
      </c>
      <c r="H803" s="3"/>
      <c r="I803" s="3">
        <f ca="1">IFERROR(_xludf.XLOOKUP("Seguro",PARAMETROS_IMPORTACION!$A:$A,PARAMETROS_IMPORTACION!$C:$C,0),0)</f>
        <v>0</v>
      </c>
      <c r="J803" s="3">
        <f ca="1">IFERROR(_xludf.XLOOKUP("Arancel",PARAMETROS_IMPORTACION!$A:$A,PARAMETROS_IMPORTACION!$C:$C,0),0)</f>
        <v>0</v>
      </c>
      <c r="K803" s="2">
        <f ca="1">IFERROR(_xludf.XLOOKUP("Gastos_Aduana",PARAMETROS_IMPORTACION!$A:$A,PARAMETROS_IMPORTACION!$C:$C,0),0)</f>
        <v>0</v>
      </c>
      <c r="L803" s="2">
        <f t="shared" si="25"/>
        <v>0</v>
      </c>
    </row>
    <row r="804" spans="5:12" x14ac:dyDescent="0.35">
      <c r="E804" s="2"/>
      <c r="F804" s="2">
        <f>_xlfn.XLOOKUP(D804,TIPOS_CAMBIO!A:A,TIPOS_CAMBIO!B:B,"",0)</f>
        <v>0</v>
      </c>
      <c r="G804" s="3">
        <f t="shared" si="24"/>
        <v>0</v>
      </c>
      <c r="H804" s="3"/>
      <c r="I804" s="3">
        <f ca="1">IFERROR(_xludf.XLOOKUP("Seguro",PARAMETROS_IMPORTACION!$A:$A,PARAMETROS_IMPORTACION!$C:$C,0),0)</f>
        <v>0</v>
      </c>
      <c r="J804" s="3">
        <f ca="1">IFERROR(_xludf.XLOOKUP("Arancel",PARAMETROS_IMPORTACION!$A:$A,PARAMETROS_IMPORTACION!$C:$C,0),0)</f>
        <v>0</v>
      </c>
      <c r="K804" s="2">
        <f ca="1">IFERROR(_xludf.XLOOKUP("Gastos_Aduana",PARAMETROS_IMPORTACION!$A:$A,PARAMETROS_IMPORTACION!$C:$C,0),0)</f>
        <v>0</v>
      </c>
      <c r="L804" s="2">
        <f t="shared" si="25"/>
        <v>0</v>
      </c>
    </row>
    <row r="805" spans="5:12" x14ac:dyDescent="0.35">
      <c r="E805" s="2"/>
      <c r="F805" s="2">
        <f>_xlfn.XLOOKUP(D805,TIPOS_CAMBIO!A:A,TIPOS_CAMBIO!B:B,"",0)</f>
        <v>0</v>
      </c>
      <c r="G805" s="3">
        <f t="shared" si="24"/>
        <v>0</v>
      </c>
      <c r="H805" s="3"/>
      <c r="I805" s="3">
        <f ca="1">IFERROR(_xludf.XLOOKUP("Seguro",PARAMETROS_IMPORTACION!$A:$A,PARAMETROS_IMPORTACION!$C:$C,0),0)</f>
        <v>0</v>
      </c>
      <c r="J805" s="3">
        <f ca="1">IFERROR(_xludf.XLOOKUP("Arancel",PARAMETROS_IMPORTACION!$A:$A,PARAMETROS_IMPORTACION!$C:$C,0),0)</f>
        <v>0</v>
      </c>
      <c r="K805" s="2">
        <f ca="1">IFERROR(_xludf.XLOOKUP("Gastos_Aduana",PARAMETROS_IMPORTACION!$A:$A,PARAMETROS_IMPORTACION!$C:$C,0),0)</f>
        <v>0</v>
      </c>
      <c r="L805" s="2">
        <f t="shared" si="25"/>
        <v>0</v>
      </c>
    </row>
    <row r="806" spans="5:12" x14ac:dyDescent="0.35">
      <c r="E806" s="2"/>
      <c r="F806" s="2">
        <f>_xlfn.XLOOKUP(D806,TIPOS_CAMBIO!A:A,TIPOS_CAMBIO!B:B,"",0)</f>
        <v>0</v>
      </c>
      <c r="G806" s="3">
        <f t="shared" si="24"/>
        <v>0</v>
      </c>
      <c r="H806" s="3"/>
      <c r="I806" s="3">
        <f ca="1">IFERROR(_xludf.XLOOKUP("Seguro",PARAMETROS_IMPORTACION!$A:$A,PARAMETROS_IMPORTACION!$C:$C,0),0)</f>
        <v>0</v>
      </c>
      <c r="J806" s="3">
        <f ca="1">IFERROR(_xludf.XLOOKUP("Arancel",PARAMETROS_IMPORTACION!$A:$A,PARAMETROS_IMPORTACION!$C:$C,0),0)</f>
        <v>0</v>
      </c>
      <c r="K806" s="2">
        <f ca="1">IFERROR(_xludf.XLOOKUP("Gastos_Aduana",PARAMETROS_IMPORTACION!$A:$A,PARAMETROS_IMPORTACION!$C:$C,0),0)</f>
        <v>0</v>
      </c>
      <c r="L806" s="2">
        <f t="shared" si="25"/>
        <v>0</v>
      </c>
    </row>
    <row r="807" spans="5:12" x14ac:dyDescent="0.35">
      <c r="E807" s="2"/>
      <c r="F807" s="2">
        <f>_xlfn.XLOOKUP(D807,TIPOS_CAMBIO!A:A,TIPOS_CAMBIO!B:B,"",0)</f>
        <v>0</v>
      </c>
      <c r="G807" s="3">
        <f t="shared" si="24"/>
        <v>0</v>
      </c>
      <c r="H807" s="3"/>
      <c r="I807" s="3">
        <f ca="1">IFERROR(_xludf.XLOOKUP("Seguro",PARAMETROS_IMPORTACION!$A:$A,PARAMETROS_IMPORTACION!$C:$C,0),0)</f>
        <v>0</v>
      </c>
      <c r="J807" s="3">
        <f ca="1">IFERROR(_xludf.XLOOKUP("Arancel",PARAMETROS_IMPORTACION!$A:$A,PARAMETROS_IMPORTACION!$C:$C,0),0)</f>
        <v>0</v>
      </c>
      <c r="K807" s="2">
        <f ca="1">IFERROR(_xludf.XLOOKUP("Gastos_Aduana",PARAMETROS_IMPORTACION!$A:$A,PARAMETROS_IMPORTACION!$C:$C,0),0)</f>
        <v>0</v>
      </c>
      <c r="L807" s="2">
        <f t="shared" si="25"/>
        <v>0</v>
      </c>
    </row>
    <row r="808" spans="5:12" x14ac:dyDescent="0.35">
      <c r="E808" s="2"/>
      <c r="F808" s="2">
        <f>_xlfn.XLOOKUP(D808,TIPOS_CAMBIO!A:A,TIPOS_CAMBIO!B:B,"",0)</f>
        <v>0</v>
      </c>
      <c r="G808" s="3">
        <f t="shared" si="24"/>
        <v>0</v>
      </c>
      <c r="H808" s="3"/>
      <c r="I808" s="3">
        <f ca="1">IFERROR(_xludf.XLOOKUP("Seguro",PARAMETROS_IMPORTACION!$A:$A,PARAMETROS_IMPORTACION!$C:$C,0),0)</f>
        <v>0</v>
      </c>
      <c r="J808" s="3">
        <f ca="1">IFERROR(_xludf.XLOOKUP("Arancel",PARAMETROS_IMPORTACION!$A:$A,PARAMETROS_IMPORTACION!$C:$C,0),0)</f>
        <v>0</v>
      </c>
      <c r="K808" s="2">
        <f ca="1">IFERROR(_xludf.XLOOKUP("Gastos_Aduana",PARAMETROS_IMPORTACION!$A:$A,PARAMETROS_IMPORTACION!$C:$C,0),0)</f>
        <v>0</v>
      </c>
      <c r="L808" s="2">
        <f t="shared" si="25"/>
        <v>0</v>
      </c>
    </row>
    <row r="809" spans="5:12" x14ac:dyDescent="0.35">
      <c r="E809" s="2"/>
      <c r="F809" s="2">
        <f>_xlfn.XLOOKUP(D809,TIPOS_CAMBIO!A:A,TIPOS_CAMBIO!B:B,"",0)</f>
        <v>0</v>
      </c>
      <c r="G809" s="3">
        <f t="shared" si="24"/>
        <v>0</v>
      </c>
      <c r="H809" s="3"/>
      <c r="I809" s="3">
        <f ca="1">IFERROR(_xludf.XLOOKUP("Seguro",PARAMETROS_IMPORTACION!$A:$A,PARAMETROS_IMPORTACION!$C:$C,0),0)</f>
        <v>0</v>
      </c>
      <c r="J809" s="3">
        <f ca="1">IFERROR(_xludf.XLOOKUP("Arancel",PARAMETROS_IMPORTACION!$A:$A,PARAMETROS_IMPORTACION!$C:$C,0),0)</f>
        <v>0</v>
      </c>
      <c r="K809" s="2">
        <f ca="1">IFERROR(_xludf.XLOOKUP("Gastos_Aduana",PARAMETROS_IMPORTACION!$A:$A,PARAMETROS_IMPORTACION!$C:$C,0),0)</f>
        <v>0</v>
      </c>
      <c r="L809" s="2">
        <f t="shared" si="25"/>
        <v>0</v>
      </c>
    </row>
    <row r="810" spans="5:12" x14ac:dyDescent="0.35">
      <c r="E810" s="2"/>
      <c r="F810" s="2">
        <f>_xlfn.XLOOKUP(D810,TIPOS_CAMBIO!A:A,TIPOS_CAMBIO!B:B,"",0)</f>
        <v>0</v>
      </c>
      <c r="G810" s="3">
        <f t="shared" si="24"/>
        <v>0</v>
      </c>
      <c r="H810" s="3"/>
      <c r="I810" s="3">
        <f ca="1">IFERROR(_xludf.XLOOKUP("Seguro",PARAMETROS_IMPORTACION!$A:$A,PARAMETROS_IMPORTACION!$C:$C,0),0)</f>
        <v>0</v>
      </c>
      <c r="J810" s="3">
        <f ca="1">IFERROR(_xludf.XLOOKUP("Arancel",PARAMETROS_IMPORTACION!$A:$A,PARAMETROS_IMPORTACION!$C:$C,0),0)</f>
        <v>0</v>
      </c>
      <c r="K810" s="2">
        <f ca="1">IFERROR(_xludf.XLOOKUP("Gastos_Aduana",PARAMETROS_IMPORTACION!$A:$A,PARAMETROS_IMPORTACION!$C:$C,0),0)</f>
        <v>0</v>
      </c>
      <c r="L810" s="2">
        <f t="shared" si="25"/>
        <v>0</v>
      </c>
    </row>
    <row r="811" spans="5:12" x14ac:dyDescent="0.35">
      <c r="E811" s="2"/>
      <c r="F811" s="2">
        <f>_xlfn.XLOOKUP(D811,TIPOS_CAMBIO!A:A,TIPOS_CAMBIO!B:B,"",0)</f>
        <v>0</v>
      </c>
      <c r="G811" s="3">
        <f t="shared" si="24"/>
        <v>0</v>
      </c>
      <c r="H811" s="3"/>
      <c r="I811" s="3">
        <f ca="1">IFERROR(_xludf.XLOOKUP("Seguro",PARAMETROS_IMPORTACION!$A:$A,PARAMETROS_IMPORTACION!$C:$C,0),0)</f>
        <v>0</v>
      </c>
      <c r="J811" s="3">
        <f ca="1">IFERROR(_xludf.XLOOKUP("Arancel",PARAMETROS_IMPORTACION!$A:$A,PARAMETROS_IMPORTACION!$C:$C,0),0)</f>
        <v>0</v>
      </c>
      <c r="K811" s="2">
        <f ca="1">IFERROR(_xludf.XLOOKUP("Gastos_Aduana",PARAMETROS_IMPORTACION!$A:$A,PARAMETROS_IMPORTACION!$C:$C,0),0)</f>
        <v>0</v>
      </c>
      <c r="L811" s="2">
        <f t="shared" si="25"/>
        <v>0</v>
      </c>
    </row>
    <row r="812" spans="5:12" x14ac:dyDescent="0.35">
      <c r="E812" s="2"/>
      <c r="F812" s="2">
        <f>_xlfn.XLOOKUP(D812,TIPOS_CAMBIO!A:A,TIPOS_CAMBIO!B:B,"",0)</f>
        <v>0</v>
      </c>
      <c r="G812" s="3">
        <f t="shared" si="24"/>
        <v>0</v>
      </c>
      <c r="H812" s="3"/>
      <c r="I812" s="3">
        <f ca="1">IFERROR(_xludf.XLOOKUP("Seguro",PARAMETROS_IMPORTACION!$A:$A,PARAMETROS_IMPORTACION!$C:$C,0),0)</f>
        <v>0</v>
      </c>
      <c r="J812" s="3">
        <f ca="1">IFERROR(_xludf.XLOOKUP("Arancel",PARAMETROS_IMPORTACION!$A:$A,PARAMETROS_IMPORTACION!$C:$C,0),0)</f>
        <v>0</v>
      </c>
      <c r="K812" s="2">
        <f ca="1">IFERROR(_xludf.XLOOKUP("Gastos_Aduana",PARAMETROS_IMPORTACION!$A:$A,PARAMETROS_IMPORTACION!$C:$C,0),0)</f>
        <v>0</v>
      </c>
      <c r="L812" s="2">
        <f t="shared" si="25"/>
        <v>0</v>
      </c>
    </row>
    <row r="813" spans="5:12" x14ac:dyDescent="0.35">
      <c r="E813" s="2"/>
      <c r="F813" s="2">
        <f>_xlfn.XLOOKUP(D813,TIPOS_CAMBIO!A:A,TIPOS_CAMBIO!B:B,"",0)</f>
        <v>0</v>
      </c>
      <c r="G813" s="3">
        <f t="shared" si="24"/>
        <v>0</v>
      </c>
      <c r="H813" s="3"/>
      <c r="I813" s="3">
        <f ca="1">IFERROR(_xludf.XLOOKUP("Seguro",PARAMETROS_IMPORTACION!$A:$A,PARAMETROS_IMPORTACION!$C:$C,0),0)</f>
        <v>0</v>
      </c>
      <c r="J813" s="3">
        <f ca="1">IFERROR(_xludf.XLOOKUP("Arancel",PARAMETROS_IMPORTACION!$A:$A,PARAMETROS_IMPORTACION!$C:$C,0),0)</f>
        <v>0</v>
      </c>
      <c r="K813" s="2">
        <f ca="1">IFERROR(_xludf.XLOOKUP("Gastos_Aduana",PARAMETROS_IMPORTACION!$A:$A,PARAMETROS_IMPORTACION!$C:$C,0),0)</f>
        <v>0</v>
      </c>
      <c r="L813" s="2">
        <f t="shared" si="25"/>
        <v>0</v>
      </c>
    </row>
    <row r="814" spans="5:12" x14ac:dyDescent="0.35">
      <c r="E814" s="2"/>
      <c r="F814" s="2">
        <f>_xlfn.XLOOKUP(D814,TIPOS_CAMBIO!A:A,TIPOS_CAMBIO!B:B,"",0)</f>
        <v>0</v>
      </c>
      <c r="G814" s="3">
        <f t="shared" si="24"/>
        <v>0</v>
      </c>
      <c r="H814" s="3"/>
      <c r="I814" s="3">
        <f ca="1">IFERROR(_xludf.XLOOKUP("Seguro",PARAMETROS_IMPORTACION!$A:$A,PARAMETROS_IMPORTACION!$C:$C,0),0)</f>
        <v>0</v>
      </c>
      <c r="J814" s="3">
        <f ca="1">IFERROR(_xludf.XLOOKUP("Arancel",PARAMETROS_IMPORTACION!$A:$A,PARAMETROS_IMPORTACION!$C:$C,0),0)</f>
        <v>0</v>
      </c>
      <c r="K814" s="2">
        <f ca="1">IFERROR(_xludf.XLOOKUP("Gastos_Aduana",PARAMETROS_IMPORTACION!$A:$A,PARAMETROS_IMPORTACION!$C:$C,0),0)</f>
        <v>0</v>
      </c>
      <c r="L814" s="2">
        <f t="shared" si="25"/>
        <v>0</v>
      </c>
    </row>
    <row r="815" spans="5:12" x14ac:dyDescent="0.35">
      <c r="E815" s="2"/>
      <c r="F815" s="2">
        <f>_xlfn.XLOOKUP(D815,TIPOS_CAMBIO!A:A,TIPOS_CAMBIO!B:B,"",0)</f>
        <v>0</v>
      </c>
      <c r="G815" s="3">
        <f t="shared" si="24"/>
        <v>0</v>
      </c>
      <c r="H815" s="3"/>
      <c r="I815" s="3">
        <f ca="1">IFERROR(_xludf.XLOOKUP("Seguro",PARAMETROS_IMPORTACION!$A:$A,PARAMETROS_IMPORTACION!$C:$C,0),0)</f>
        <v>0</v>
      </c>
      <c r="J815" s="3">
        <f ca="1">IFERROR(_xludf.XLOOKUP("Arancel",PARAMETROS_IMPORTACION!$A:$A,PARAMETROS_IMPORTACION!$C:$C,0),0)</f>
        <v>0</v>
      </c>
      <c r="K815" s="2">
        <f ca="1">IFERROR(_xludf.XLOOKUP("Gastos_Aduana",PARAMETROS_IMPORTACION!$A:$A,PARAMETROS_IMPORTACION!$C:$C,0),0)</f>
        <v>0</v>
      </c>
      <c r="L815" s="2">
        <f t="shared" si="25"/>
        <v>0</v>
      </c>
    </row>
    <row r="816" spans="5:12" x14ac:dyDescent="0.35">
      <c r="E816" s="2"/>
      <c r="F816" s="2">
        <f>_xlfn.XLOOKUP(D816,TIPOS_CAMBIO!A:A,TIPOS_CAMBIO!B:B,"",0)</f>
        <v>0</v>
      </c>
      <c r="G816" s="3">
        <f t="shared" si="24"/>
        <v>0</v>
      </c>
      <c r="H816" s="3"/>
      <c r="I816" s="3">
        <f ca="1">IFERROR(_xludf.XLOOKUP("Seguro",PARAMETROS_IMPORTACION!$A:$A,PARAMETROS_IMPORTACION!$C:$C,0),0)</f>
        <v>0</v>
      </c>
      <c r="J816" s="3">
        <f ca="1">IFERROR(_xludf.XLOOKUP("Arancel",PARAMETROS_IMPORTACION!$A:$A,PARAMETROS_IMPORTACION!$C:$C,0),0)</f>
        <v>0</v>
      </c>
      <c r="K816" s="2">
        <f ca="1">IFERROR(_xludf.XLOOKUP("Gastos_Aduana",PARAMETROS_IMPORTACION!$A:$A,PARAMETROS_IMPORTACION!$C:$C,0),0)</f>
        <v>0</v>
      </c>
      <c r="L816" s="2">
        <f t="shared" si="25"/>
        <v>0</v>
      </c>
    </row>
    <row r="817" spans="5:12" x14ac:dyDescent="0.35">
      <c r="E817" s="2"/>
      <c r="F817" s="2">
        <f>_xlfn.XLOOKUP(D817,TIPOS_CAMBIO!A:A,TIPOS_CAMBIO!B:B,"",0)</f>
        <v>0</v>
      </c>
      <c r="G817" s="3">
        <f t="shared" si="24"/>
        <v>0</v>
      </c>
      <c r="H817" s="3"/>
      <c r="I817" s="3">
        <f ca="1">IFERROR(_xludf.XLOOKUP("Seguro",PARAMETROS_IMPORTACION!$A:$A,PARAMETROS_IMPORTACION!$C:$C,0),0)</f>
        <v>0</v>
      </c>
      <c r="J817" s="3">
        <f ca="1">IFERROR(_xludf.XLOOKUP("Arancel",PARAMETROS_IMPORTACION!$A:$A,PARAMETROS_IMPORTACION!$C:$C,0),0)</f>
        <v>0</v>
      </c>
      <c r="K817" s="2">
        <f ca="1">IFERROR(_xludf.XLOOKUP("Gastos_Aduana",PARAMETROS_IMPORTACION!$A:$A,PARAMETROS_IMPORTACION!$C:$C,0),0)</f>
        <v>0</v>
      </c>
      <c r="L817" s="2">
        <f t="shared" si="25"/>
        <v>0</v>
      </c>
    </row>
    <row r="818" spans="5:12" x14ac:dyDescent="0.35">
      <c r="E818" s="2"/>
      <c r="F818" s="2">
        <f>_xlfn.XLOOKUP(D818,TIPOS_CAMBIO!A:A,TIPOS_CAMBIO!B:B,"",0)</f>
        <v>0</v>
      </c>
      <c r="G818" s="3">
        <f t="shared" si="24"/>
        <v>0</v>
      </c>
      <c r="H818" s="3"/>
      <c r="I818" s="3">
        <f ca="1">IFERROR(_xludf.XLOOKUP("Seguro",PARAMETROS_IMPORTACION!$A:$A,PARAMETROS_IMPORTACION!$C:$C,0),0)</f>
        <v>0</v>
      </c>
      <c r="J818" s="3">
        <f ca="1">IFERROR(_xludf.XLOOKUP("Arancel",PARAMETROS_IMPORTACION!$A:$A,PARAMETROS_IMPORTACION!$C:$C,0),0)</f>
        <v>0</v>
      </c>
      <c r="K818" s="2">
        <f ca="1">IFERROR(_xludf.XLOOKUP("Gastos_Aduana",PARAMETROS_IMPORTACION!$A:$A,PARAMETROS_IMPORTACION!$C:$C,0),0)</f>
        <v>0</v>
      </c>
      <c r="L818" s="2">
        <f t="shared" si="25"/>
        <v>0</v>
      </c>
    </row>
    <row r="819" spans="5:12" x14ac:dyDescent="0.35">
      <c r="E819" s="2"/>
      <c r="F819" s="2">
        <f>_xlfn.XLOOKUP(D819,TIPOS_CAMBIO!A:A,TIPOS_CAMBIO!B:B,"",0)</f>
        <v>0</v>
      </c>
      <c r="G819" s="3">
        <f t="shared" si="24"/>
        <v>0</v>
      </c>
      <c r="H819" s="3"/>
      <c r="I819" s="3">
        <f ca="1">IFERROR(_xludf.XLOOKUP("Seguro",PARAMETROS_IMPORTACION!$A:$A,PARAMETROS_IMPORTACION!$C:$C,0),0)</f>
        <v>0</v>
      </c>
      <c r="J819" s="3">
        <f ca="1">IFERROR(_xludf.XLOOKUP("Arancel",PARAMETROS_IMPORTACION!$A:$A,PARAMETROS_IMPORTACION!$C:$C,0),0)</f>
        <v>0</v>
      </c>
      <c r="K819" s="2">
        <f ca="1">IFERROR(_xludf.XLOOKUP("Gastos_Aduana",PARAMETROS_IMPORTACION!$A:$A,PARAMETROS_IMPORTACION!$C:$C,0),0)</f>
        <v>0</v>
      </c>
      <c r="L819" s="2">
        <f t="shared" si="25"/>
        <v>0</v>
      </c>
    </row>
    <row r="820" spans="5:12" x14ac:dyDescent="0.35">
      <c r="E820" s="2"/>
      <c r="F820" s="2">
        <f>_xlfn.XLOOKUP(D820,TIPOS_CAMBIO!A:A,TIPOS_CAMBIO!B:B,"",0)</f>
        <v>0</v>
      </c>
      <c r="G820" s="3">
        <f t="shared" si="24"/>
        <v>0</v>
      </c>
      <c r="H820" s="3"/>
      <c r="I820" s="3">
        <f ca="1">IFERROR(_xludf.XLOOKUP("Seguro",PARAMETROS_IMPORTACION!$A:$A,PARAMETROS_IMPORTACION!$C:$C,0),0)</f>
        <v>0</v>
      </c>
      <c r="J820" s="3">
        <f ca="1">IFERROR(_xludf.XLOOKUP("Arancel",PARAMETROS_IMPORTACION!$A:$A,PARAMETROS_IMPORTACION!$C:$C,0),0)</f>
        <v>0</v>
      </c>
      <c r="K820" s="2">
        <f ca="1">IFERROR(_xludf.XLOOKUP("Gastos_Aduana",PARAMETROS_IMPORTACION!$A:$A,PARAMETROS_IMPORTACION!$C:$C,0),0)</f>
        <v>0</v>
      </c>
      <c r="L820" s="2">
        <f t="shared" si="25"/>
        <v>0</v>
      </c>
    </row>
    <row r="821" spans="5:12" x14ac:dyDescent="0.35">
      <c r="E821" s="2"/>
      <c r="F821" s="2">
        <f>_xlfn.XLOOKUP(D821,TIPOS_CAMBIO!A:A,TIPOS_CAMBIO!B:B,"",0)</f>
        <v>0</v>
      </c>
      <c r="G821" s="3">
        <f t="shared" si="24"/>
        <v>0</v>
      </c>
      <c r="H821" s="3"/>
      <c r="I821" s="3">
        <f ca="1">IFERROR(_xludf.XLOOKUP("Seguro",PARAMETROS_IMPORTACION!$A:$A,PARAMETROS_IMPORTACION!$C:$C,0),0)</f>
        <v>0</v>
      </c>
      <c r="J821" s="3">
        <f ca="1">IFERROR(_xludf.XLOOKUP("Arancel",PARAMETROS_IMPORTACION!$A:$A,PARAMETROS_IMPORTACION!$C:$C,0),0)</f>
        <v>0</v>
      </c>
      <c r="K821" s="2">
        <f ca="1">IFERROR(_xludf.XLOOKUP("Gastos_Aduana",PARAMETROS_IMPORTACION!$A:$A,PARAMETROS_IMPORTACION!$C:$C,0),0)</f>
        <v>0</v>
      </c>
      <c r="L821" s="2">
        <f t="shared" si="25"/>
        <v>0</v>
      </c>
    </row>
    <row r="822" spans="5:12" x14ac:dyDescent="0.35">
      <c r="E822" s="2"/>
      <c r="F822" s="2">
        <f>_xlfn.XLOOKUP(D822,TIPOS_CAMBIO!A:A,TIPOS_CAMBIO!B:B,"",0)</f>
        <v>0</v>
      </c>
      <c r="G822" s="3">
        <f t="shared" si="24"/>
        <v>0</v>
      </c>
      <c r="H822" s="3"/>
      <c r="I822" s="3">
        <f ca="1">IFERROR(_xludf.XLOOKUP("Seguro",PARAMETROS_IMPORTACION!$A:$A,PARAMETROS_IMPORTACION!$C:$C,0),0)</f>
        <v>0</v>
      </c>
      <c r="J822" s="3">
        <f ca="1">IFERROR(_xludf.XLOOKUP("Arancel",PARAMETROS_IMPORTACION!$A:$A,PARAMETROS_IMPORTACION!$C:$C,0),0)</f>
        <v>0</v>
      </c>
      <c r="K822" s="2">
        <f ca="1">IFERROR(_xludf.XLOOKUP("Gastos_Aduana",PARAMETROS_IMPORTACION!$A:$A,PARAMETROS_IMPORTACION!$C:$C,0),0)</f>
        <v>0</v>
      </c>
      <c r="L822" s="2">
        <f t="shared" si="25"/>
        <v>0</v>
      </c>
    </row>
    <row r="823" spans="5:12" x14ac:dyDescent="0.35">
      <c r="E823" s="2"/>
      <c r="F823" s="2">
        <f>_xlfn.XLOOKUP(D823,TIPOS_CAMBIO!A:A,TIPOS_CAMBIO!B:B,"",0)</f>
        <v>0</v>
      </c>
      <c r="G823" s="3">
        <f t="shared" si="24"/>
        <v>0</v>
      </c>
      <c r="H823" s="3"/>
      <c r="I823" s="3">
        <f ca="1">IFERROR(_xludf.XLOOKUP("Seguro",PARAMETROS_IMPORTACION!$A:$A,PARAMETROS_IMPORTACION!$C:$C,0),0)</f>
        <v>0</v>
      </c>
      <c r="J823" s="3">
        <f ca="1">IFERROR(_xludf.XLOOKUP("Arancel",PARAMETROS_IMPORTACION!$A:$A,PARAMETROS_IMPORTACION!$C:$C,0),0)</f>
        <v>0</v>
      </c>
      <c r="K823" s="2">
        <f ca="1">IFERROR(_xludf.XLOOKUP("Gastos_Aduana",PARAMETROS_IMPORTACION!$A:$A,PARAMETROS_IMPORTACION!$C:$C,0),0)</f>
        <v>0</v>
      </c>
      <c r="L823" s="2">
        <f t="shared" si="25"/>
        <v>0</v>
      </c>
    </row>
    <row r="824" spans="5:12" x14ac:dyDescent="0.35">
      <c r="E824" s="2"/>
      <c r="F824" s="2">
        <f>_xlfn.XLOOKUP(D824,TIPOS_CAMBIO!A:A,TIPOS_CAMBIO!B:B,"",0)</f>
        <v>0</v>
      </c>
      <c r="G824" s="3">
        <f t="shared" si="24"/>
        <v>0</v>
      </c>
      <c r="H824" s="3"/>
      <c r="I824" s="3">
        <f ca="1">IFERROR(_xludf.XLOOKUP("Seguro",PARAMETROS_IMPORTACION!$A:$A,PARAMETROS_IMPORTACION!$C:$C,0),0)</f>
        <v>0</v>
      </c>
      <c r="J824" s="3">
        <f ca="1">IFERROR(_xludf.XLOOKUP("Arancel",PARAMETROS_IMPORTACION!$A:$A,PARAMETROS_IMPORTACION!$C:$C,0),0)</f>
        <v>0</v>
      </c>
      <c r="K824" s="2">
        <f ca="1">IFERROR(_xludf.XLOOKUP("Gastos_Aduana",PARAMETROS_IMPORTACION!$A:$A,PARAMETROS_IMPORTACION!$C:$C,0),0)</f>
        <v>0</v>
      </c>
      <c r="L824" s="2">
        <f t="shared" si="25"/>
        <v>0</v>
      </c>
    </row>
    <row r="825" spans="5:12" x14ac:dyDescent="0.35">
      <c r="E825" s="2"/>
      <c r="F825" s="2">
        <f>_xlfn.XLOOKUP(D825,TIPOS_CAMBIO!A:A,TIPOS_CAMBIO!B:B,"",0)</f>
        <v>0</v>
      </c>
      <c r="G825" s="3">
        <f t="shared" si="24"/>
        <v>0</v>
      </c>
      <c r="H825" s="3"/>
      <c r="I825" s="3">
        <f ca="1">IFERROR(_xludf.XLOOKUP("Seguro",PARAMETROS_IMPORTACION!$A:$A,PARAMETROS_IMPORTACION!$C:$C,0),0)</f>
        <v>0</v>
      </c>
      <c r="J825" s="3">
        <f ca="1">IFERROR(_xludf.XLOOKUP("Arancel",PARAMETROS_IMPORTACION!$A:$A,PARAMETROS_IMPORTACION!$C:$C,0),0)</f>
        <v>0</v>
      </c>
      <c r="K825" s="2">
        <f ca="1">IFERROR(_xludf.XLOOKUP("Gastos_Aduana",PARAMETROS_IMPORTACION!$A:$A,PARAMETROS_IMPORTACION!$C:$C,0),0)</f>
        <v>0</v>
      </c>
      <c r="L825" s="2">
        <f t="shared" si="25"/>
        <v>0</v>
      </c>
    </row>
    <row r="826" spans="5:12" x14ac:dyDescent="0.35">
      <c r="E826" s="2"/>
      <c r="F826" s="2">
        <f>_xlfn.XLOOKUP(D826,TIPOS_CAMBIO!A:A,TIPOS_CAMBIO!B:B,"",0)</f>
        <v>0</v>
      </c>
      <c r="G826" s="3">
        <f t="shared" si="24"/>
        <v>0</v>
      </c>
      <c r="H826" s="3"/>
      <c r="I826" s="3">
        <f ca="1">IFERROR(_xludf.XLOOKUP("Seguro",PARAMETROS_IMPORTACION!$A:$A,PARAMETROS_IMPORTACION!$C:$C,0),0)</f>
        <v>0</v>
      </c>
      <c r="J826" s="3">
        <f ca="1">IFERROR(_xludf.XLOOKUP("Arancel",PARAMETROS_IMPORTACION!$A:$A,PARAMETROS_IMPORTACION!$C:$C,0),0)</f>
        <v>0</v>
      </c>
      <c r="K826" s="2">
        <f ca="1">IFERROR(_xludf.XLOOKUP("Gastos_Aduana",PARAMETROS_IMPORTACION!$A:$A,PARAMETROS_IMPORTACION!$C:$C,0),0)</f>
        <v>0</v>
      </c>
      <c r="L826" s="2">
        <f t="shared" si="25"/>
        <v>0</v>
      </c>
    </row>
    <row r="827" spans="5:12" x14ac:dyDescent="0.35">
      <c r="E827" s="2"/>
      <c r="F827" s="2">
        <f>_xlfn.XLOOKUP(D827,TIPOS_CAMBIO!A:A,TIPOS_CAMBIO!B:B,"",0)</f>
        <v>0</v>
      </c>
      <c r="G827" s="3">
        <f t="shared" si="24"/>
        <v>0</v>
      </c>
      <c r="H827" s="3"/>
      <c r="I827" s="3">
        <f ca="1">IFERROR(_xludf.XLOOKUP("Seguro",PARAMETROS_IMPORTACION!$A:$A,PARAMETROS_IMPORTACION!$C:$C,0),0)</f>
        <v>0</v>
      </c>
      <c r="J827" s="3">
        <f ca="1">IFERROR(_xludf.XLOOKUP("Arancel",PARAMETROS_IMPORTACION!$A:$A,PARAMETROS_IMPORTACION!$C:$C,0),0)</f>
        <v>0</v>
      </c>
      <c r="K827" s="2">
        <f ca="1">IFERROR(_xludf.XLOOKUP("Gastos_Aduana",PARAMETROS_IMPORTACION!$A:$A,PARAMETROS_IMPORTACION!$C:$C,0),0)</f>
        <v>0</v>
      </c>
      <c r="L827" s="2">
        <f t="shared" si="25"/>
        <v>0</v>
      </c>
    </row>
    <row r="828" spans="5:12" x14ac:dyDescent="0.35">
      <c r="E828" s="2"/>
      <c r="F828" s="2">
        <f>_xlfn.XLOOKUP(D828,TIPOS_CAMBIO!A:A,TIPOS_CAMBIO!B:B,"",0)</f>
        <v>0</v>
      </c>
      <c r="G828" s="3">
        <f t="shared" si="24"/>
        <v>0</v>
      </c>
      <c r="H828" s="3"/>
      <c r="I828" s="3">
        <f ca="1">IFERROR(_xludf.XLOOKUP("Seguro",PARAMETROS_IMPORTACION!$A:$A,PARAMETROS_IMPORTACION!$C:$C,0),0)</f>
        <v>0</v>
      </c>
      <c r="J828" s="3">
        <f ca="1">IFERROR(_xludf.XLOOKUP("Arancel",PARAMETROS_IMPORTACION!$A:$A,PARAMETROS_IMPORTACION!$C:$C,0),0)</f>
        <v>0</v>
      </c>
      <c r="K828" s="2">
        <f ca="1">IFERROR(_xludf.XLOOKUP("Gastos_Aduana",PARAMETROS_IMPORTACION!$A:$A,PARAMETROS_IMPORTACION!$C:$C,0),0)</f>
        <v>0</v>
      </c>
      <c r="L828" s="2">
        <f t="shared" si="25"/>
        <v>0</v>
      </c>
    </row>
    <row r="829" spans="5:12" x14ac:dyDescent="0.35">
      <c r="E829" s="2"/>
      <c r="F829" s="2">
        <f>_xlfn.XLOOKUP(D829,TIPOS_CAMBIO!A:A,TIPOS_CAMBIO!B:B,"",0)</f>
        <v>0</v>
      </c>
      <c r="G829" s="3">
        <f t="shared" si="24"/>
        <v>0</v>
      </c>
      <c r="H829" s="3"/>
      <c r="I829" s="3">
        <f ca="1">IFERROR(_xludf.XLOOKUP("Seguro",PARAMETROS_IMPORTACION!$A:$A,PARAMETROS_IMPORTACION!$C:$C,0),0)</f>
        <v>0</v>
      </c>
      <c r="J829" s="3">
        <f ca="1">IFERROR(_xludf.XLOOKUP("Arancel",PARAMETROS_IMPORTACION!$A:$A,PARAMETROS_IMPORTACION!$C:$C,0),0)</f>
        <v>0</v>
      </c>
      <c r="K829" s="2">
        <f ca="1">IFERROR(_xludf.XLOOKUP("Gastos_Aduana",PARAMETROS_IMPORTACION!$A:$A,PARAMETROS_IMPORTACION!$C:$C,0),0)</f>
        <v>0</v>
      </c>
      <c r="L829" s="2">
        <f t="shared" si="25"/>
        <v>0</v>
      </c>
    </row>
    <row r="830" spans="5:12" x14ac:dyDescent="0.35">
      <c r="E830" s="2"/>
      <c r="F830" s="2">
        <f>_xlfn.XLOOKUP(D830,TIPOS_CAMBIO!A:A,TIPOS_CAMBIO!B:B,"",0)</f>
        <v>0</v>
      </c>
      <c r="G830" s="3">
        <f t="shared" si="24"/>
        <v>0</v>
      </c>
      <c r="H830" s="3"/>
      <c r="I830" s="3">
        <f ca="1">IFERROR(_xludf.XLOOKUP("Seguro",PARAMETROS_IMPORTACION!$A:$A,PARAMETROS_IMPORTACION!$C:$C,0),0)</f>
        <v>0</v>
      </c>
      <c r="J830" s="3">
        <f ca="1">IFERROR(_xludf.XLOOKUP("Arancel",PARAMETROS_IMPORTACION!$A:$A,PARAMETROS_IMPORTACION!$C:$C,0),0)</f>
        <v>0</v>
      </c>
      <c r="K830" s="2">
        <f ca="1">IFERROR(_xludf.XLOOKUP("Gastos_Aduana",PARAMETROS_IMPORTACION!$A:$A,PARAMETROS_IMPORTACION!$C:$C,0),0)</f>
        <v>0</v>
      </c>
      <c r="L830" s="2">
        <f t="shared" si="25"/>
        <v>0</v>
      </c>
    </row>
    <row r="831" spans="5:12" x14ac:dyDescent="0.35">
      <c r="E831" s="2"/>
      <c r="F831" s="2">
        <f>_xlfn.XLOOKUP(D831,TIPOS_CAMBIO!A:A,TIPOS_CAMBIO!B:B,"",0)</f>
        <v>0</v>
      </c>
      <c r="G831" s="3">
        <f t="shared" si="24"/>
        <v>0</v>
      </c>
      <c r="H831" s="3"/>
      <c r="I831" s="3">
        <f ca="1">IFERROR(_xludf.XLOOKUP("Seguro",PARAMETROS_IMPORTACION!$A:$A,PARAMETROS_IMPORTACION!$C:$C,0),0)</f>
        <v>0</v>
      </c>
      <c r="J831" s="3">
        <f ca="1">IFERROR(_xludf.XLOOKUP("Arancel",PARAMETROS_IMPORTACION!$A:$A,PARAMETROS_IMPORTACION!$C:$C,0),0)</f>
        <v>0</v>
      </c>
      <c r="K831" s="2">
        <f ca="1">IFERROR(_xludf.XLOOKUP("Gastos_Aduana",PARAMETROS_IMPORTACION!$A:$A,PARAMETROS_IMPORTACION!$C:$C,0),0)</f>
        <v>0</v>
      </c>
      <c r="L831" s="2">
        <f t="shared" si="25"/>
        <v>0</v>
      </c>
    </row>
    <row r="832" spans="5:12" x14ac:dyDescent="0.35">
      <c r="E832" s="2"/>
      <c r="F832" s="2">
        <f>_xlfn.XLOOKUP(D832,TIPOS_CAMBIO!A:A,TIPOS_CAMBIO!B:B,"",0)</f>
        <v>0</v>
      </c>
      <c r="G832" s="3">
        <f t="shared" si="24"/>
        <v>0</v>
      </c>
      <c r="H832" s="3"/>
      <c r="I832" s="3">
        <f ca="1">IFERROR(_xludf.XLOOKUP("Seguro",PARAMETROS_IMPORTACION!$A:$A,PARAMETROS_IMPORTACION!$C:$C,0),0)</f>
        <v>0</v>
      </c>
      <c r="J832" s="3">
        <f ca="1">IFERROR(_xludf.XLOOKUP("Arancel",PARAMETROS_IMPORTACION!$A:$A,PARAMETROS_IMPORTACION!$C:$C,0),0)</f>
        <v>0</v>
      </c>
      <c r="K832" s="2">
        <f ca="1">IFERROR(_xludf.XLOOKUP("Gastos_Aduana",PARAMETROS_IMPORTACION!$A:$A,PARAMETROS_IMPORTACION!$C:$C,0),0)</f>
        <v>0</v>
      </c>
      <c r="L832" s="2">
        <f t="shared" si="25"/>
        <v>0</v>
      </c>
    </row>
    <row r="833" spans="5:12" x14ac:dyDescent="0.35">
      <c r="E833" s="2"/>
      <c r="F833" s="2">
        <f>_xlfn.XLOOKUP(D833,TIPOS_CAMBIO!A:A,TIPOS_CAMBIO!B:B,"",0)</f>
        <v>0</v>
      </c>
      <c r="G833" s="3">
        <f t="shared" si="24"/>
        <v>0</v>
      </c>
      <c r="H833" s="3"/>
      <c r="I833" s="3">
        <f ca="1">IFERROR(_xludf.XLOOKUP("Seguro",PARAMETROS_IMPORTACION!$A:$A,PARAMETROS_IMPORTACION!$C:$C,0),0)</f>
        <v>0</v>
      </c>
      <c r="J833" s="3">
        <f ca="1">IFERROR(_xludf.XLOOKUP("Arancel",PARAMETROS_IMPORTACION!$A:$A,PARAMETROS_IMPORTACION!$C:$C,0),0)</f>
        <v>0</v>
      </c>
      <c r="K833" s="2">
        <f ca="1">IFERROR(_xludf.XLOOKUP("Gastos_Aduana",PARAMETROS_IMPORTACION!$A:$A,PARAMETROS_IMPORTACION!$C:$C,0),0)</f>
        <v>0</v>
      </c>
      <c r="L833" s="2">
        <f t="shared" si="25"/>
        <v>0</v>
      </c>
    </row>
    <row r="834" spans="5:12" x14ac:dyDescent="0.35">
      <c r="E834" s="2"/>
      <c r="F834" s="2">
        <f>_xlfn.XLOOKUP(D834,TIPOS_CAMBIO!A:A,TIPOS_CAMBIO!B:B,"",0)</f>
        <v>0</v>
      </c>
      <c r="G834" s="3">
        <f t="shared" ref="G834:G897" si="26">$E834*$F834</f>
        <v>0</v>
      </c>
      <c r="H834" s="3"/>
      <c r="I834" s="3">
        <f ca="1">IFERROR(_xludf.XLOOKUP("Seguro",PARAMETROS_IMPORTACION!$A:$A,PARAMETROS_IMPORTACION!$C:$C,0),0)</f>
        <v>0</v>
      </c>
      <c r="J834" s="3">
        <f ca="1">IFERROR(_xludf.XLOOKUP("Arancel",PARAMETROS_IMPORTACION!$A:$A,PARAMETROS_IMPORTACION!$C:$C,0),0)</f>
        <v>0</v>
      </c>
      <c r="K834" s="2">
        <f ca="1">IFERROR(_xludf.XLOOKUP("Gastos_Aduana",PARAMETROS_IMPORTACION!$A:$A,PARAMETROS_IMPORTACION!$C:$C,0),0)</f>
        <v>0</v>
      </c>
      <c r="L834" s="2">
        <f t="shared" si="25"/>
        <v>0</v>
      </c>
    </row>
    <row r="835" spans="5:12" x14ac:dyDescent="0.35">
      <c r="E835" s="2"/>
      <c r="F835" s="2">
        <f>_xlfn.XLOOKUP(D835,TIPOS_CAMBIO!A:A,TIPOS_CAMBIO!B:B,"",0)</f>
        <v>0</v>
      </c>
      <c r="G835" s="3">
        <f t="shared" si="26"/>
        <v>0</v>
      </c>
      <c r="H835" s="3"/>
      <c r="I835" s="3">
        <f ca="1">IFERROR(_xludf.XLOOKUP("Seguro",PARAMETROS_IMPORTACION!$A:$A,PARAMETROS_IMPORTACION!$C:$C,0),0)</f>
        <v>0</v>
      </c>
      <c r="J835" s="3">
        <f ca="1">IFERROR(_xludf.XLOOKUP("Arancel",PARAMETROS_IMPORTACION!$A:$A,PARAMETROS_IMPORTACION!$C:$C,0),0)</f>
        <v>0</v>
      </c>
      <c r="K835" s="2">
        <f ca="1">IFERROR(_xludf.XLOOKUP("Gastos_Aduana",PARAMETROS_IMPORTACION!$A:$A,PARAMETROS_IMPORTACION!$C:$C,0),0)</f>
        <v>0</v>
      </c>
      <c r="L835" s="2">
        <f t="shared" ref="L835:L898" si="27">IF($C835="Importado",$G835*(1+$H835+$I835+$J835)+$K835,$G835)</f>
        <v>0</v>
      </c>
    </row>
    <row r="836" spans="5:12" x14ac:dyDescent="0.35">
      <c r="E836" s="2"/>
      <c r="F836" s="2">
        <f>_xlfn.XLOOKUP(D836,TIPOS_CAMBIO!A:A,TIPOS_CAMBIO!B:B,"",0)</f>
        <v>0</v>
      </c>
      <c r="G836" s="3">
        <f t="shared" si="26"/>
        <v>0</v>
      </c>
      <c r="H836" s="3"/>
      <c r="I836" s="3">
        <f ca="1">IFERROR(_xludf.XLOOKUP("Seguro",PARAMETROS_IMPORTACION!$A:$A,PARAMETROS_IMPORTACION!$C:$C,0),0)</f>
        <v>0</v>
      </c>
      <c r="J836" s="3">
        <f ca="1">IFERROR(_xludf.XLOOKUP("Arancel",PARAMETROS_IMPORTACION!$A:$A,PARAMETROS_IMPORTACION!$C:$C,0),0)</f>
        <v>0</v>
      </c>
      <c r="K836" s="2">
        <f ca="1">IFERROR(_xludf.XLOOKUP("Gastos_Aduana",PARAMETROS_IMPORTACION!$A:$A,PARAMETROS_IMPORTACION!$C:$C,0),0)</f>
        <v>0</v>
      </c>
      <c r="L836" s="2">
        <f t="shared" si="27"/>
        <v>0</v>
      </c>
    </row>
    <row r="837" spans="5:12" x14ac:dyDescent="0.35">
      <c r="E837" s="2"/>
      <c r="F837" s="2">
        <f>_xlfn.XLOOKUP(D837,TIPOS_CAMBIO!A:A,TIPOS_CAMBIO!B:B,"",0)</f>
        <v>0</v>
      </c>
      <c r="G837" s="3">
        <f t="shared" si="26"/>
        <v>0</v>
      </c>
      <c r="H837" s="3"/>
      <c r="I837" s="3">
        <f ca="1">IFERROR(_xludf.XLOOKUP("Seguro",PARAMETROS_IMPORTACION!$A:$A,PARAMETROS_IMPORTACION!$C:$C,0),0)</f>
        <v>0</v>
      </c>
      <c r="J837" s="3">
        <f ca="1">IFERROR(_xludf.XLOOKUP("Arancel",PARAMETROS_IMPORTACION!$A:$A,PARAMETROS_IMPORTACION!$C:$C,0),0)</f>
        <v>0</v>
      </c>
      <c r="K837" s="2">
        <f ca="1">IFERROR(_xludf.XLOOKUP("Gastos_Aduana",PARAMETROS_IMPORTACION!$A:$A,PARAMETROS_IMPORTACION!$C:$C,0),0)</f>
        <v>0</v>
      </c>
      <c r="L837" s="2">
        <f t="shared" si="27"/>
        <v>0</v>
      </c>
    </row>
    <row r="838" spans="5:12" x14ac:dyDescent="0.35">
      <c r="E838" s="2"/>
      <c r="F838" s="2">
        <f>_xlfn.XLOOKUP(D838,TIPOS_CAMBIO!A:A,TIPOS_CAMBIO!B:B,"",0)</f>
        <v>0</v>
      </c>
      <c r="G838" s="3">
        <f t="shared" si="26"/>
        <v>0</v>
      </c>
      <c r="H838" s="3"/>
      <c r="I838" s="3">
        <f ca="1">IFERROR(_xludf.XLOOKUP("Seguro",PARAMETROS_IMPORTACION!$A:$A,PARAMETROS_IMPORTACION!$C:$C,0),0)</f>
        <v>0</v>
      </c>
      <c r="J838" s="3">
        <f ca="1">IFERROR(_xludf.XLOOKUP("Arancel",PARAMETROS_IMPORTACION!$A:$A,PARAMETROS_IMPORTACION!$C:$C,0),0)</f>
        <v>0</v>
      </c>
      <c r="K838" s="2">
        <f ca="1">IFERROR(_xludf.XLOOKUP("Gastos_Aduana",PARAMETROS_IMPORTACION!$A:$A,PARAMETROS_IMPORTACION!$C:$C,0),0)</f>
        <v>0</v>
      </c>
      <c r="L838" s="2">
        <f t="shared" si="27"/>
        <v>0</v>
      </c>
    </row>
    <row r="839" spans="5:12" x14ac:dyDescent="0.35">
      <c r="E839" s="2"/>
      <c r="F839" s="2">
        <f>_xlfn.XLOOKUP(D839,TIPOS_CAMBIO!A:A,TIPOS_CAMBIO!B:B,"",0)</f>
        <v>0</v>
      </c>
      <c r="G839" s="3">
        <f t="shared" si="26"/>
        <v>0</v>
      </c>
      <c r="H839" s="3"/>
      <c r="I839" s="3">
        <f ca="1">IFERROR(_xludf.XLOOKUP("Seguro",PARAMETROS_IMPORTACION!$A:$A,PARAMETROS_IMPORTACION!$C:$C,0),0)</f>
        <v>0</v>
      </c>
      <c r="J839" s="3">
        <f ca="1">IFERROR(_xludf.XLOOKUP("Arancel",PARAMETROS_IMPORTACION!$A:$A,PARAMETROS_IMPORTACION!$C:$C,0),0)</f>
        <v>0</v>
      </c>
      <c r="K839" s="2">
        <f ca="1">IFERROR(_xludf.XLOOKUP("Gastos_Aduana",PARAMETROS_IMPORTACION!$A:$A,PARAMETROS_IMPORTACION!$C:$C,0),0)</f>
        <v>0</v>
      </c>
      <c r="L839" s="2">
        <f t="shared" si="27"/>
        <v>0</v>
      </c>
    </row>
    <row r="840" spans="5:12" x14ac:dyDescent="0.35">
      <c r="E840" s="2"/>
      <c r="F840" s="2">
        <f>_xlfn.XLOOKUP(D840,TIPOS_CAMBIO!A:A,TIPOS_CAMBIO!B:B,"",0)</f>
        <v>0</v>
      </c>
      <c r="G840" s="3">
        <f t="shared" si="26"/>
        <v>0</v>
      </c>
      <c r="H840" s="3"/>
      <c r="I840" s="3">
        <f ca="1">IFERROR(_xludf.XLOOKUP("Seguro",PARAMETROS_IMPORTACION!$A:$A,PARAMETROS_IMPORTACION!$C:$C,0),0)</f>
        <v>0</v>
      </c>
      <c r="J840" s="3">
        <f ca="1">IFERROR(_xludf.XLOOKUP("Arancel",PARAMETROS_IMPORTACION!$A:$A,PARAMETROS_IMPORTACION!$C:$C,0),0)</f>
        <v>0</v>
      </c>
      <c r="K840" s="2">
        <f ca="1">IFERROR(_xludf.XLOOKUP("Gastos_Aduana",PARAMETROS_IMPORTACION!$A:$A,PARAMETROS_IMPORTACION!$C:$C,0),0)</f>
        <v>0</v>
      </c>
      <c r="L840" s="2">
        <f t="shared" si="27"/>
        <v>0</v>
      </c>
    </row>
    <row r="841" spans="5:12" x14ac:dyDescent="0.35">
      <c r="E841" s="2"/>
      <c r="F841" s="2">
        <f>_xlfn.XLOOKUP(D841,TIPOS_CAMBIO!A:A,TIPOS_CAMBIO!B:B,"",0)</f>
        <v>0</v>
      </c>
      <c r="G841" s="3">
        <f t="shared" si="26"/>
        <v>0</v>
      </c>
      <c r="H841" s="3"/>
      <c r="I841" s="3">
        <f ca="1">IFERROR(_xludf.XLOOKUP("Seguro",PARAMETROS_IMPORTACION!$A:$A,PARAMETROS_IMPORTACION!$C:$C,0),0)</f>
        <v>0</v>
      </c>
      <c r="J841" s="3">
        <f ca="1">IFERROR(_xludf.XLOOKUP("Arancel",PARAMETROS_IMPORTACION!$A:$A,PARAMETROS_IMPORTACION!$C:$C,0),0)</f>
        <v>0</v>
      </c>
      <c r="K841" s="2">
        <f ca="1">IFERROR(_xludf.XLOOKUP("Gastos_Aduana",PARAMETROS_IMPORTACION!$A:$A,PARAMETROS_IMPORTACION!$C:$C,0),0)</f>
        <v>0</v>
      </c>
      <c r="L841" s="2">
        <f t="shared" si="27"/>
        <v>0</v>
      </c>
    </row>
    <row r="842" spans="5:12" x14ac:dyDescent="0.35">
      <c r="E842" s="2"/>
      <c r="F842" s="2">
        <f>_xlfn.XLOOKUP(D842,TIPOS_CAMBIO!A:A,TIPOS_CAMBIO!B:B,"",0)</f>
        <v>0</v>
      </c>
      <c r="G842" s="3">
        <f t="shared" si="26"/>
        <v>0</v>
      </c>
      <c r="H842" s="3"/>
      <c r="I842" s="3">
        <f ca="1">IFERROR(_xludf.XLOOKUP("Seguro",PARAMETROS_IMPORTACION!$A:$A,PARAMETROS_IMPORTACION!$C:$C,0),0)</f>
        <v>0</v>
      </c>
      <c r="J842" s="3">
        <f ca="1">IFERROR(_xludf.XLOOKUP("Arancel",PARAMETROS_IMPORTACION!$A:$A,PARAMETROS_IMPORTACION!$C:$C,0),0)</f>
        <v>0</v>
      </c>
      <c r="K842" s="2">
        <f ca="1">IFERROR(_xludf.XLOOKUP("Gastos_Aduana",PARAMETROS_IMPORTACION!$A:$A,PARAMETROS_IMPORTACION!$C:$C,0),0)</f>
        <v>0</v>
      </c>
      <c r="L842" s="2">
        <f t="shared" si="27"/>
        <v>0</v>
      </c>
    </row>
    <row r="843" spans="5:12" x14ac:dyDescent="0.35">
      <c r="E843" s="2"/>
      <c r="F843" s="2">
        <f>_xlfn.XLOOKUP(D843,TIPOS_CAMBIO!A:A,TIPOS_CAMBIO!B:B,"",0)</f>
        <v>0</v>
      </c>
      <c r="G843" s="3">
        <f t="shared" si="26"/>
        <v>0</v>
      </c>
      <c r="H843" s="3"/>
      <c r="I843" s="3">
        <f ca="1">IFERROR(_xludf.XLOOKUP("Seguro",PARAMETROS_IMPORTACION!$A:$A,PARAMETROS_IMPORTACION!$C:$C,0),0)</f>
        <v>0</v>
      </c>
      <c r="J843" s="3">
        <f ca="1">IFERROR(_xludf.XLOOKUP("Arancel",PARAMETROS_IMPORTACION!$A:$A,PARAMETROS_IMPORTACION!$C:$C,0),0)</f>
        <v>0</v>
      </c>
      <c r="K843" s="2">
        <f ca="1">IFERROR(_xludf.XLOOKUP("Gastos_Aduana",PARAMETROS_IMPORTACION!$A:$A,PARAMETROS_IMPORTACION!$C:$C,0),0)</f>
        <v>0</v>
      </c>
      <c r="L843" s="2">
        <f t="shared" si="27"/>
        <v>0</v>
      </c>
    </row>
    <row r="844" spans="5:12" x14ac:dyDescent="0.35">
      <c r="E844" s="2"/>
      <c r="F844" s="2">
        <f>_xlfn.XLOOKUP(D844,TIPOS_CAMBIO!A:A,TIPOS_CAMBIO!B:B,"",0)</f>
        <v>0</v>
      </c>
      <c r="G844" s="3">
        <f t="shared" si="26"/>
        <v>0</v>
      </c>
      <c r="H844" s="3"/>
      <c r="I844" s="3">
        <f ca="1">IFERROR(_xludf.XLOOKUP("Seguro",PARAMETROS_IMPORTACION!$A:$A,PARAMETROS_IMPORTACION!$C:$C,0),0)</f>
        <v>0</v>
      </c>
      <c r="J844" s="3">
        <f ca="1">IFERROR(_xludf.XLOOKUP("Arancel",PARAMETROS_IMPORTACION!$A:$A,PARAMETROS_IMPORTACION!$C:$C,0),0)</f>
        <v>0</v>
      </c>
      <c r="K844" s="2">
        <f ca="1">IFERROR(_xludf.XLOOKUP("Gastos_Aduana",PARAMETROS_IMPORTACION!$A:$A,PARAMETROS_IMPORTACION!$C:$C,0),0)</f>
        <v>0</v>
      </c>
      <c r="L844" s="2">
        <f t="shared" si="27"/>
        <v>0</v>
      </c>
    </row>
    <row r="845" spans="5:12" x14ac:dyDescent="0.35">
      <c r="E845" s="2"/>
      <c r="F845" s="2">
        <f>_xlfn.XLOOKUP(D845,TIPOS_CAMBIO!A:A,TIPOS_CAMBIO!B:B,"",0)</f>
        <v>0</v>
      </c>
      <c r="G845" s="3">
        <f t="shared" si="26"/>
        <v>0</v>
      </c>
      <c r="H845" s="3"/>
      <c r="I845" s="3">
        <f ca="1">IFERROR(_xludf.XLOOKUP("Seguro",PARAMETROS_IMPORTACION!$A:$A,PARAMETROS_IMPORTACION!$C:$C,0),0)</f>
        <v>0</v>
      </c>
      <c r="J845" s="3">
        <f ca="1">IFERROR(_xludf.XLOOKUP("Arancel",PARAMETROS_IMPORTACION!$A:$A,PARAMETROS_IMPORTACION!$C:$C,0),0)</f>
        <v>0</v>
      </c>
      <c r="K845" s="2">
        <f ca="1">IFERROR(_xludf.XLOOKUP("Gastos_Aduana",PARAMETROS_IMPORTACION!$A:$A,PARAMETROS_IMPORTACION!$C:$C,0),0)</f>
        <v>0</v>
      </c>
      <c r="L845" s="2">
        <f t="shared" si="27"/>
        <v>0</v>
      </c>
    </row>
    <row r="846" spans="5:12" x14ac:dyDescent="0.35">
      <c r="E846" s="2"/>
      <c r="F846" s="2">
        <f>_xlfn.XLOOKUP(D846,TIPOS_CAMBIO!A:A,TIPOS_CAMBIO!B:B,"",0)</f>
        <v>0</v>
      </c>
      <c r="G846" s="3">
        <f t="shared" si="26"/>
        <v>0</v>
      </c>
      <c r="H846" s="3"/>
      <c r="I846" s="3">
        <f ca="1">IFERROR(_xludf.XLOOKUP("Seguro",PARAMETROS_IMPORTACION!$A:$A,PARAMETROS_IMPORTACION!$C:$C,0),0)</f>
        <v>0</v>
      </c>
      <c r="J846" s="3">
        <f ca="1">IFERROR(_xludf.XLOOKUP("Arancel",PARAMETROS_IMPORTACION!$A:$A,PARAMETROS_IMPORTACION!$C:$C,0),0)</f>
        <v>0</v>
      </c>
      <c r="K846" s="2">
        <f ca="1">IFERROR(_xludf.XLOOKUP("Gastos_Aduana",PARAMETROS_IMPORTACION!$A:$A,PARAMETROS_IMPORTACION!$C:$C,0),0)</f>
        <v>0</v>
      </c>
      <c r="L846" s="2">
        <f t="shared" si="27"/>
        <v>0</v>
      </c>
    </row>
    <row r="847" spans="5:12" x14ac:dyDescent="0.35">
      <c r="E847" s="2"/>
      <c r="F847" s="2">
        <f>_xlfn.XLOOKUP(D847,TIPOS_CAMBIO!A:A,TIPOS_CAMBIO!B:B,"",0)</f>
        <v>0</v>
      </c>
      <c r="G847" s="3">
        <f t="shared" si="26"/>
        <v>0</v>
      </c>
      <c r="H847" s="3"/>
      <c r="I847" s="3">
        <f ca="1">IFERROR(_xludf.XLOOKUP("Seguro",PARAMETROS_IMPORTACION!$A:$A,PARAMETROS_IMPORTACION!$C:$C,0),0)</f>
        <v>0</v>
      </c>
      <c r="J847" s="3">
        <f ca="1">IFERROR(_xludf.XLOOKUP("Arancel",PARAMETROS_IMPORTACION!$A:$A,PARAMETROS_IMPORTACION!$C:$C,0),0)</f>
        <v>0</v>
      </c>
      <c r="K847" s="2">
        <f ca="1">IFERROR(_xludf.XLOOKUP("Gastos_Aduana",PARAMETROS_IMPORTACION!$A:$A,PARAMETROS_IMPORTACION!$C:$C,0),0)</f>
        <v>0</v>
      </c>
      <c r="L847" s="2">
        <f t="shared" si="27"/>
        <v>0</v>
      </c>
    </row>
    <row r="848" spans="5:12" x14ac:dyDescent="0.35">
      <c r="E848" s="2"/>
      <c r="F848" s="2">
        <f>_xlfn.XLOOKUP(D848,TIPOS_CAMBIO!A:A,TIPOS_CAMBIO!B:B,"",0)</f>
        <v>0</v>
      </c>
      <c r="G848" s="3">
        <f t="shared" si="26"/>
        <v>0</v>
      </c>
      <c r="H848" s="3"/>
      <c r="I848" s="3">
        <f ca="1">IFERROR(_xludf.XLOOKUP("Seguro",PARAMETROS_IMPORTACION!$A:$A,PARAMETROS_IMPORTACION!$C:$C,0),0)</f>
        <v>0</v>
      </c>
      <c r="J848" s="3">
        <f ca="1">IFERROR(_xludf.XLOOKUP("Arancel",PARAMETROS_IMPORTACION!$A:$A,PARAMETROS_IMPORTACION!$C:$C,0),0)</f>
        <v>0</v>
      </c>
      <c r="K848" s="2">
        <f ca="1">IFERROR(_xludf.XLOOKUP("Gastos_Aduana",PARAMETROS_IMPORTACION!$A:$A,PARAMETROS_IMPORTACION!$C:$C,0),0)</f>
        <v>0</v>
      </c>
      <c r="L848" s="2">
        <f t="shared" si="27"/>
        <v>0</v>
      </c>
    </row>
    <row r="849" spans="5:12" x14ac:dyDescent="0.35">
      <c r="E849" s="2"/>
      <c r="F849" s="2">
        <f>_xlfn.XLOOKUP(D849,TIPOS_CAMBIO!A:A,TIPOS_CAMBIO!B:B,"",0)</f>
        <v>0</v>
      </c>
      <c r="G849" s="3">
        <f t="shared" si="26"/>
        <v>0</v>
      </c>
      <c r="H849" s="3"/>
      <c r="I849" s="3">
        <f ca="1">IFERROR(_xludf.XLOOKUP("Seguro",PARAMETROS_IMPORTACION!$A:$A,PARAMETROS_IMPORTACION!$C:$C,0),0)</f>
        <v>0</v>
      </c>
      <c r="J849" s="3">
        <f ca="1">IFERROR(_xludf.XLOOKUP("Arancel",PARAMETROS_IMPORTACION!$A:$A,PARAMETROS_IMPORTACION!$C:$C,0),0)</f>
        <v>0</v>
      </c>
      <c r="K849" s="2">
        <f ca="1">IFERROR(_xludf.XLOOKUP("Gastos_Aduana",PARAMETROS_IMPORTACION!$A:$A,PARAMETROS_IMPORTACION!$C:$C,0),0)</f>
        <v>0</v>
      </c>
      <c r="L849" s="2">
        <f t="shared" si="27"/>
        <v>0</v>
      </c>
    </row>
    <row r="850" spans="5:12" x14ac:dyDescent="0.35">
      <c r="E850" s="2"/>
      <c r="F850" s="2">
        <f>_xlfn.XLOOKUP(D850,TIPOS_CAMBIO!A:A,TIPOS_CAMBIO!B:B,"",0)</f>
        <v>0</v>
      </c>
      <c r="G850" s="3">
        <f t="shared" si="26"/>
        <v>0</v>
      </c>
      <c r="H850" s="3"/>
      <c r="I850" s="3">
        <f ca="1">IFERROR(_xludf.XLOOKUP("Seguro",PARAMETROS_IMPORTACION!$A:$A,PARAMETROS_IMPORTACION!$C:$C,0),0)</f>
        <v>0</v>
      </c>
      <c r="J850" s="3">
        <f ca="1">IFERROR(_xludf.XLOOKUP("Arancel",PARAMETROS_IMPORTACION!$A:$A,PARAMETROS_IMPORTACION!$C:$C,0),0)</f>
        <v>0</v>
      </c>
      <c r="K850" s="2">
        <f ca="1">IFERROR(_xludf.XLOOKUP("Gastos_Aduana",PARAMETROS_IMPORTACION!$A:$A,PARAMETROS_IMPORTACION!$C:$C,0),0)</f>
        <v>0</v>
      </c>
      <c r="L850" s="2">
        <f t="shared" si="27"/>
        <v>0</v>
      </c>
    </row>
    <row r="851" spans="5:12" x14ac:dyDescent="0.35">
      <c r="E851" s="2"/>
      <c r="F851" s="2">
        <f>_xlfn.XLOOKUP(D851,TIPOS_CAMBIO!A:A,TIPOS_CAMBIO!B:B,"",0)</f>
        <v>0</v>
      </c>
      <c r="G851" s="3">
        <f t="shared" si="26"/>
        <v>0</v>
      </c>
      <c r="H851" s="3"/>
      <c r="I851" s="3">
        <f ca="1">IFERROR(_xludf.XLOOKUP("Seguro",PARAMETROS_IMPORTACION!$A:$A,PARAMETROS_IMPORTACION!$C:$C,0),0)</f>
        <v>0</v>
      </c>
      <c r="J851" s="3">
        <f ca="1">IFERROR(_xludf.XLOOKUP("Arancel",PARAMETROS_IMPORTACION!$A:$A,PARAMETROS_IMPORTACION!$C:$C,0),0)</f>
        <v>0</v>
      </c>
      <c r="K851" s="2">
        <f ca="1">IFERROR(_xludf.XLOOKUP("Gastos_Aduana",PARAMETROS_IMPORTACION!$A:$A,PARAMETROS_IMPORTACION!$C:$C,0),0)</f>
        <v>0</v>
      </c>
      <c r="L851" s="2">
        <f t="shared" si="27"/>
        <v>0</v>
      </c>
    </row>
    <row r="852" spans="5:12" x14ac:dyDescent="0.35">
      <c r="E852" s="2"/>
      <c r="F852" s="2">
        <f>_xlfn.XLOOKUP(D852,TIPOS_CAMBIO!A:A,TIPOS_CAMBIO!B:B,"",0)</f>
        <v>0</v>
      </c>
      <c r="G852" s="3">
        <f t="shared" si="26"/>
        <v>0</v>
      </c>
      <c r="H852" s="3"/>
      <c r="I852" s="3">
        <f ca="1">IFERROR(_xludf.XLOOKUP("Seguro",PARAMETROS_IMPORTACION!$A:$A,PARAMETROS_IMPORTACION!$C:$C,0),0)</f>
        <v>0</v>
      </c>
      <c r="J852" s="3">
        <f ca="1">IFERROR(_xludf.XLOOKUP("Arancel",PARAMETROS_IMPORTACION!$A:$A,PARAMETROS_IMPORTACION!$C:$C,0),0)</f>
        <v>0</v>
      </c>
      <c r="K852" s="2">
        <f ca="1">IFERROR(_xludf.XLOOKUP("Gastos_Aduana",PARAMETROS_IMPORTACION!$A:$A,PARAMETROS_IMPORTACION!$C:$C,0),0)</f>
        <v>0</v>
      </c>
      <c r="L852" s="2">
        <f t="shared" si="27"/>
        <v>0</v>
      </c>
    </row>
    <row r="853" spans="5:12" x14ac:dyDescent="0.35">
      <c r="E853" s="2"/>
      <c r="F853" s="2">
        <f>_xlfn.XLOOKUP(D853,TIPOS_CAMBIO!A:A,TIPOS_CAMBIO!B:B,"",0)</f>
        <v>0</v>
      </c>
      <c r="G853" s="3">
        <f t="shared" si="26"/>
        <v>0</v>
      </c>
      <c r="H853" s="3"/>
      <c r="I853" s="3">
        <f ca="1">IFERROR(_xludf.XLOOKUP("Seguro",PARAMETROS_IMPORTACION!$A:$A,PARAMETROS_IMPORTACION!$C:$C,0),0)</f>
        <v>0</v>
      </c>
      <c r="J853" s="3">
        <f ca="1">IFERROR(_xludf.XLOOKUP("Arancel",PARAMETROS_IMPORTACION!$A:$A,PARAMETROS_IMPORTACION!$C:$C,0),0)</f>
        <v>0</v>
      </c>
      <c r="K853" s="2">
        <f ca="1">IFERROR(_xludf.XLOOKUP("Gastos_Aduana",PARAMETROS_IMPORTACION!$A:$A,PARAMETROS_IMPORTACION!$C:$C,0),0)</f>
        <v>0</v>
      </c>
      <c r="L853" s="2">
        <f t="shared" si="27"/>
        <v>0</v>
      </c>
    </row>
    <row r="854" spans="5:12" x14ac:dyDescent="0.35">
      <c r="E854" s="2"/>
      <c r="F854" s="2">
        <f>_xlfn.XLOOKUP(D854,TIPOS_CAMBIO!A:A,TIPOS_CAMBIO!B:B,"",0)</f>
        <v>0</v>
      </c>
      <c r="G854" s="3">
        <f t="shared" si="26"/>
        <v>0</v>
      </c>
      <c r="H854" s="3"/>
      <c r="I854" s="3">
        <f ca="1">IFERROR(_xludf.XLOOKUP("Seguro",PARAMETROS_IMPORTACION!$A:$A,PARAMETROS_IMPORTACION!$C:$C,0),0)</f>
        <v>0</v>
      </c>
      <c r="J854" s="3">
        <f ca="1">IFERROR(_xludf.XLOOKUP("Arancel",PARAMETROS_IMPORTACION!$A:$A,PARAMETROS_IMPORTACION!$C:$C,0),0)</f>
        <v>0</v>
      </c>
      <c r="K854" s="2">
        <f ca="1">IFERROR(_xludf.XLOOKUP("Gastos_Aduana",PARAMETROS_IMPORTACION!$A:$A,PARAMETROS_IMPORTACION!$C:$C,0),0)</f>
        <v>0</v>
      </c>
      <c r="L854" s="2">
        <f t="shared" si="27"/>
        <v>0</v>
      </c>
    </row>
    <row r="855" spans="5:12" x14ac:dyDescent="0.35">
      <c r="E855" s="2"/>
      <c r="F855" s="2">
        <f>_xlfn.XLOOKUP(D855,TIPOS_CAMBIO!A:A,TIPOS_CAMBIO!B:B,"",0)</f>
        <v>0</v>
      </c>
      <c r="G855" s="3">
        <f t="shared" si="26"/>
        <v>0</v>
      </c>
      <c r="H855" s="3"/>
      <c r="I855" s="3">
        <f ca="1">IFERROR(_xludf.XLOOKUP("Seguro",PARAMETROS_IMPORTACION!$A:$A,PARAMETROS_IMPORTACION!$C:$C,0),0)</f>
        <v>0</v>
      </c>
      <c r="J855" s="3">
        <f ca="1">IFERROR(_xludf.XLOOKUP("Arancel",PARAMETROS_IMPORTACION!$A:$A,PARAMETROS_IMPORTACION!$C:$C,0),0)</f>
        <v>0</v>
      </c>
      <c r="K855" s="2">
        <f ca="1">IFERROR(_xludf.XLOOKUP("Gastos_Aduana",PARAMETROS_IMPORTACION!$A:$A,PARAMETROS_IMPORTACION!$C:$C,0),0)</f>
        <v>0</v>
      </c>
      <c r="L855" s="2">
        <f t="shared" si="27"/>
        <v>0</v>
      </c>
    </row>
    <row r="856" spans="5:12" x14ac:dyDescent="0.35">
      <c r="E856" s="2"/>
      <c r="F856" s="2">
        <f>_xlfn.XLOOKUP(D856,TIPOS_CAMBIO!A:A,TIPOS_CAMBIO!B:B,"",0)</f>
        <v>0</v>
      </c>
      <c r="G856" s="3">
        <f t="shared" si="26"/>
        <v>0</v>
      </c>
      <c r="H856" s="3"/>
      <c r="I856" s="3">
        <f ca="1">IFERROR(_xludf.XLOOKUP("Seguro",PARAMETROS_IMPORTACION!$A:$A,PARAMETROS_IMPORTACION!$C:$C,0),0)</f>
        <v>0</v>
      </c>
      <c r="J856" s="3">
        <f ca="1">IFERROR(_xludf.XLOOKUP("Arancel",PARAMETROS_IMPORTACION!$A:$A,PARAMETROS_IMPORTACION!$C:$C,0),0)</f>
        <v>0</v>
      </c>
      <c r="K856" s="2">
        <f ca="1">IFERROR(_xludf.XLOOKUP("Gastos_Aduana",PARAMETROS_IMPORTACION!$A:$A,PARAMETROS_IMPORTACION!$C:$C,0),0)</f>
        <v>0</v>
      </c>
      <c r="L856" s="2">
        <f t="shared" si="27"/>
        <v>0</v>
      </c>
    </row>
    <row r="857" spans="5:12" x14ac:dyDescent="0.35">
      <c r="E857" s="2"/>
      <c r="F857" s="2">
        <f>_xlfn.XLOOKUP(D857,TIPOS_CAMBIO!A:A,TIPOS_CAMBIO!B:B,"",0)</f>
        <v>0</v>
      </c>
      <c r="G857" s="3">
        <f t="shared" si="26"/>
        <v>0</v>
      </c>
      <c r="H857" s="3"/>
      <c r="I857" s="3">
        <f ca="1">IFERROR(_xludf.XLOOKUP("Seguro",PARAMETROS_IMPORTACION!$A:$A,PARAMETROS_IMPORTACION!$C:$C,0),0)</f>
        <v>0</v>
      </c>
      <c r="J857" s="3">
        <f ca="1">IFERROR(_xludf.XLOOKUP("Arancel",PARAMETROS_IMPORTACION!$A:$A,PARAMETROS_IMPORTACION!$C:$C,0),0)</f>
        <v>0</v>
      </c>
      <c r="K857" s="2">
        <f ca="1">IFERROR(_xludf.XLOOKUP("Gastos_Aduana",PARAMETROS_IMPORTACION!$A:$A,PARAMETROS_IMPORTACION!$C:$C,0),0)</f>
        <v>0</v>
      </c>
      <c r="L857" s="2">
        <f t="shared" si="27"/>
        <v>0</v>
      </c>
    </row>
    <row r="858" spans="5:12" x14ac:dyDescent="0.35">
      <c r="E858" s="2"/>
      <c r="F858" s="2">
        <f>_xlfn.XLOOKUP(D858,TIPOS_CAMBIO!A:A,TIPOS_CAMBIO!B:B,"",0)</f>
        <v>0</v>
      </c>
      <c r="G858" s="3">
        <f t="shared" si="26"/>
        <v>0</v>
      </c>
      <c r="H858" s="3"/>
      <c r="I858" s="3">
        <f ca="1">IFERROR(_xludf.XLOOKUP("Seguro",PARAMETROS_IMPORTACION!$A:$A,PARAMETROS_IMPORTACION!$C:$C,0),0)</f>
        <v>0</v>
      </c>
      <c r="J858" s="3">
        <f ca="1">IFERROR(_xludf.XLOOKUP("Arancel",PARAMETROS_IMPORTACION!$A:$A,PARAMETROS_IMPORTACION!$C:$C,0),0)</f>
        <v>0</v>
      </c>
      <c r="K858" s="2">
        <f ca="1">IFERROR(_xludf.XLOOKUP("Gastos_Aduana",PARAMETROS_IMPORTACION!$A:$A,PARAMETROS_IMPORTACION!$C:$C,0),0)</f>
        <v>0</v>
      </c>
      <c r="L858" s="2">
        <f t="shared" si="27"/>
        <v>0</v>
      </c>
    </row>
    <row r="859" spans="5:12" x14ac:dyDescent="0.35">
      <c r="E859" s="2"/>
      <c r="F859" s="2">
        <f>_xlfn.XLOOKUP(D859,TIPOS_CAMBIO!A:A,TIPOS_CAMBIO!B:B,"",0)</f>
        <v>0</v>
      </c>
      <c r="G859" s="3">
        <f t="shared" si="26"/>
        <v>0</v>
      </c>
      <c r="H859" s="3"/>
      <c r="I859" s="3">
        <f ca="1">IFERROR(_xludf.XLOOKUP("Seguro",PARAMETROS_IMPORTACION!$A:$A,PARAMETROS_IMPORTACION!$C:$C,0),0)</f>
        <v>0</v>
      </c>
      <c r="J859" s="3">
        <f ca="1">IFERROR(_xludf.XLOOKUP("Arancel",PARAMETROS_IMPORTACION!$A:$A,PARAMETROS_IMPORTACION!$C:$C,0),0)</f>
        <v>0</v>
      </c>
      <c r="K859" s="2">
        <f ca="1">IFERROR(_xludf.XLOOKUP("Gastos_Aduana",PARAMETROS_IMPORTACION!$A:$A,PARAMETROS_IMPORTACION!$C:$C,0),0)</f>
        <v>0</v>
      </c>
      <c r="L859" s="2">
        <f t="shared" si="27"/>
        <v>0</v>
      </c>
    </row>
    <row r="860" spans="5:12" x14ac:dyDescent="0.35">
      <c r="E860" s="2"/>
      <c r="F860" s="2">
        <f>_xlfn.XLOOKUP(D860,TIPOS_CAMBIO!A:A,TIPOS_CAMBIO!B:B,"",0)</f>
        <v>0</v>
      </c>
      <c r="G860" s="3">
        <f t="shared" si="26"/>
        <v>0</v>
      </c>
      <c r="H860" s="3"/>
      <c r="I860" s="3">
        <f ca="1">IFERROR(_xludf.XLOOKUP("Seguro",PARAMETROS_IMPORTACION!$A:$A,PARAMETROS_IMPORTACION!$C:$C,0),0)</f>
        <v>0</v>
      </c>
      <c r="J860" s="3">
        <f ca="1">IFERROR(_xludf.XLOOKUP("Arancel",PARAMETROS_IMPORTACION!$A:$A,PARAMETROS_IMPORTACION!$C:$C,0),0)</f>
        <v>0</v>
      </c>
      <c r="K860" s="2">
        <f ca="1">IFERROR(_xludf.XLOOKUP("Gastos_Aduana",PARAMETROS_IMPORTACION!$A:$A,PARAMETROS_IMPORTACION!$C:$C,0),0)</f>
        <v>0</v>
      </c>
      <c r="L860" s="2">
        <f t="shared" si="27"/>
        <v>0</v>
      </c>
    </row>
    <row r="861" spans="5:12" x14ac:dyDescent="0.35">
      <c r="E861" s="2"/>
      <c r="F861" s="2">
        <f>_xlfn.XLOOKUP(D861,TIPOS_CAMBIO!A:A,TIPOS_CAMBIO!B:B,"",0)</f>
        <v>0</v>
      </c>
      <c r="G861" s="3">
        <f t="shared" si="26"/>
        <v>0</v>
      </c>
      <c r="H861" s="3"/>
      <c r="I861" s="3">
        <f ca="1">IFERROR(_xludf.XLOOKUP("Seguro",PARAMETROS_IMPORTACION!$A:$A,PARAMETROS_IMPORTACION!$C:$C,0),0)</f>
        <v>0</v>
      </c>
      <c r="J861" s="3">
        <f ca="1">IFERROR(_xludf.XLOOKUP("Arancel",PARAMETROS_IMPORTACION!$A:$A,PARAMETROS_IMPORTACION!$C:$C,0),0)</f>
        <v>0</v>
      </c>
      <c r="K861" s="2">
        <f ca="1">IFERROR(_xludf.XLOOKUP("Gastos_Aduana",PARAMETROS_IMPORTACION!$A:$A,PARAMETROS_IMPORTACION!$C:$C,0),0)</f>
        <v>0</v>
      </c>
      <c r="L861" s="2">
        <f t="shared" si="27"/>
        <v>0</v>
      </c>
    </row>
    <row r="862" spans="5:12" x14ac:dyDescent="0.35">
      <c r="E862" s="2"/>
      <c r="F862" s="2">
        <f>_xlfn.XLOOKUP(D862,TIPOS_CAMBIO!A:A,TIPOS_CAMBIO!B:B,"",0)</f>
        <v>0</v>
      </c>
      <c r="G862" s="3">
        <f t="shared" si="26"/>
        <v>0</v>
      </c>
      <c r="H862" s="3"/>
      <c r="I862" s="3">
        <f ca="1">IFERROR(_xludf.XLOOKUP("Seguro",PARAMETROS_IMPORTACION!$A:$A,PARAMETROS_IMPORTACION!$C:$C,0),0)</f>
        <v>0</v>
      </c>
      <c r="J862" s="3">
        <f ca="1">IFERROR(_xludf.XLOOKUP("Arancel",PARAMETROS_IMPORTACION!$A:$A,PARAMETROS_IMPORTACION!$C:$C,0),0)</f>
        <v>0</v>
      </c>
      <c r="K862" s="2">
        <f ca="1">IFERROR(_xludf.XLOOKUP("Gastos_Aduana",PARAMETROS_IMPORTACION!$A:$A,PARAMETROS_IMPORTACION!$C:$C,0),0)</f>
        <v>0</v>
      </c>
      <c r="L862" s="2">
        <f t="shared" si="27"/>
        <v>0</v>
      </c>
    </row>
    <row r="863" spans="5:12" x14ac:dyDescent="0.35">
      <c r="E863" s="2"/>
      <c r="F863" s="2">
        <f>_xlfn.XLOOKUP(D863,TIPOS_CAMBIO!A:A,TIPOS_CAMBIO!B:B,"",0)</f>
        <v>0</v>
      </c>
      <c r="G863" s="3">
        <f t="shared" si="26"/>
        <v>0</v>
      </c>
      <c r="H863" s="3"/>
      <c r="I863" s="3">
        <f ca="1">IFERROR(_xludf.XLOOKUP("Seguro",PARAMETROS_IMPORTACION!$A:$A,PARAMETROS_IMPORTACION!$C:$C,0),0)</f>
        <v>0</v>
      </c>
      <c r="J863" s="3">
        <f ca="1">IFERROR(_xludf.XLOOKUP("Arancel",PARAMETROS_IMPORTACION!$A:$A,PARAMETROS_IMPORTACION!$C:$C,0),0)</f>
        <v>0</v>
      </c>
      <c r="K863" s="2">
        <f ca="1">IFERROR(_xludf.XLOOKUP("Gastos_Aduana",PARAMETROS_IMPORTACION!$A:$A,PARAMETROS_IMPORTACION!$C:$C,0),0)</f>
        <v>0</v>
      </c>
      <c r="L863" s="2">
        <f t="shared" si="27"/>
        <v>0</v>
      </c>
    </row>
    <row r="864" spans="5:12" x14ac:dyDescent="0.35">
      <c r="E864" s="2"/>
      <c r="F864" s="2">
        <f>_xlfn.XLOOKUP(D864,TIPOS_CAMBIO!A:A,TIPOS_CAMBIO!B:B,"",0)</f>
        <v>0</v>
      </c>
      <c r="G864" s="3">
        <f t="shared" si="26"/>
        <v>0</v>
      </c>
      <c r="H864" s="3"/>
      <c r="I864" s="3">
        <f ca="1">IFERROR(_xludf.XLOOKUP("Seguro",PARAMETROS_IMPORTACION!$A:$A,PARAMETROS_IMPORTACION!$C:$C,0),0)</f>
        <v>0</v>
      </c>
      <c r="J864" s="3">
        <f ca="1">IFERROR(_xludf.XLOOKUP("Arancel",PARAMETROS_IMPORTACION!$A:$A,PARAMETROS_IMPORTACION!$C:$C,0),0)</f>
        <v>0</v>
      </c>
      <c r="K864" s="2">
        <f ca="1">IFERROR(_xludf.XLOOKUP("Gastos_Aduana",PARAMETROS_IMPORTACION!$A:$A,PARAMETROS_IMPORTACION!$C:$C,0),0)</f>
        <v>0</v>
      </c>
      <c r="L864" s="2">
        <f t="shared" si="27"/>
        <v>0</v>
      </c>
    </row>
    <row r="865" spans="5:12" x14ac:dyDescent="0.35">
      <c r="E865" s="2"/>
      <c r="F865" s="2">
        <f>_xlfn.XLOOKUP(D865,TIPOS_CAMBIO!A:A,TIPOS_CAMBIO!B:B,"",0)</f>
        <v>0</v>
      </c>
      <c r="G865" s="3">
        <f t="shared" si="26"/>
        <v>0</v>
      </c>
      <c r="H865" s="3"/>
      <c r="I865" s="3">
        <f ca="1">IFERROR(_xludf.XLOOKUP("Seguro",PARAMETROS_IMPORTACION!$A:$A,PARAMETROS_IMPORTACION!$C:$C,0),0)</f>
        <v>0</v>
      </c>
      <c r="J865" s="3">
        <f ca="1">IFERROR(_xludf.XLOOKUP("Arancel",PARAMETROS_IMPORTACION!$A:$A,PARAMETROS_IMPORTACION!$C:$C,0),0)</f>
        <v>0</v>
      </c>
      <c r="K865" s="2">
        <f ca="1">IFERROR(_xludf.XLOOKUP("Gastos_Aduana",PARAMETROS_IMPORTACION!$A:$A,PARAMETROS_IMPORTACION!$C:$C,0),0)</f>
        <v>0</v>
      </c>
      <c r="L865" s="2">
        <f t="shared" si="27"/>
        <v>0</v>
      </c>
    </row>
    <row r="866" spans="5:12" x14ac:dyDescent="0.35">
      <c r="E866" s="2"/>
      <c r="F866" s="2">
        <f>_xlfn.XLOOKUP(D866,TIPOS_CAMBIO!A:A,TIPOS_CAMBIO!B:B,"",0)</f>
        <v>0</v>
      </c>
      <c r="G866" s="3">
        <f t="shared" si="26"/>
        <v>0</v>
      </c>
      <c r="H866" s="3"/>
      <c r="I866" s="3">
        <f ca="1">IFERROR(_xludf.XLOOKUP("Seguro",PARAMETROS_IMPORTACION!$A:$A,PARAMETROS_IMPORTACION!$C:$C,0),0)</f>
        <v>0</v>
      </c>
      <c r="J866" s="3">
        <f ca="1">IFERROR(_xludf.XLOOKUP("Arancel",PARAMETROS_IMPORTACION!$A:$A,PARAMETROS_IMPORTACION!$C:$C,0),0)</f>
        <v>0</v>
      </c>
      <c r="K866" s="2">
        <f ca="1">IFERROR(_xludf.XLOOKUP("Gastos_Aduana",PARAMETROS_IMPORTACION!$A:$A,PARAMETROS_IMPORTACION!$C:$C,0),0)</f>
        <v>0</v>
      </c>
      <c r="L866" s="2">
        <f t="shared" si="27"/>
        <v>0</v>
      </c>
    </row>
    <row r="867" spans="5:12" x14ac:dyDescent="0.35">
      <c r="E867" s="2"/>
      <c r="F867" s="2">
        <f>_xlfn.XLOOKUP(D867,TIPOS_CAMBIO!A:A,TIPOS_CAMBIO!B:B,"",0)</f>
        <v>0</v>
      </c>
      <c r="G867" s="3">
        <f t="shared" si="26"/>
        <v>0</v>
      </c>
      <c r="H867" s="3"/>
      <c r="I867" s="3">
        <f ca="1">IFERROR(_xludf.XLOOKUP("Seguro",PARAMETROS_IMPORTACION!$A:$A,PARAMETROS_IMPORTACION!$C:$C,0),0)</f>
        <v>0</v>
      </c>
      <c r="J867" s="3">
        <f ca="1">IFERROR(_xludf.XLOOKUP("Arancel",PARAMETROS_IMPORTACION!$A:$A,PARAMETROS_IMPORTACION!$C:$C,0),0)</f>
        <v>0</v>
      </c>
      <c r="K867" s="2">
        <f ca="1">IFERROR(_xludf.XLOOKUP("Gastos_Aduana",PARAMETROS_IMPORTACION!$A:$A,PARAMETROS_IMPORTACION!$C:$C,0),0)</f>
        <v>0</v>
      </c>
      <c r="L867" s="2">
        <f t="shared" si="27"/>
        <v>0</v>
      </c>
    </row>
    <row r="868" spans="5:12" x14ac:dyDescent="0.35">
      <c r="E868" s="2"/>
      <c r="F868" s="2">
        <f>_xlfn.XLOOKUP(D868,TIPOS_CAMBIO!A:A,TIPOS_CAMBIO!B:B,"",0)</f>
        <v>0</v>
      </c>
      <c r="G868" s="3">
        <f t="shared" si="26"/>
        <v>0</v>
      </c>
      <c r="H868" s="3"/>
      <c r="I868" s="3">
        <f ca="1">IFERROR(_xludf.XLOOKUP("Seguro",PARAMETROS_IMPORTACION!$A:$A,PARAMETROS_IMPORTACION!$C:$C,0),0)</f>
        <v>0</v>
      </c>
      <c r="J868" s="3">
        <f ca="1">IFERROR(_xludf.XLOOKUP("Arancel",PARAMETROS_IMPORTACION!$A:$A,PARAMETROS_IMPORTACION!$C:$C,0),0)</f>
        <v>0</v>
      </c>
      <c r="K868" s="2">
        <f ca="1">IFERROR(_xludf.XLOOKUP("Gastos_Aduana",PARAMETROS_IMPORTACION!$A:$A,PARAMETROS_IMPORTACION!$C:$C,0),0)</f>
        <v>0</v>
      </c>
      <c r="L868" s="2">
        <f t="shared" si="27"/>
        <v>0</v>
      </c>
    </row>
    <row r="869" spans="5:12" x14ac:dyDescent="0.35">
      <c r="E869" s="2"/>
      <c r="F869" s="2">
        <f>_xlfn.XLOOKUP(D869,TIPOS_CAMBIO!A:A,TIPOS_CAMBIO!B:B,"",0)</f>
        <v>0</v>
      </c>
      <c r="G869" s="3">
        <f t="shared" si="26"/>
        <v>0</v>
      </c>
      <c r="H869" s="3"/>
      <c r="I869" s="3">
        <f ca="1">IFERROR(_xludf.XLOOKUP("Seguro",PARAMETROS_IMPORTACION!$A:$A,PARAMETROS_IMPORTACION!$C:$C,0),0)</f>
        <v>0</v>
      </c>
      <c r="J869" s="3">
        <f ca="1">IFERROR(_xludf.XLOOKUP("Arancel",PARAMETROS_IMPORTACION!$A:$A,PARAMETROS_IMPORTACION!$C:$C,0),0)</f>
        <v>0</v>
      </c>
      <c r="K869" s="2">
        <f ca="1">IFERROR(_xludf.XLOOKUP("Gastos_Aduana",PARAMETROS_IMPORTACION!$A:$A,PARAMETROS_IMPORTACION!$C:$C,0),0)</f>
        <v>0</v>
      </c>
      <c r="L869" s="2">
        <f t="shared" si="27"/>
        <v>0</v>
      </c>
    </row>
    <row r="870" spans="5:12" x14ac:dyDescent="0.35">
      <c r="E870" s="2"/>
      <c r="F870" s="2">
        <f>_xlfn.XLOOKUP(D870,TIPOS_CAMBIO!A:A,TIPOS_CAMBIO!B:B,"",0)</f>
        <v>0</v>
      </c>
      <c r="G870" s="3">
        <f t="shared" si="26"/>
        <v>0</v>
      </c>
      <c r="H870" s="3"/>
      <c r="I870" s="3">
        <f ca="1">IFERROR(_xludf.XLOOKUP("Seguro",PARAMETROS_IMPORTACION!$A:$A,PARAMETROS_IMPORTACION!$C:$C,0),0)</f>
        <v>0</v>
      </c>
      <c r="J870" s="3">
        <f ca="1">IFERROR(_xludf.XLOOKUP("Arancel",PARAMETROS_IMPORTACION!$A:$A,PARAMETROS_IMPORTACION!$C:$C,0),0)</f>
        <v>0</v>
      </c>
      <c r="K870" s="2">
        <f ca="1">IFERROR(_xludf.XLOOKUP("Gastos_Aduana",PARAMETROS_IMPORTACION!$A:$A,PARAMETROS_IMPORTACION!$C:$C,0),0)</f>
        <v>0</v>
      </c>
      <c r="L870" s="2">
        <f t="shared" si="27"/>
        <v>0</v>
      </c>
    </row>
    <row r="871" spans="5:12" x14ac:dyDescent="0.35">
      <c r="E871" s="2"/>
      <c r="F871" s="2">
        <f>_xlfn.XLOOKUP(D871,TIPOS_CAMBIO!A:A,TIPOS_CAMBIO!B:B,"",0)</f>
        <v>0</v>
      </c>
      <c r="G871" s="3">
        <f t="shared" si="26"/>
        <v>0</v>
      </c>
      <c r="H871" s="3"/>
      <c r="I871" s="3">
        <f ca="1">IFERROR(_xludf.XLOOKUP("Seguro",PARAMETROS_IMPORTACION!$A:$A,PARAMETROS_IMPORTACION!$C:$C,0),0)</f>
        <v>0</v>
      </c>
      <c r="J871" s="3">
        <f ca="1">IFERROR(_xludf.XLOOKUP("Arancel",PARAMETROS_IMPORTACION!$A:$A,PARAMETROS_IMPORTACION!$C:$C,0),0)</f>
        <v>0</v>
      </c>
      <c r="K871" s="2">
        <f ca="1">IFERROR(_xludf.XLOOKUP("Gastos_Aduana",PARAMETROS_IMPORTACION!$A:$A,PARAMETROS_IMPORTACION!$C:$C,0),0)</f>
        <v>0</v>
      </c>
      <c r="L871" s="2">
        <f t="shared" si="27"/>
        <v>0</v>
      </c>
    </row>
    <row r="872" spans="5:12" x14ac:dyDescent="0.35">
      <c r="E872" s="2"/>
      <c r="F872" s="2">
        <f>_xlfn.XLOOKUP(D872,TIPOS_CAMBIO!A:A,TIPOS_CAMBIO!B:B,"",0)</f>
        <v>0</v>
      </c>
      <c r="G872" s="3">
        <f t="shared" si="26"/>
        <v>0</v>
      </c>
      <c r="H872" s="3"/>
      <c r="I872" s="3">
        <f ca="1">IFERROR(_xludf.XLOOKUP("Seguro",PARAMETROS_IMPORTACION!$A:$A,PARAMETROS_IMPORTACION!$C:$C,0),0)</f>
        <v>0</v>
      </c>
      <c r="J872" s="3">
        <f ca="1">IFERROR(_xludf.XLOOKUP("Arancel",PARAMETROS_IMPORTACION!$A:$A,PARAMETROS_IMPORTACION!$C:$C,0),0)</f>
        <v>0</v>
      </c>
      <c r="K872" s="2">
        <f ca="1">IFERROR(_xludf.XLOOKUP("Gastos_Aduana",PARAMETROS_IMPORTACION!$A:$A,PARAMETROS_IMPORTACION!$C:$C,0),0)</f>
        <v>0</v>
      </c>
      <c r="L872" s="2">
        <f t="shared" si="27"/>
        <v>0</v>
      </c>
    </row>
    <row r="873" spans="5:12" x14ac:dyDescent="0.35">
      <c r="E873" s="2"/>
      <c r="F873" s="2">
        <f>_xlfn.XLOOKUP(D873,TIPOS_CAMBIO!A:A,TIPOS_CAMBIO!B:B,"",0)</f>
        <v>0</v>
      </c>
      <c r="G873" s="3">
        <f t="shared" si="26"/>
        <v>0</v>
      </c>
      <c r="H873" s="3"/>
      <c r="I873" s="3">
        <f ca="1">IFERROR(_xludf.XLOOKUP("Seguro",PARAMETROS_IMPORTACION!$A:$A,PARAMETROS_IMPORTACION!$C:$C,0),0)</f>
        <v>0</v>
      </c>
      <c r="J873" s="3">
        <f ca="1">IFERROR(_xludf.XLOOKUP("Arancel",PARAMETROS_IMPORTACION!$A:$A,PARAMETROS_IMPORTACION!$C:$C,0),0)</f>
        <v>0</v>
      </c>
      <c r="K873" s="2">
        <f ca="1">IFERROR(_xludf.XLOOKUP("Gastos_Aduana",PARAMETROS_IMPORTACION!$A:$A,PARAMETROS_IMPORTACION!$C:$C,0),0)</f>
        <v>0</v>
      </c>
      <c r="L873" s="2">
        <f t="shared" si="27"/>
        <v>0</v>
      </c>
    </row>
    <row r="874" spans="5:12" x14ac:dyDescent="0.35">
      <c r="E874" s="2"/>
      <c r="F874" s="2">
        <f>_xlfn.XLOOKUP(D874,TIPOS_CAMBIO!A:A,TIPOS_CAMBIO!B:B,"",0)</f>
        <v>0</v>
      </c>
      <c r="G874" s="3">
        <f t="shared" si="26"/>
        <v>0</v>
      </c>
      <c r="H874" s="3"/>
      <c r="I874" s="3">
        <f ca="1">IFERROR(_xludf.XLOOKUP("Seguro",PARAMETROS_IMPORTACION!$A:$A,PARAMETROS_IMPORTACION!$C:$C,0),0)</f>
        <v>0</v>
      </c>
      <c r="J874" s="3">
        <f ca="1">IFERROR(_xludf.XLOOKUP("Arancel",PARAMETROS_IMPORTACION!$A:$A,PARAMETROS_IMPORTACION!$C:$C,0),0)</f>
        <v>0</v>
      </c>
      <c r="K874" s="2">
        <f ca="1">IFERROR(_xludf.XLOOKUP("Gastos_Aduana",PARAMETROS_IMPORTACION!$A:$A,PARAMETROS_IMPORTACION!$C:$C,0),0)</f>
        <v>0</v>
      </c>
      <c r="L874" s="2">
        <f t="shared" si="27"/>
        <v>0</v>
      </c>
    </row>
    <row r="875" spans="5:12" x14ac:dyDescent="0.35">
      <c r="E875" s="2"/>
      <c r="F875" s="2">
        <f>_xlfn.XLOOKUP(D875,TIPOS_CAMBIO!A:A,TIPOS_CAMBIO!B:B,"",0)</f>
        <v>0</v>
      </c>
      <c r="G875" s="3">
        <f t="shared" si="26"/>
        <v>0</v>
      </c>
      <c r="H875" s="3"/>
      <c r="I875" s="3">
        <f ca="1">IFERROR(_xludf.XLOOKUP("Seguro",PARAMETROS_IMPORTACION!$A:$A,PARAMETROS_IMPORTACION!$C:$C,0),0)</f>
        <v>0</v>
      </c>
      <c r="J875" s="3">
        <f ca="1">IFERROR(_xludf.XLOOKUP("Arancel",PARAMETROS_IMPORTACION!$A:$A,PARAMETROS_IMPORTACION!$C:$C,0),0)</f>
        <v>0</v>
      </c>
      <c r="K875" s="2">
        <f ca="1">IFERROR(_xludf.XLOOKUP("Gastos_Aduana",PARAMETROS_IMPORTACION!$A:$A,PARAMETROS_IMPORTACION!$C:$C,0),0)</f>
        <v>0</v>
      </c>
      <c r="L875" s="2">
        <f t="shared" si="27"/>
        <v>0</v>
      </c>
    </row>
    <row r="876" spans="5:12" x14ac:dyDescent="0.35">
      <c r="E876" s="2"/>
      <c r="F876" s="2">
        <f>_xlfn.XLOOKUP(D876,TIPOS_CAMBIO!A:A,TIPOS_CAMBIO!B:B,"",0)</f>
        <v>0</v>
      </c>
      <c r="G876" s="3">
        <f t="shared" si="26"/>
        <v>0</v>
      </c>
      <c r="H876" s="3"/>
      <c r="I876" s="3">
        <f ca="1">IFERROR(_xludf.XLOOKUP("Seguro",PARAMETROS_IMPORTACION!$A:$A,PARAMETROS_IMPORTACION!$C:$C,0),0)</f>
        <v>0</v>
      </c>
      <c r="J876" s="3">
        <f ca="1">IFERROR(_xludf.XLOOKUP("Arancel",PARAMETROS_IMPORTACION!$A:$A,PARAMETROS_IMPORTACION!$C:$C,0),0)</f>
        <v>0</v>
      </c>
      <c r="K876" s="2">
        <f ca="1">IFERROR(_xludf.XLOOKUP("Gastos_Aduana",PARAMETROS_IMPORTACION!$A:$A,PARAMETROS_IMPORTACION!$C:$C,0),0)</f>
        <v>0</v>
      </c>
      <c r="L876" s="2">
        <f t="shared" si="27"/>
        <v>0</v>
      </c>
    </row>
    <row r="877" spans="5:12" x14ac:dyDescent="0.35">
      <c r="E877" s="2"/>
      <c r="F877" s="2">
        <f>_xlfn.XLOOKUP(D877,TIPOS_CAMBIO!A:A,TIPOS_CAMBIO!B:B,"",0)</f>
        <v>0</v>
      </c>
      <c r="G877" s="3">
        <f t="shared" si="26"/>
        <v>0</v>
      </c>
      <c r="H877" s="3"/>
      <c r="I877" s="3">
        <f ca="1">IFERROR(_xludf.XLOOKUP("Seguro",PARAMETROS_IMPORTACION!$A:$A,PARAMETROS_IMPORTACION!$C:$C,0),0)</f>
        <v>0</v>
      </c>
      <c r="J877" s="3">
        <f ca="1">IFERROR(_xludf.XLOOKUP("Arancel",PARAMETROS_IMPORTACION!$A:$A,PARAMETROS_IMPORTACION!$C:$C,0),0)</f>
        <v>0</v>
      </c>
      <c r="K877" s="2">
        <f ca="1">IFERROR(_xludf.XLOOKUP("Gastos_Aduana",PARAMETROS_IMPORTACION!$A:$A,PARAMETROS_IMPORTACION!$C:$C,0),0)</f>
        <v>0</v>
      </c>
      <c r="L877" s="2">
        <f t="shared" si="27"/>
        <v>0</v>
      </c>
    </row>
    <row r="878" spans="5:12" x14ac:dyDescent="0.35">
      <c r="E878" s="2"/>
      <c r="F878" s="2">
        <f>_xlfn.XLOOKUP(D878,TIPOS_CAMBIO!A:A,TIPOS_CAMBIO!B:B,"",0)</f>
        <v>0</v>
      </c>
      <c r="G878" s="3">
        <f t="shared" si="26"/>
        <v>0</v>
      </c>
      <c r="H878" s="3"/>
      <c r="I878" s="3">
        <f ca="1">IFERROR(_xludf.XLOOKUP("Seguro",PARAMETROS_IMPORTACION!$A:$A,PARAMETROS_IMPORTACION!$C:$C,0),0)</f>
        <v>0</v>
      </c>
      <c r="J878" s="3">
        <f ca="1">IFERROR(_xludf.XLOOKUP("Arancel",PARAMETROS_IMPORTACION!$A:$A,PARAMETROS_IMPORTACION!$C:$C,0),0)</f>
        <v>0</v>
      </c>
      <c r="K878" s="2">
        <f ca="1">IFERROR(_xludf.XLOOKUP("Gastos_Aduana",PARAMETROS_IMPORTACION!$A:$A,PARAMETROS_IMPORTACION!$C:$C,0),0)</f>
        <v>0</v>
      </c>
      <c r="L878" s="2">
        <f t="shared" si="27"/>
        <v>0</v>
      </c>
    </row>
    <row r="879" spans="5:12" x14ac:dyDescent="0.35">
      <c r="E879" s="2"/>
      <c r="F879" s="2">
        <f>_xlfn.XLOOKUP(D879,TIPOS_CAMBIO!A:A,TIPOS_CAMBIO!B:B,"",0)</f>
        <v>0</v>
      </c>
      <c r="G879" s="3">
        <f t="shared" si="26"/>
        <v>0</v>
      </c>
      <c r="H879" s="3"/>
      <c r="I879" s="3">
        <f ca="1">IFERROR(_xludf.XLOOKUP("Seguro",PARAMETROS_IMPORTACION!$A:$A,PARAMETROS_IMPORTACION!$C:$C,0),0)</f>
        <v>0</v>
      </c>
      <c r="J879" s="3">
        <f ca="1">IFERROR(_xludf.XLOOKUP("Arancel",PARAMETROS_IMPORTACION!$A:$A,PARAMETROS_IMPORTACION!$C:$C,0),0)</f>
        <v>0</v>
      </c>
      <c r="K879" s="2">
        <f ca="1">IFERROR(_xludf.XLOOKUP("Gastos_Aduana",PARAMETROS_IMPORTACION!$A:$A,PARAMETROS_IMPORTACION!$C:$C,0),0)</f>
        <v>0</v>
      </c>
      <c r="L879" s="2">
        <f t="shared" si="27"/>
        <v>0</v>
      </c>
    </row>
    <row r="880" spans="5:12" x14ac:dyDescent="0.35">
      <c r="E880" s="2"/>
      <c r="F880" s="2">
        <f>_xlfn.XLOOKUP(D880,TIPOS_CAMBIO!A:A,TIPOS_CAMBIO!B:B,"",0)</f>
        <v>0</v>
      </c>
      <c r="G880" s="3">
        <f t="shared" si="26"/>
        <v>0</v>
      </c>
      <c r="H880" s="3"/>
      <c r="I880" s="3">
        <f ca="1">IFERROR(_xludf.XLOOKUP("Seguro",PARAMETROS_IMPORTACION!$A:$A,PARAMETROS_IMPORTACION!$C:$C,0),0)</f>
        <v>0</v>
      </c>
      <c r="J880" s="3">
        <f ca="1">IFERROR(_xludf.XLOOKUP("Arancel",PARAMETROS_IMPORTACION!$A:$A,PARAMETROS_IMPORTACION!$C:$C,0),0)</f>
        <v>0</v>
      </c>
      <c r="K880" s="2">
        <f ca="1">IFERROR(_xludf.XLOOKUP("Gastos_Aduana",PARAMETROS_IMPORTACION!$A:$A,PARAMETROS_IMPORTACION!$C:$C,0),0)</f>
        <v>0</v>
      </c>
      <c r="L880" s="2">
        <f t="shared" si="27"/>
        <v>0</v>
      </c>
    </row>
    <row r="881" spans="5:12" x14ac:dyDescent="0.35">
      <c r="E881" s="2"/>
      <c r="F881" s="2">
        <f>_xlfn.XLOOKUP(D881,TIPOS_CAMBIO!A:A,TIPOS_CAMBIO!B:B,"",0)</f>
        <v>0</v>
      </c>
      <c r="G881" s="3">
        <f t="shared" si="26"/>
        <v>0</v>
      </c>
      <c r="H881" s="3"/>
      <c r="I881" s="3">
        <f ca="1">IFERROR(_xludf.XLOOKUP("Seguro",PARAMETROS_IMPORTACION!$A:$A,PARAMETROS_IMPORTACION!$C:$C,0),0)</f>
        <v>0</v>
      </c>
      <c r="J881" s="3">
        <f ca="1">IFERROR(_xludf.XLOOKUP("Arancel",PARAMETROS_IMPORTACION!$A:$A,PARAMETROS_IMPORTACION!$C:$C,0),0)</f>
        <v>0</v>
      </c>
      <c r="K881" s="2">
        <f ca="1">IFERROR(_xludf.XLOOKUP("Gastos_Aduana",PARAMETROS_IMPORTACION!$A:$A,PARAMETROS_IMPORTACION!$C:$C,0),0)</f>
        <v>0</v>
      </c>
      <c r="L881" s="2">
        <f t="shared" si="27"/>
        <v>0</v>
      </c>
    </row>
    <row r="882" spans="5:12" x14ac:dyDescent="0.35">
      <c r="E882" s="2"/>
      <c r="F882" s="2">
        <f>_xlfn.XLOOKUP(D882,TIPOS_CAMBIO!A:A,TIPOS_CAMBIO!B:B,"",0)</f>
        <v>0</v>
      </c>
      <c r="G882" s="3">
        <f t="shared" si="26"/>
        <v>0</v>
      </c>
      <c r="H882" s="3"/>
      <c r="I882" s="3">
        <f ca="1">IFERROR(_xludf.XLOOKUP("Seguro",PARAMETROS_IMPORTACION!$A:$A,PARAMETROS_IMPORTACION!$C:$C,0),0)</f>
        <v>0</v>
      </c>
      <c r="J882" s="3">
        <f ca="1">IFERROR(_xludf.XLOOKUP("Arancel",PARAMETROS_IMPORTACION!$A:$A,PARAMETROS_IMPORTACION!$C:$C,0),0)</f>
        <v>0</v>
      </c>
      <c r="K882" s="2">
        <f ca="1">IFERROR(_xludf.XLOOKUP("Gastos_Aduana",PARAMETROS_IMPORTACION!$A:$A,PARAMETROS_IMPORTACION!$C:$C,0),0)</f>
        <v>0</v>
      </c>
      <c r="L882" s="2">
        <f t="shared" si="27"/>
        <v>0</v>
      </c>
    </row>
    <row r="883" spans="5:12" x14ac:dyDescent="0.35">
      <c r="E883" s="2"/>
      <c r="F883" s="2">
        <f>_xlfn.XLOOKUP(D883,TIPOS_CAMBIO!A:A,TIPOS_CAMBIO!B:B,"",0)</f>
        <v>0</v>
      </c>
      <c r="G883" s="3">
        <f t="shared" si="26"/>
        <v>0</v>
      </c>
      <c r="H883" s="3"/>
      <c r="I883" s="3">
        <f ca="1">IFERROR(_xludf.XLOOKUP("Seguro",PARAMETROS_IMPORTACION!$A:$A,PARAMETROS_IMPORTACION!$C:$C,0),0)</f>
        <v>0</v>
      </c>
      <c r="J883" s="3">
        <f ca="1">IFERROR(_xludf.XLOOKUP("Arancel",PARAMETROS_IMPORTACION!$A:$A,PARAMETROS_IMPORTACION!$C:$C,0),0)</f>
        <v>0</v>
      </c>
      <c r="K883" s="2">
        <f ca="1">IFERROR(_xludf.XLOOKUP("Gastos_Aduana",PARAMETROS_IMPORTACION!$A:$A,PARAMETROS_IMPORTACION!$C:$C,0),0)</f>
        <v>0</v>
      </c>
      <c r="L883" s="2">
        <f t="shared" si="27"/>
        <v>0</v>
      </c>
    </row>
    <row r="884" spans="5:12" x14ac:dyDescent="0.35">
      <c r="E884" s="2"/>
      <c r="F884" s="2">
        <f>_xlfn.XLOOKUP(D884,TIPOS_CAMBIO!A:A,TIPOS_CAMBIO!B:B,"",0)</f>
        <v>0</v>
      </c>
      <c r="G884" s="3">
        <f t="shared" si="26"/>
        <v>0</v>
      </c>
      <c r="H884" s="3"/>
      <c r="I884" s="3">
        <f ca="1">IFERROR(_xludf.XLOOKUP("Seguro",PARAMETROS_IMPORTACION!$A:$A,PARAMETROS_IMPORTACION!$C:$C,0),0)</f>
        <v>0</v>
      </c>
      <c r="J884" s="3">
        <f ca="1">IFERROR(_xludf.XLOOKUP("Arancel",PARAMETROS_IMPORTACION!$A:$A,PARAMETROS_IMPORTACION!$C:$C,0),0)</f>
        <v>0</v>
      </c>
      <c r="K884" s="2">
        <f ca="1">IFERROR(_xludf.XLOOKUP("Gastos_Aduana",PARAMETROS_IMPORTACION!$A:$A,PARAMETROS_IMPORTACION!$C:$C,0),0)</f>
        <v>0</v>
      </c>
      <c r="L884" s="2">
        <f t="shared" si="27"/>
        <v>0</v>
      </c>
    </row>
    <row r="885" spans="5:12" x14ac:dyDescent="0.35">
      <c r="E885" s="2"/>
      <c r="F885" s="2">
        <f>_xlfn.XLOOKUP(D885,TIPOS_CAMBIO!A:A,TIPOS_CAMBIO!B:B,"",0)</f>
        <v>0</v>
      </c>
      <c r="G885" s="3">
        <f t="shared" si="26"/>
        <v>0</v>
      </c>
      <c r="H885" s="3"/>
      <c r="I885" s="3">
        <f ca="1">IFERROR(_xludf.XLOOKUP("Seguro",PARAMETROS_IMPORTACION!$A:$A,PARAMETROS_IMPORTACION!$C:$C,0),0)</f>
        <v>0</v>
      </c>
      <c r="J885" s="3">
        <f ca="1">IFERROR(_xludf.XLOOKUP("Arancel",PARAMETROS_IMPORTACION!$A:$A,PARAMETROS_IMPORTACION!$C:$C,0),0)</f>
        <v>0</v>
      </c>
      <c r="K885" s="2">
        <f ca="1">IFERROR(_xludf.XLOOKUP("Gastos_Aduana",PARAMETROS_IMPORTACION!$A:$A,PARAMETROS_IMPORTACION!$C:$C,0),0)</f>
        <v>0</v>
      </c>
      <c r="L885" s="2">
        <f t="shared" si="27"/>
        <v>0</v>
      </c>
    </row>
    <row r="886" spans="5:12" x14ac:dyDescent="0.35">
      <c r="E886" s="2"/>
      <c r="F886" s="2">
        <f>_xlfn.XLOOKUP(D886,TIPOS_CAMBIO!A:A,TIPOS_CAMBIO!B:B,"",0)</f>
        <v>0</v>
      </c>
      <c r="G886" s="3">
        <f t="shared" si="26"/>
        <v>0</v>
      </c>
      <c r="H886" s="3"/>
      <c r="I886" s="3">
        <f ca="1">IFERROR(_xludf.XLOOKUP("Seguro",PARAMETROS_IMPORTACION!$A:$A,PARAMETROS_IMPORTACION!$C:$C,0),0)</f>
        <v>0</v>
      </c>
      <c r="J886" s="3">
        <f ca="1">IFERROR(_xludf.XLOOKUP("Arancel",PARAMETROS_IMPORTACION!$A:$A,PARAMETROS_IMPORTACION!$C:$C,0),0)</f>
        <v>0</v>
      </c>
      <c r="K886" s="2">
        <f ca="1">IFERROR(_xludf.XLOOKUP("Gastos_Aduana",PARAMETROS_IMPORTACION!$A:$A,PARAMETROS_IMPORTACION!$C:$C,0),0)</f>
        <v>0</v>
      </c>
      <c r="L886" s="2">
        <f t="shared" si="27"/>
        <v>0</v>
      </c>
    </row>
    <row r="887" spans="5:12" x14ac:dyDescent="0.35">
      <c r="E887" s="2"/>
      <c r="F887" s="2">
        <f>_xlfn.XLOOKUP(D887,TIPOS_CAMBIO!A:A,TIPOS_CAMBIO!B:B,"",0)</f>
        <v>0</v>
      </c>
      <c r="G887" s="3">
        <f t="shared" si="26"/>
        <v>0</v>
      </c>
      <c r="H887" s="3"/>
      <c r="I887" s="3">
        <f ca="1">IFERROR(_xludf.XLOOKUP("Seguro",PARAMETROS_IMPORTACION!$A:$A,PARAMETROS_IMPORTACION!$C:$C,0),0)</f>
        <v>0</v>
      </c>
      <c r="J887" s="3">
        <f ca="1">IFERROR(_xludf.XLOOKUP("Arancel",PARAMETROS_IMPORTACION!$A:$A,PARAMETROS_IMPORTACION!$C:$C,0),0)</f>
        <v>0</v>
      </c>
      <c r="K887" s="2">
        <f ca="1">IFERROR(_xludf.XLOOKUP("Gastos_Aduana",PARAMETROS_IMPORTACION!$A:$A,PARAMETROS_IMPORTACION!$C:$C,0),0)</f>
        <v>0</v>
      </c>
      <c r="L887" s="2">
        <f t="shared" si="27"/>
        <v>0</v>
      </c>
    </row>
    <row r="888" spans="5:12" x14ac:dyDescent="0.35">
      <c r="E888" s="2"/>
      <c r="F888" s="2">
        <f>_xlfn.XLOOKUP(D888,TIPOS_CAMBIO!A:A,TIPOS_CAMBIO!B:B,"",0)</f>
        <v>0</v>
      </c>
      <c r="G888" s="3">
        <f t="shared" si="26"/>
        <v>0</v>
      </c>
      <c r="H888" s="3"/>
      <c r="I888" s="3">
        <f ca="1">IFERROR(_xludf.XLOOKUP("Seguro",PARAMETROS_IMPORTACION!$A:$A,PARAMETROS_IMPORTACION!$C:$C,0),0)</f>
        <v>0</v>
      </c>
      <c r="J888" s="3">
        <f ca="1">IFERROR(_xludf.XLOOKUP("Arancel",PARAMETROS_IMPORTACION!$A:$A,PARAMETROS_IMPORTACION!$C:$C,0),0)</f>
        <v>0</v>
      </c>
      <c r="K888" s="2">
        <f ca="1">IFERROR(_xludf.XLOOKUP("Gastos_Aduana",PARAMETROS_IMPORTACION!$A:$A,PARAMETROS_IMPORTACION!$C:$C,0),0)</f>
        <v>0</v>
      </c>
      <c r="L888" s="2">
        <f t="shared" si="27"/>
        <v>0</v>
      </c>
    </row>
    <row r="889" spans="5:12" x14ac:dyDescent="0.35">
      <c r="E889" s="2"/>
      <c r="F889" s="2">
        <f>_xlfn.XLOOKUP(D889,TIPOS_CAMBIO!A:A,TIPOS_CAMBIO!B:B,"",0)</f>
        <v>0</v>
      </c>
      <c r="G889" s="3">
        <f t="shared" si="26"/>
        <v>0</v>
      </c>
      <c r="H889" s="3"/>
      <c r="I889" s="3">
        <f ca="1">IFERROR(_xludf.XLOOKUP("Seguro",PARAMETROS_IMPORTACION!$A:$A,PARAMETROS_IMPORTACION!$C:$C,0),0)</f>
        <v>0</v>
      </c>
      <c r="J889" s="3">
        <f ca="1">IFERROR(_xludf.XLOOKUP("Arancel",PARAMETROS_IMPORTACION!$A:$A,PARAMETROS_IMPORTACION!$C:$C,0),0)</f>
        <v>0</v>
      </c>
      <c r="K889" s="2">
        <f ca="1">IFERROR(_xludf.XLOOKUP("Gastos_Aduana",PARAMETROS_IMPORTACION!$A:$A,PARAMETROS_IMPORTACION!$C:$C,0),0)</f>
        <v>0</v>
      </c>
      <c r="L889" s="2">
        <f t="shared" si="27"/>
        <v>0</v>
      </c>
    </row>
    <row r="890" spans="5:12" x14ac:dyDescent="0.35">
      <c r="E890" s="2"/>
      <c r="F890" s="2">
        <f>_xlfn.XLOOKUP(D890,TIPOS_CAMBIO!A:A,TIPOS_CAMBIO!B:B,"",0)</f>
        <v>0</v>
      </c>
      <c r="G890" s="3">
        <f t="shared" si="26"/>
        <v>0</v>
      </c>
      <c r="H890" s="3"/>
      <c r="I890" s="3">
        <f ca="1">IFERROR(_xludf.XLOOKUP("Seguro",PARAMETROS_IMPORTACION!$A:$A,PARAMETROS_IMPORTACION!$C:$C,0),0)</f>
        <v>0</v>
      </c>
      <c r="J890" s="3">
        <f ca="1">IFERROR(_xludf.XLOOKUP("Arancel",PARAMETROS_IMPORTACION!$A:$A,PARAMETROS_IMPORTACION!$C:$C,0),0)</f>
        <v>0</v>
      </c>
      <c r="K890" s="2">
        <f ca="1">IFERROR(_xludf.XLOOKUP("Gastos_Aduana",PARAMETROS_IMPORTACION!$A:$A,PARAMETROS_IMPORTACION!$C:$C,0),0)</f>
        <v>0</v>
      </c>
      <c r="L890" s="2">
        <f t="shared" si="27"/>
        <v>0</v>
      </c>
    </row>
    <row r="891" spans="5:12" x14ac:dyDescent="0.35">
      <c r="E891" s="2"/>
      <c r="F891" s="2">
        <f>_xlfn.XLOOKUP(D891,TIPOS_CAMBIO!A:A,TIPOS_CAMBIO!B:B,"",0)</f>
        <v>0</v>
      </c>
      <c r="G891" s="3">
        <f t="shared" si="26"/>
        <v>0</v>
      </c>
      <c r="H891" s="3"/>
      <c r="I891" s="3">
        <f ca="1">IFERROR(_xludf.XLOOKUP("Seguro",PARAMETROS_IMPORTACION!$A:$A,PARAMETROS_IMPORTACION!$C:$C,0),0)</f>
        <v>0</v>
      </c>
      <c r="J891" s="3">
        <f ca="1">IFERROR(_xludf.XLOOKUP("Arancel",PARAMETROS_IMPORTACION!$A:$A,PARAMETROS_IMPORTACION!$C:$C,0),0)</f>
        <v>0</v>
      </c>
      <c r="K891" s="2">
        <f ca="1">IFERROR(_xludf.XLOOKUP("Gastos_Aduana",PARAMETROS_IMPORTACION!$A:$A,PARAMETROS_IMPORTACION!$C:$C,0),0)</f>
        <v>0</v>
      </c>
      <c r="L891" s="2">
        <f t="shared" si="27"/>
        <v>0</v>
      </c>
    </row>
    <row r="892" spans="5:12" x14ac:dyDescent="0.35">
      <c r="E892" s="2"/>
      <c r="F892" s="2">
        <f>_xlfn.XLOOKUP(D892,TIPOS_CAMBIO!A:A,TIPOS_CAMBIO!B:B,"",0)</f>
        <v>0</v>
      </c>
      <c r="G892" s="3">
        <f t="shared" si="26"/>
        <v>0</v>
      </c>
      <c r="H892" s="3"/>
      <c r="I892" s="3">
        <f ca="1">IFERROR(_xludf.XLOOKUP("Seguro",PARAMETROS_IMPORTACION!$A:$A,PARAMETROS_IMPORTACION!$C:$C,0),0)</f>
        <v>0</v>
      </c>
      <c r="J892" s="3">
        <f ca="1">IFERROR(_xludf.XLOOKUP("Arancel",PARAMETROS_IMPORTACION!$A:$A,PARAMETROS_IMPORTACION!$C:$C,0),0)</f>
        <v>0</v>
      </c>
      <c r="K892" s="2">
        <f ca="1">IFERROR(_xludf.XLOOKUP("Gastos_Aduana",PARAMETROS_IMPORTACION!$A:$A,PARAMETROS_IMPORTACION!$C:$C,0),0)</f>
        <v>0</v>
      </c>
      <c r="L892" s="2">
        <f t="shared" si="27"/>
        <v>0</v>
      </c>
    </row>
    <row r="893" spans="5:12" x14ac:dyDescent="0.35">
      <c r="E893" s="2"/>
      <c r="F893" s="2">
        <f>_xlfn.XLOOKUP(D893,TIPOS_CAMBIO!A:A,TIPOS_CAMBIO!B:B,"",0)</f>
        <v>0</v>
      </c>
      <c r="G893" s="3">
        <f t="shared" si="26"/>
        <v>0</v>
      </c>
      <c r="H893" s="3"/>
      <c r="I893" s="3">
        <f ca="1">IFERROR(_xludf.XLOOKUP("Seguro",PARAMETROS_IMPORTACION!$A:$A,PARAMETROS_IMPORTACION!$C:$C,0),0)</f>
        <v>0</v>
      </c>
      <c r="J893" s="3">
        <f ca="1">IFERROR(_xludf.XLOOKUP("Arancel",PARAMETROS_IMPORTACION!$A:$A,PARAMETROS_IMPORTACION!$C:$C,0),0)</f>
        <v>0</v>
      </c>
      <c r="K893" s="2">
        <f ca="1">IFERROR(_xludf.XLOOKUP("Gastos_Aduana",PARAMETROS_IMPORTACION!$A:$A,PARAMETROS_IMPORTACION!$C:$C,0),0)</f>
        <v>0</v>
      </c>
      <c r="L893" s="2">
        <f t="shared" si="27"/>
        <v>0</v>
      </c>
    </row>
    <row r="894" spans="5:12" x14ac:dyDescent="0.35">
      <c r="E894" s="2"/>
      <c r="F894" s="2">
        <f>_xlfn.XLOOKUP(D894,TIPOS_CAMBIO!A:A,TIPOS_CAMBIO!B:B,"",0)</f>
        <v>0</v>
      </c>
      <c r="G894" s="3">
        <f t="shared" si="26"/>
        <v>0</v>
      </c>
      <c r="H894" s="3"/>
      <c r="I894" s="3">
        <f ca="1">IFERROR(_xludf.XLOOKUP("Seguro",PARAMETROS_IMPORTACION!$A:$A,PARAMETROS_IMPORTACION!$C:$C,0),0)</f>
        <v>0</v>
      </c>
      <c r="J894" s="3">
        <f ca="1">IFERROR(_xludf.XLOOKUP("Arancel",PARAMETROS_IMPORTACION!$A:$A,PARAMETROS_IMPORTACION!$C:$C,0),0)</f>
        <v>0</v>
      </c>
      <c r="K894" s="2">
        <f ca="1">IFERROR(_xludf.XLOOKUP("Gastos_Aduana",PARAMETROS_IMPORTACION!$A:$A,PARAMETROS_IMPORTACION!$C:$C,0),0)</f>
        <v>0</v>
      </c>
      <c r="L894" s="2">
        <f t="shared" si="27"/>
        <v>0</v>
      </c>
    </row>
    <row r="895" spans="5:12" x14ac:dyDescent="0.35">
      <c r="E895" s="2"/>
      <c r="F895" s="2">
        <f>_xlfn.XLOOKUP(D895,TIPOS_CAMBIO!A:A,TIPOS_CAMBIO!B:B,"",0)</f>
        <v>0</v>
      </c>
      <c r="G895" s="3">
        <f t="shared" si="26"/>
        <v>0</v>
      </c>
      <c r="H895" s="3"/>
      <c r="I895" s="3">
        <f ca="1">IFERROR(_xludf.XLOOKUP("Seguro",PARAMETROS_IMPORTACION!$A:$A,PARAMETROS_IMPORTACION!$C:$C,0),0)</f>
        <v>0</v>
      </c>
      <c r="J895" s="3">
        <f ca="1">IFERROR(_xludf.XLOOKUP("Arancel",PARAMETROS_IMPORTACION!$A:$A,PARAMETROS_IMPORTACION!$C:$C,0),0)</f>
        <v>0</v>
      </c>
      <c r="K895" s="2">
        <f ca="1">IFERROR(_xludf.XLOOKUP("Gastos_Aduana",PARAMETROS_IMPORTACION!$A:$A,PARAMETROS_IMPORTACION!$C:$C,0),0)</f>
        <v>0</v>
      </c>
      <c r="L895" s="2">
        <f t="shared" si="27"/>
        <v>0</v>
      </c>
    </row>
    <row r="896" spans="5:12" x14ac:dyDescent="0.35">
      <c r="E896" s="2"/>
      <c r="F896" s="2">
        <f>_xlfn.XLOOKUP(D896,TIPOS_CAMBIO!A:A,TIPOS_CAMBIO!B:B,"",0)</f>
        <v>0</v>
      </c>
      <c r="G896" s="3">
        <f t="shared" si="26"/>
        <v>0</v>
      </c>
      <c r="H896" s="3"/>
      <c r="I896" s="3">
        <f ca="1">IFERROR(_xludf.XLOOKUP("Seguro",PARAMETROS_IMPORTACION!$A:$A,PARAMETROS_IMPORTACION!$C:$C,0),0)</f>
        <v>0</v>
      </c>
      <c r="J896" s="3">
        <f ca="1">IFERROR(_xludf.XLOOKUP("Arancel",PARAMETROS_IMPORTACION!$A:$A,PARAMETROS_IMPORTACION!$C:$C,0),0)</f>
        <v>0</v>
      </c>
      <c r="K896" s="2">
        <f ca="1">IFERROR(_xludf.XLOOKUP("Gastos_Aduana",PARAMETROS_IMPORTACION!$A:$A,PARAMETROS_IMPORTACION!$C:$C,0),0)</f>
        <v>0</v>
      </c>
      <c r="L896" s="2">
        <f t="shared" si="27"/>
        <v>0</v>
      </c>
    </row>
    <row r="897" spans="5:12" x14ac:dyDescent="0.35">
      <c r="E897" s="2"/>
      <c r="F897" s="2">
        <f>_xlfn.XLOOKUP(D897,TIPOS_CAMBIO!A:A,TIPOS_CAMBIO!B:B,"",0)</f>
        <v>0</v>
      </c>
      <c r="G897" s="3">
        <f t="shared" si="26"/>
        <v>0</v>
      </c>
      <c r="H897" s="3"/>
      <c r="I897" s="3">
        <f ca="1">IFERROR(_xludf.XLOOKUP("Seguro",PARAMETROS_IMPORTACION!$A:$A,PARAMETROS_IMPORTACION!$C:$C,0),0)</f>
        <v>0</v>
      </c>
      <c r="J897" s="3">
        <f ca="1">IFERROR(_xludf.XLOOKUP("Arancel",PARAMETROS_IMPORTACION!$A:$A,PARAMETROS_IMPORTACION!$C:$C,0),0)</f>
        <v>0</v>
      </c>
      <c r="K897" s="2">
        <f ca="1">IFERROR(_xludf.XLOOKUP("Gastos_Aduana",PARAMETROS_IMPORTACION!$A:$A,PARAMETROS_IMPORTACION!$C:$C,0),0)</f>
        <v>0</v>
      </c>
      <c r="L897" s="2">
        <f t="shared" si="27"/>
        <v>0</v>
      </c>
    </row>
    <row r="898" spans="5:12" x14ac:dyDescent="0.35">
      <c r="E898" s="2"/>
      <c r="F898" s="2">
        <f>_xlfn.XLOOKUP(D898,TIPOS_CAMBIO!A:A,TIPOS_CAMBIO!B:B,"",0)</f>
        <v>0</v>
      </c>
      <c r="G898" s="3">
        <f t="shared" ref="G898:G961" si="28">$E898*$F898</f>
        <v>0</v>
      </c>
      <c r="H898" s="3"/>
      <c r="I898" s="3">
        <f ca="1">IFERROR(_xludf.XLOOKUP("Seguro",PARAMETROS_IMPORTACION!$A:$A,PARAMETROS_IMPORTACION!$C:$C,0),0)</f>
        <v>0</v>
      </c>
      <c r="J898" s="3">
        <f ca="1">IFERROR(_xludf.XLOOKUP("Arancel",PARAMETROS_IMPORTACION!$A:$A,PARAMETROS_IMPORTACION!$C:$C,0),0)</f>
        <v>0</v>
      </c>
      <c r="K898" s="2">
        <f ca="1">IFERROR(_xludf.XLOOKUP("Gastos_Aduana",PARAMETROS_IMPORTACION!$A:$A,PARAMETROS_IMPORTACION!$C:$C,0),0)</f>
        <v>0</v>
      </c>
      <c r="L898" s="2">
        <f t="shared" si="27"/>
        <v>0</v>
      </c>
    </row>
    <row r="899" spans="5:12" x14ac:dyDescent="0.35">
      <c r="E899" s="2"/>
      <c r="F899" s="2">
        <f>_xlfn.XLOOKUP(D899,TIPOS_CAMBIO!A:A,TIPOS_CAMBIO!B:B,"",0)</f>
        <v>0</v>
      </c>
      <c r="G899" s="3">
        <f t="shared" si="28"/>
        <v>0</v>
      </c>
      <c r="H899" s="3"/>
      <c r="I899" s="3">
        <f ca="1">IFERROR(_xludf.XLOOKUP("Seguro",PARAMETROS_IMPORTACION!$A:$A,PARAMETROS_IMPORTACION!$C:$C,0),0)</f>
        <v>0</v>
      </c>
      <c r="J899" s="3">
        <f ca="1">IFERROR(_xludf.XLOOKUP("Arancel",PARAMETROS_IMPORTACION!$A:$A,PARAMETROS_IMPORTACION!$C:$C,0),0)</f>
        <v>0</v>
      </c>
      <c r="K899" s="2">
        <f ca="1">IFERROR(_xludf.XLOOKUP("Gastos_Aduana",PARAMETROS_IMPORTACION!$A:$A,PARAMETROS_IMPORTACION!$C:$C,0),0)</f>
        <v>0</v>
      </c>
      <c r="L899" s="2">
        <f t="shared" ref="L899:L962" si="29">IF($C899="Importado",$G899*(1+$H899+$I899+$J899)+$K899,$G899)</f>
        <v>0</v>
      </c>
    </row>
    <row r="900" spans="5:12" x14ac:dyDescent="0.35">
      <c r="E900" s="2"/>
      <c r="F900" s="2">
        <f>_xlfn.XLOOKUP(D900,TIPOS_CAMBIO!A:A,TIPOS_CAMBIO!B:B,"",0)</f>
        <v>0</v>
      </c>
      <c r="G900" s="3">
        <f t="shared" si="28"/>
        <v>0</v>
      </c>
      <c r="H900" s="3"/>
      <c r="I900" s="3">
        <f ca="1">IFERROR(_xludf.XLOOKUP("Seguro",PARAMETROS_IMPORTACION!$A:$A,PARAMETROS_IMPORTACION!$C:$C,0),0)</f>
        <v>0</v>
      </c>
      <c r="J900" s="3">
        <f ca="1">IFERROR(_xludf.XLOOKUP("Arancel",PARAMETROS_IMPORTACION!$A:$A,PARAMETROS_IMPORTACION!$C:$C,0),0)</f>
        <v>0</v>
      </c>
      <c r="K900" s="2">
        <f ca="1">IFERROR(_xludf.XLOOKUP("Gastos_Aduana",PARAMETROS_IMPORTACION!$A:$A,PARAMETROS_IMPORTACION!$C:$C,0),0)</f>
        <v>0</v>
      </c>
      <c r="L900" s="2">
        <f t="shared" si="29"/>
        <v>0</v>
      </c>
    </row>
    <row r="901" spans="5:12" x14ac:dyDescent="0.35">
      <c r="E901" s="2"/>
      <c r="F901" s="2">
        <f>_xlfn.XLOOKUP(D901,TIPOS_CAMBIO!A:A,TIPOS_CAMBIO!B:B,"",0)</f>
        <v>0</v>
      </c>
      <c r="G901" s="3">
        <f t="shared" si="28"/>
        <v>0</v>
      </c>
      <c r="H901" s="3"/>
      <c r="I901" s="3">
        <f ca="1">IFERROR(_xludf.XLOOKUP("Seguro",PARAMETROS_IMPORTACION!$A:$A,PARAMETROS_IMPORTACION!$C:$C,0),0)</f>
        <v>0</v>
      </c>
      <c r="J901" s="3">
        <f ca="1">IFERROR(_xludf.XLOOKUP("Arancel",PARAMETROS_IMPORTACION!$A:$A,PARAMETROS_IMPORTACION!$C:$C,0),0)</f>
        <v>0</v>
      </c>
      <c r="K901" s="2">
        <f ca="1">IFERROR(_xludf.XLOOKUP("Gastos_Aduana",PARAMETROS_IMPORTACION!$A:$A,PARAMETROS_IMPORTACION!$C:$C,0),0)</f>
        <v>0</v>
      </c>
      <c r="L901" s="2">
        <f t="shared" si="29"/>
        <v>0</v>
      </c>
    </row>
    <row r="902" spans="5:12" x14ac:dyDescent="0.35">
      <c r="E902" s="2"/>
      <c r="F902" s="2">
        <f>_xlfn.XLOOKUP(D902,TIPOS_CAMBIO!A:A,TIPOS_CAMBIO!B:B,"",0)</f>
        <v>0</v>
      </c>
      <c r="G902" s="3">
        <f t="shared" si="28"/>
        <v>0</v>
      </c>
      <c r="H902" s="3"/>
      <c r="I902" s="3">
        <f ca="1">IFERROR(_xludf.XLOOKUP("Seguro",PARAMETROS_IMPORTACION!$A:$A,PARAMETROS_IMPORTACION!$C:$C,0),0)</f>
        <v>0</v>
      </c>
      <c r="J902" s="3">
        <f ca="1">IFERROR(_xludf.XLOOKUP("Arancel",PARAMETROS_IMPORTACION!$A:$A,PARAMETROS_IMPORTACION!$C:$C,0),0)</f>
        <v>0</v>
      </c>
      <c r="K902" s="2">
        <f ca="1">IFERROR(_xludf.XLOOKUP("Gastos_Aduana",PARAMETROS_IMPORTACION!$A:$A,PARAMETROS_IMPORTACION!$C:$C,0),0)</f>
        <v>0</v>
      </c>
      <c r="L902" s="2">
        <f t="shared" si="29"/>
        <v>0</v>
      </c>
    </row>
    <row r="903" spans="5:12" x14ac:dyDescent="0.35">
      <c r="E903" s="2"/>
      <c r="F903" s="2">
        <f>_xlfn.XLOOKUP(D903,TIPOS_CAMBIO!A:A,TIPOS_CAMBIO!B:B,"",0)</f>
        <v>0</v>
      </c>
      <c r="G903" s="3">
        <f t="shared" si="28"/>
        <v>0</v>
      </c>
      <c r="H903" s="3"/>
      <c r="I903" s="3">
        <f ca="1">IFERROR(_xludf.XLOOKUP("Seguro",PARAMETROS_IMPORTACION!$A:$A,PARAMETROS_IMPORTACION!$C:$C,0),0)</f>
        <v>0</v>
      </c>
      <c r="J903" s="3">
        <f ca="1">IFERROR(_xludf.XLOOKUP("Arancel",PARAMETROS_IMPORTACION!$A:$A,PARAMETROS_IMPORTACION!$C:$C,0),0)</f>
        <v>0</v>
      </c>
      <c r="K903" s="2">
        <f ca="1">IFERROR(_xludf.XLOOKUP("Gastos_Aduana",PARAMETROS_IMPORTACION!$A:$A,PARAMETROS_IMPORTACION!$C:$C,0),0)</f>
        <v>0</v>
      </c>
      <c r="L903" s="2">
        <f t="shared" si="29"/>
        <v>0</v>
      </c>
    </row>
    <row r="904" spans="5:12" x14ac:dyDescent="0.35">
      <c r="E904" s="2"/>
      <c r="F904" s="2">
        <f>_xlfn.XLOOKUP(D904,TIPOS_CAMBIO!A:A,TIPOS_CAMBIO!B:B,"",0)</f>
        <v>0</v>
      </c>
      <c r="G904" s="3">
        <f t="shared" si="28"/>
        <v>0</v>
      </c>
      <c r="H904" s="3"/>
      <c r="I904" s="3">
        <f ca="1">IFERROR(_xludf.XLOOKUP("Seguro",PARAMETROS_IMPORTACION!$A:$A,PARAMETROS_IMPORTACION!$C:$C,0),0)</f>
        <v>0</v>
      </c>
      <c r="J904" s="3">
        <f ca="1">IFERROR(_xludf.XLOOKUP("Arancel",PARAMETROS_IMPORTACION!$A:$A,PARAMETROS_IMPORTACION!$C:$C,0),0)</f>
        <v>0</v>
      </c>
      <c r="K904" s="2">
        <f ca="1">IFERROR(_xludf.XLOOKUP("Gastos_Aduana",PARAMETROS_IMPORTACION!$A:$A,PARAMETROS_IMPORTACION!$C:$C,0),0)</f>
        <v>0</v>
      </c>
      <c r="L904" s="2">
        <f t="shared" si="29"/>
        <v>0</v>
      </c>
    </row>
    <row r="905" spans="5:12" x14ac:dyDescent="0.35">
      <c r="E905" s="2"/>
      <c r="F905" s="2">
        <f>_xlfn.XLOOKUP(D905,TIPOS_CAMBIO!A:A,TIPOS_CAMBIO!B:B,"",0)</f>
        <v>0</v>
      </c>
      <c r="G905" s="3">
        <f t="shared" si="28"/>
        <v>0</v>
      </c>
      <c r="H905" s="3"/>
      <c r="I905" s="3">
        <f ca="1">IFERROR(_xludf.XLOOKUP("Seguro",PARAMETROS_IMPORTACION!$A:$A,PARAMETROS_IMPORTACION!$C:$C,0),0)</f>
        <v>0</v>
      </c>
      <c r="J905" s="3">
        <f ca="1">IFERROR(_xludf.XLOOKUP("Arancel",PARAMETROS_IMPORTACION!$A:$A,PARAMETROS_IMPORTACION!$C:$C,0),0)</f>
        <v>0</v>
      </c>
      <c r="K905" s="2">
        <f ca="1">IFERROR(_xludf.XLOOKUP("Gastos_Aduana",PARAMETROS_IMPORTACION!$A:$A,PARAMETROS_IMPORTACION!$C:$C,0),0)</f>
        <v>0</v>
      </c>
      <c r="L905" s="2">
        <f t="shared" si="29"/>
        <v>0</v>
      </c>
    </row>
    <row r="906" spans="5:12" x14ac:dyDescent="0.35">
      <c r="E906" s="2"/>
      <c r="F906" s="2">
        <f>_xlfn.XLOOKUP(D906,TIPOS_CAMBIO!A:A,TIPOS_CAMBIO!B:B,"",0)</f>
        <v>0</v>
      </c>
      <c r="G906" s="3">
        <f t="shared" si="28"/>
        <v>0</v>
      </c>
      <c r="H906" s="3"/>
      <c r="I906" s="3">
        <f ca="1">IFERROR(_xludf.XLOOKUP("Seguro",PARAMETROS_IMPORTACION!$A:$A,PARAMETROS_IMPORTACION!$C:$C,0),0)</f>
        <v>0</v>
      </c>
      <c r="J906" s="3">
        <f ca="1">IFERROR(_xludf.XLOOKUP("Arancel",PARAMETROS_IMPORTACION!$A:$A,PARAMETROS_IMPORTACION!$C:$C,0),0)</f>
        <v>0</v>
      </c>
      <c r="K906" s="2">
        <f ca="1">IFERROR(_xludf.XLOOKUP("Gastos_Aduana",PARAMETROS_IMPORTACION!$A:$A,PARAMETROS_IMPORTACION!$C:$C,0),0)</f>
        <v>0</v>
      </c>
      <c r="L906" s="2">
        <f t="shared" si="29"/>
        <v>0</v>
      </c>
    </row>
    <row r="907" spans="5:12" x14ac:dyDescent="0.35">
      <c r="E907" s="2"/>
      <c r="F907" s="2">
        <f>_xlfn.XLOOKUP(D907,TIPOS_CAMBIO!A:A,TIPOS_CAMBIO!B:B,"",0)</f>
        <v>0</v>
      </c>
      <c r="G907" s="3">
        <f t="shared" si="28"/>
        <v>0</v>
      </c>
      <c r="H907" s="3"/>
      <c r="I907" s="3">
        <f ca="1">IFERROR(_xludf.XLOOKUP("Seguro",PARAMETROS_IMPORTACION!$A:$A,PARAMETROS_IMPORTACION!$C:$C,0),0)</f>
        <v>0</v>
      </c>
      <c r="J907" s="3">
        <f ca="1">IFERROR(_xludf.XLOOKUP("Arancel",PARAMETROS_IMPORTACION!$A:$A,PARAMETROS_IMPORTACION!$C:$C,0),0)</f>
        <v>0</v>
      </c>
      <c r="K907" s="2">
        <f ca="1">IFERROR(_xludf.XLOOKUP("Gastos_Aduana",PARAMETROS_IMPORTACION!$A:$A,PARAMETROS_IMPORTACION!$C:$C,0),0)</f>
        <v>0</v>
      </c>
      <c r="L907" s="2">
        <f t="shared" si="29"/>
        <v>0</v>
      </c>
    </row>
    <row r="908" spans="5:12" x14ac:dyDescent="0.35">
      <c r="E908" s="2"/>
      <c r="F908" s="2">
        <f>_xlfn.XLOOKUP(D908,TIPOS_CAMBIO!A:A,TIPOS_CAMBIO!B:B,"",0)</f>
        <v>0</v>
      </c>
      <c r="G908" s="3">
        <f t="shared" si="28"/>
        <v>0</v>
      </c>
      <c r="H908" s="3"/>
      <c r="I908" s="3">
        <f ca="1">IFERROR(_xludf.XLOOKUP("Seguro",PARAMETROS_IMPORTACION!$A:$A,PARAMETROS_IMPORTACION!$C:$C,0),0)</f>
        <v>0</v>
      </c>
      <c r="J908" s="3">
        <f ca="1">IFERROR(_xludf.XLOOKUP("Arancel",PARAMETROS_IMPORTACION!$A:$A,PARAMETROS_IMPORTACION!$C:$C,0),0)</f>
        <v>0</v>
      </c>
      <c r="K908" s="2">
        <f ca="1">IFERROR(_xludf.XLOOKUP("Gastos_Aduana",PARAMETROS_IMPORTACION!$A:$A,PARAMETROS_IMPORTACION!$C:$C,0),0)</f>
        <v>0</v>
      </c>
      <c r="L908" s="2">
        <f t="shared" si="29"/>
        <v>0</v>
      </c>
    </row>
    <row r="909" spans="5:12" x14ac:dyDescent="0.35">
      <c r="E909" s="2"/>
      <c r="F909" s="2">
        <f>_xlfn.XLOOKUP(D909,TIPOS_CAMBIO!A:A,TIPOS_CAMBIO!B:B,"",0)</f>
        <v>0</v>
      </c>
      <c r="G909" s="3">
        <f t="shared" si="28"/>
        <v>0</v>
      </c>
      <c r="H909" s="3"/>
      <c r="I909" s="3">
        <f ca="1">IFERROR(_xludf.XLOOKUP("Seguro",PARAMETROS_IMPORTACION!$A:$A,PARAMETROS_IMPORTACION!$C:$C,0),0)</f>
        <v>0</v>
      </c>
      <c r="J909" s="3">
        <f ca="1">IFERROR(_xludf.XLOOKUP("Arancel",PARAMETROS_IMPORTACION!$A:$A,PARAMETROS_IMPORTACION!$C:$C,0),0)</f>
        <v>0</v>
      </c>
      <c r="K909" s="2">
        <f ca="1">IFERROR(_xludf.XLOOKUP("Gastos_Aduana",PARAMETROS_IMPORTACION!$A:$A,PARAMETROS_IMPORTACION!$C:$C,0),0)</f>
        <v>0</v>
      </c>
      <c r="L909" s="2">
        <f t="shared" si="29"/>
        <v>0</v>
      </c>
    </row>
    <row r="910" spans="5:12" x14ac:dyDescent="0.35">
      <c r="E910" s="2"/>
      <c r="F910" s="2">
        <f>_xlfn.XLOOKUP(D910,TIPOS_CAMBIO!A:A,TIPOS_CAMBIO!B:B,"",0)</f>
        <v>0</v>
      </c>
      <c r="G910" s="3">
        <f t="shared" si="28"/>
        <v>0</v>
      </c>
      <c r="H910" s="3"/>
      <c r="I910" s="3">
        <f ca="1">IFERROR(_xludf.XLOOKUP("Seguro",PARAMETROS_IMPORTACION!$A:$A,PARAMETROS_IMPORTACION!$C:$C,0),0)</f>
        <v>0</v>
      </c>
      <c r="J910" s="3">
        <f ca="1">IFERROR(_xludf.XLOOKUP("Arancel",PARAMETROS_IMPORTACION!$A:$A,PARAMETROS_IMPORTACION!$C:$C,0),0)</f>
        <v>0</v>
      </c>
      <c r="K910" s="2">
        <f ca="1">IFERROR(_xludf.XLOOKUP("Gastos_Aduana",PARAMETROS_IMPORTACION!$A:$A,PARAMETROS_IMPORTACION!$C:$C,0),0)</f>
        <v>0</v>
      </c>
      <c r="L910" s="2">
        <f t="shared" si="29"/>
        <v>0</v>
      </c>
    </row>
    <row r="911" spans="5:12" x14ac:dyDescent="0.35">
      <c r="E911" s="2"/>
      <c r="F911" s="2">
        <f>_xlfn.XLOOKUP(D911,TIPOS_CAMBIO!A:A,TIPOS_CAMBIO!B:B,"",0)</f>
        <v>0</v>
      </c>
      <c r="G911" s="3">
        <f t="shared" si="28"/>
        <v>0</v>
      </c>
      <c r="H911" s="3"/>
      <c r="I911" s="3">
        <f ca="1">IFERROR(_xludf.XLOOKUP("Seguro",PARAMETROS_IMPORTACION!$A:$A,PARAMETROS_IMPORTACION!$C:$C,0),0)</f>
        <v>0</v>
      </c>
      <c r="J911" s="3">
        <f ca="1">IFERROR(_xludf.XLOOKUP("Arancel",PARAMETROS_IMPORTACION!$A:$A,PARAMETROS_IMPORTACION!$C:$C,0),0)</f>
        <v>0</v>
      </c>
      <c r="K911" s="2">
        <f ca="1">IFERROR(_xludf.XLOOKUP("Gastos_Aduana",PARAMETROS_IMPORTACION!$A:$A,PARAMETROS_IMPORTACION!$C:$C,0),0)</f>
        <v>0</v>
      </c>
      <c r="L911" s="2">
        <f t="shared" si="29"/>
        <v>0</v>
      </c>
    </row>
    <row r="912" spans="5:12" x14ac:dyDescent="0.35">
      <c r="E912" s="2"/>
      <c r="F912" s="2">
        <f>_xlfn.XLOOKUP(D912,TIPOS_CAMBIO!A:A,TIPOS_CAMBIO!B:B,"",0)</f>
        <v>0</v>
      </c>
      <c r="G912" s="3">
        <f t="shared" si="28"/>
        <v>0</v>
      </c>
      <c r="H912" s="3"/>
      <c r="I912" s="3">
        <f ca="1">IFERROR(_xludf.XLOOKUP("Seguro",PARAMETROS_IMPORTACION!$A:$A,PARAMETROS_IMPORTACION!$C:$C,0),0)</f>
        <v>0</v>
      </c>
      <c r="J912" s="3">
        <f ca="1">IFERROR(_xludf.XLOOKUP("Arancel",PARAMETROS_IMPORTACION!$A:$A,PARAMETROS_IMPORTACION!$C:$C,0),0)</f>
        <v>0</v>
      </c>
      <c r="K912" s="2">
        <f ca="1">IFERROR(_xludf.XLOOKUP("Gastos_Aduana",PARAMETROS_IMPORTACION!$A:$A,PARAMETROS_IMPORTACION!$C:$C,0),0)</f>
        <v>0</v>
      </c>
      <c r="L912" s="2">
        <f t="shared" si="29"/>
        <v>0</v>
      </c>
    </row>
    <row r="913" spans="5:12" x14ac:dyDescent="0.35">
      <c r="E913" s="2"/>
      <c r="F913" s="2">
        <f>_xlfn.XLOOKUP(D913,TIPOS_CAMBIO!A:A,TIPOS_CAMBIO!B:B,"",0)</f>
        <v>0</v>
      </c>
      <c r="G913" s="3">
        <f t="shared" si="28"/>
        <v>0</v>
      </c>
      <c r="H913" s="3"/>
      <c r="I913" s="3">
        <f ca="1">IFERROR(_xludf.XLOOKUP("Seguro",PARAMETROS_IMPORTACION!$A:$A,PARAMETROS_IMPORTACION!$C:$C,0),0)</f>
        <v>0</v>
      </c>
      <c r="J913" s="3">
        <f ca="1">IFERROR(_xludf.XLOOKUP("Arancel",PARAMETROS_IMPORTACION!$A:$A,PARAMETROS_IMPORTACION!$C:$C,0),0)</f>
        <v>0</v>
      </c>
      <c r="K913" s="2">
        <f ca="1">IFERROR(_xludf.XLOOKUP("Gastos_Aduana",PARAMETROS_IMPORTACION!$A:$A,PARAMETROS_IMPORTACION!$C:$C,0),0)</f>
        <v>0</v>
      </c>
      <c r="L913" s="2">
        <f t="shared" si="29"/>
        <v>0</v>
      </c>
    </row>
    <row r="914" spans="5:12" x14ac:dyDescent="0.35">
      <c r="E914" s="2"/>
      <c r="F914" s="2">
        <f>_xlfn.XLOOKUP(D914,TIPOS_CAMBIO!A:A,TIPOS_CAMBIO!B:B,"",0)</f>
        <v>0</v>
      </c>
      <c r="G914" s="3">
        <f t="shared" si="28"/>
        <v>0</v>
      </c>
      <c r="H914" s="3"/>
      <c r="I914" s="3">
        <f ca="1">IFERROR(_xludf.XLOOKUP("Seguro",PARAMETROS_IMPORTACION!$A:$A,PARAMETROS_IMPORTACION!$C:$C,0),0)</f>
        <v>0</v>
      </c>
      <c r="J914" s="3">
        <f ca="1">IFERROR(_xludf.XLOOKUP("Arancel",PARAMETROS_IMPORTACION!$A:$A,PARAMETROS_IMPORTACION!$C:$C,0),0)</f>
        <v>0</v>
      </c>
      <c r="K914" s="2">
        <f ca="1">IFERROR(_xludf.XLOOKUP("Gastos_Aduana",PARAMETROS_IMPORTACION!$A:$A,PARAMETROS_IMPORTACION!$C:$C,0),0)</f>
        <v>0</v>
      </c>
      <c r="L914" s="2">
        <f t="shared" si="29"/>
        <v>0</v>
      </c>
    </row>
    <row r="915" spans="5:12" x14ac:dyDescent="0.35">
      <c r="E915" s="2"/>
      <c r="F915" s="2">
        <f>_xlfn.XLOOKUP(D915,TIPOS_CAMBIO!A:A,TIPOS_CAMBIO!B:B,"",0)</f>
        <v>0</v>
      </c>
      <c r="G915" s="3">
        <f t="shared" si="28"/>
        <v>0</v>
      </c>
      <c r="H915" s="3"/>
      <c r="I915" s="3">
        <f ca="1">IFERROR(_xludf.XLOOKUP("Seguro",PARAMETROS_IMPORTACION!$A:$A,PARAMETROS_IMPORTACION!$C:$C,0),0)</f>
        <v>0</v>
      </c>
      <c r="J915" s="3">
        <f ca="1">IFERROR(_xludf.XLOOKUP("Arancel",PARAMETROS_IMPORTACION!$A:$A,PARAMETROS_IMPORTACION!$C:$C,0),0)</f>
        <v>0</v>
      </c>
      <c r="K915" s="2">
        <f ca="1">IFERROR(_xludf.XLOOKUP("Gastos_Aduana",PARAMETROS_IMPORTACION!$A:$A,PARAMETROS_IMPORTACION!$C:$C,0),0)</f>
        <v>0</v>
      </c>
      <c r="L915" s="2">
        <f t="shared" si="29"/>
        <v>0</v>
      </c>
    </row>
    <row r="916" spans="5:12" x14ac:dyDescent="0.35">
      <c r="E916" s="2"/>
      <c r="F916" s="2">
        <f>_xlfn.XLOOKUP(D916,TIPOS_CAMBIO!A:A,TIPOS_CAMBIO!B:B,"",0)</f>
        <v>0</v>
      </c>
      <c r="G916" s="3">
        <f t="shared" si="28"/>
        <v>0</v>
      </c>
      <c r="H916" s="3"/>
      <c r="I916" s="3">
        <f ca="1">IFERROR(_xludf.XLOOKUP("Seguro",PARAMETROS_IMPORTACION!$A:$A,PARAMETROS_IMPORTACION!$C:$C,0),0)</f>
        <v>0</v>
      </c>
      <c r="J916" s="3">
        <f ca="1">IFERROR(_xludf.XLOOKUP("Arancel",PARAMETROS_IMPORTACION!$A:$A,PARAMETROS_IMPORTACION!$C:$C,0),0)</f>
        <v>0</v>
      </c>
      <c r="K916" s="2">
        <f ca="1">IFERROR(_xludf.XLOOKUP("Gastos_Aduana",PARAMETROS_IMPORTACION!$A:$A,PARAMETROS_IMPORTACION!$C:$C,0),0)</f>
        <v>0</v>
      </c>
      <c r="L916" s="2">
        <f t="shared" si="29"/>
        <v>0</v>
      </c>
    </row>
    <row r="917" spans="5:12" x14ac:dyDescent="0.35">
      <c r="E917" s="2"/>
      <c r="F917" s="2">
        <f>_xlfn.XLOOKUP(D917,TIPOS_CAMBIO!A:A,TIPOS_CAMBIO!B:B,"",0)</f>
        <v>0</v>
      </c>
      <c r="G917" s="3">
        <f t="shared" si="28"/>
        <v>0</v>
      </c>
      <c r="H917" s="3"/>
      <c r="I917" s="3">
        <f ca="1">IFERROR(_xludf.XLOOKUP("Seguro",PARAMETROS_IMPORTACION!$A:$A,PARAMETROS_IMPORTACION!$C:$C,0),0)</f>
        <v>0</v>
      </c>
      <c r="J917" s="3">
        <f ca="1">IFERROR(_xludf.XLOOKUP("Arancel",PARAMETROS_IMPORTACION!$A:$A,PARAMETROS_IMPORTACION!$C:$C,0),0)</f>
        <v>0</v>
      </c>
      <c r="K917" s="2">
        <f ca="1">IFERROR(_xludf.XLOOKUP("Gastos_Aduana",PARAMETROS_IMPORTACION!$A:$A,PARAMETROS_IMPORTACION!$C:$C,0),0)</f>
        <v>0</v>
      </c>
      <c r="L917" s="2">
        <f t="shared" si="29"/>
        <v>0</v>
      </c>
    </row>
    <row r="918" spans="5:12" x14ac:dyDescent="0.35">
      <c r="E918" s="2"/>
      <c r="F918" s="2">
        <f>_xlfn.XLOOKUP(D918,TIPOS_CAMBIO!A:A,TIPOS_CAMBIO!B:B,"",0)</f>
        <v>0</v>
      </c>
      <c r="G918" s="3">
        <f t="shared" si="28"/>
        <v>0</v>
      </c>
      <c r="H918" s="3"/>
      <c r="I918" s="3">
        <f ca="1">IFERROR(_xludf.XLOOKUP("Seguro",PARAMETROS_IMPORTACION!$A:$A,PARAMETROS_IMPORTACION!$C:$C,0),0)</f>
        <v>0</v>
      </c>
      <c r="J918" s="3">
        <f ca="1">IFERROR(_xludf.XLOOKUP("Arancel",PARAMETROS_IMPORTACION!$A:$A,PARAMETROS_IMPORTACION!$C:$C,0),0)</f>
        <v>0</v>
      </c>
      <c r="K918" s="2">
        <f ca="1">IFERROR(_xludf.XLOOKUP("Gastos_Aduana",PARAMETROS_IMPORTACION!$A:$A,PARAMETROS_IMPORTACION!$C:$C,0),0)</f>
        <v>0</v>
      </c>
      <c r="L918" s="2">
        <f t="shared" si="29"/>
        <v>0</v>
      </c>
    </row>
    <row r="919" spans="5:12" x14ac:dyDescent="0.35">
      <c r="E919" s="2"/>
      <c r="F919" s="2">
        <f>_xlfn.XLOOKUP(D919,TIPOS_CAMBIO!A:A,TIPOS_CAMBIO!B:B,"",0)</f>
        <v>0</v>
      </c>
      <c r="G919" s="3">
        <f t="shared" si="28"/>
        <v>0</v>
      </c>
      <c r="H919" s="3"/>
      <c r="I919" s="3">
        <f ca="1">IFERROR(_xludf.XLOOKUP("Seguro",PARAMETROS_IMPORTACION!$A:$A,PARAMETROS_IMPORTACION!$C:$C,0),0)</f>
        <v>0</v>
      </c>
      <c r="J919" s="3">
        <f ca="1">IFERROR(_xludf.XLOOKUP("Arancel",PARAMETROS_IMPORTACION!$A:$A,PARAMETROS_IMPORTACION!$C:$C,0),0)</f>
        <v>0</v>
      </c>
      <c r="K919" s="2">
        <f ca="1">IFERROR(_xludf.XLOOKUP("Gastos_Aduana",PARAMETROS_IMPORTACION!$A:$A,PARAMETROS_IMPORTACION!$C:$C,0),0)</f>
        <v>0</v>
      </c>
      <c r="L919" s="2">
        <f t="shared" si="29"/>
        <v>0</v>
      </c>
    </row>
    <row r="920" spans="5:12" x14ac:dyDescent="0.35">
      <c r="E920" s="2"/>
      <c r="F920" s="2">
        <f>_xlfn.XLOOKUP(D920,TIPOS_CAMBIO!A:A,TIPOS_CAMBIO!B:B,"",0)</f>
        <v>0</v>
      </c>
      <c r="G920" s="3">
        <f t="shared" si="28"/>
        <v>0</v>
      </c>
      <c r="H920" s="3"/>
      <c r="I920" s="3">
        <f ca="1">IFERROR(_xludf.XLOOKUP("Seguro",PARAMETROS_IMPORTACION!$A:$A,PARAMETROS_IMPORTACION!$C:$C,0),0)</f>
        <v>0</v>
      </c>
      <c r="J920" s="3">
        <f ca="1">IFERROR(_xludf.XLOOKUP("Arancel",PARAMETROS_IMPORTACION!$A:$A,PARAMETROS_IMPORTACION!$C:$C,0),0)</f>
        <v>0</v>
      </c>
      <c r="K920" s="2">
        <f ca="1">IFERROR(_xludf.XLOOKUP("Gastos_Aduana",PARAMETROS_IMPORTACION!$A:$A,PARAMETROS_IMPORTACION!$C:$C,0),0)</f>
        <v>0</v>
      </c>
      <c r="L920" s="2">
        <f t="shared" si="29"/>
        <v>0</v>
      </c>
    </row>
    <row r="921" spans="5:12" x14ac:dyDescent="0.35">
      <c r="E921" s="2"/>
      <c r="F921" s="2">
        <f>_xlfn.XLOOKUP(D921,TIPOS_CAMBIO!A:A,TIPOS_CAMBIO!B:B,"",0)</f>
        <v>0</v>
      </c>
      <c r="G921" s="3">
        <f t="shared" si="28"/>
        <v>0</v>
      </c>
      <c r="H921" s="3"/>
      <c r="I921" s="3">
        <f ca="1">IFERROR(_xludf.XLOOKUP("Seguro",PARAMETROS_IMPORTACION!$A:$A,PARAMETROS_IMPORTACION!$C:$C,0),0)</f>
        <v>0</v>
      </c>
      <c r="J921" s="3">
        <f ca="1">IFERROR(_xludf.XLOOKUP("Arancel",PARAMETROS_IMPORTACION!$A:$A,PARAMETROS_IMPORTACION!$C:$C,0),0)</f>
        <v>0</v>
      </c>
      <c r="K921" s="2">
        <f ca="1">IFERROR(_xludf.XLOOKUP("Gastos_Aduana",PARAMETROS_IMPORTACION!$A:$A,PARAMETROS_IMPORTACION!$C:$C,0),0)</f>
        <v>0</v>
      </c>
      <c r="L921" s="2">
        <f t="shared" si="29"/>
        <v>0</v>
      </c>
    </row>
    <row r="922" spans="5:12" x14ac:dyDescent="0.35">
      <c r="E922" s="2"/>
      <c r="F922" s="2">
        <f>_xlfn.XLOOKUP(D922,TIPOS_CAMBIO!A:A,TIPOS_CAMBIO!B:B,"",0)</f>
        <v>0</v>
      </c>
      <c r="G922" s="3">
        <f t="shared" si="28"/>
        <v>0</v>
      </c>
      <c r="H922" s="3"/>
      <c r="I922" s="3">
        <f ca="1">IFERROR(_xludf.XLOOKUP("Seguro",PARAMETROS_IMPORTACION!$A:$A,PARAMETROS_IMPORTACION!$C:$C,0),0)</f>
        <v>0</v>
      </c>
      <c r="J922" s="3">
        <f ca="1">IFERROR(_xludf.XLOOKUP("Arancel",PARAMETROS_IMPORTACION!$A:$A,PARAMETROS_IMPORTACION!$C:$C,0),0)</f>
        <v>0</v>
      </c>
      <c r="K922" s="2">
        <f ca="1">IFERROR(_xludf.XLOOKUP("Gastos_Aduana",PARAMETROS_IMPORTACION!$A:$A,PARAMETROS_IMPORTACION!$C:$C,0),0)</f>
        <v>0</v>
      </c>
      <c r="L922" s="2">
        <f t="shared" si="29"/>
        <v>0</v>
      </c>
    </row>
    <row r="923" spans="5:12" x14ac:dyDescent="0.35">
      <c r="E923" s="2"/>
      <c r="F923" s="2">
        <f>_xlfn.XLOOKUP(D923,TIPOS_CAMBIO!A:A,TIPOS_CAMBIO!B:B,"",0)</f>
        <v>0</v>
      </c>
      <c r="G923" s="3">
        <f t="shared" si="28"/>
        <v>0</v>
      </c>
      <c r="H923" s="3"/>
      <c r="I923" s="3">
        <f ca="1">IFERROR(_xludf.XLOOKUP("Seguro",PARAMETROS_IMPORTACION!$A:$A,PARAMETROS_IMPORTACION!$C:$C,0),0)</f>
        <v>0</v>
      </c>
      <c r="J923" s="3">
        <f ca="1">IFERROR(_xludf.XLOOKUP("Arancel",PARAMETROS_IMPORTACION!$A:$A,PARAMETROS_IMPORTACION!$C:$C,0),0)</f>
        <v>0</v>
      </c>
      <c r="K923" s="2">
        <f ca="1">IFERROR(_xludf.XLOOKUP("Gastos_Aduana",PARAMETROS_IMPORTACION!$A:$A,PARAMETROS_IMPORTACION!$C:$C,0),0)</f>
        <v>0</v>
      </c>
      <c r="L923" s="2">
        <f t="shared" si="29"/>
        <v>0</v>
      </c>
    </row>
    <row r="924" spans="5:12" x14ac:dyDescent="0.35">
      <c r="E924" s="2"/>
      <c r="F924" s="2">
        <f>_xlfn.XLOOKUP(D924,TIPOS_CAMBIO!A:A,TIPOS_CAMBIO!B:B,"",0)</f>
        <v>0</v>
      </c>
      <c r="G924" s="3">
        <f t="shared" si="28"/>
        <v>0</v>
      </c>
      <c r="H924" s="3"/>
      <c r="I924" s="3">
        <f ca="1">IFERROR(_xludf.XLOOKUP("Seguro",PARAMETROS_IMPORTACION!$A:$A,PARAMETROS_IMPORTACION!$C:$C,0),0)</f>
        <v>0</v>
      </c>
      <c r="J924" s="3">
        <f ca="1">IFERROR(_xludf.XLOOKUP("Arancel",PARAMETROS_IMPORTACION!$A:$A,PARAMETROS_IMPORTACION!$C:$C,0),0)</f>
        <v>0</v>
      </c>
      <c r="K924" s="2">
        <f ca="1">IFERROR(_xludf.XLOOKUP("Gastos_Aduana",PARAMETROS_IMPORTACION!$A:$A,PARAMETROS_IMPORTACION!$C:$C,0),0)</f>
        <v>0</v>
      </c>
      <c r="L924" s="2">
        <f t="shared" si="29"/>
        <v>0</v>
      </c>
    </row>
    <row r="925" spans="5:12" x14ac:dyDescent="0.35">
      <c r="E925" s="2"/>
      <c r="F925" s="2">
        <f>_xlfn.XLOOKUP(D925,TIPOS_CAMBIO!A:A,TIPOS_CAMBIO!B:B,"",0)</f>
        <v>0</v>
      </c>
      <c r="G925" s="3">
        <f t="shared" si="28"/>
        <v>0</v>
      </c>
      <c r="H925" s="3"/>
      <c r="I925" s="3">
        <f ca="1">IFERROR(_xludf.XLOOKUP("Seguro",PARAMETROS_IMPORTACION!$A:$A,PARAMETROS_IMPORTACION!$C:$C,0),0)</f>
        <v>0</v>
      </c>
      <c r="J925" s="3">
        <f ca="1">IFERROR(_xludf.XLOOKUP("Arancel",PARAMETROS_IMPORTACION!$A:$A,PARAMETROS_IMPORTACION!$C:$C,0),0)</f>
        <v>0</v>
      </c>
      <c r="K925" s="2">
        <f ca="1">IFERROR(_xludf.XLOOKUP("Gastos_Aduana",PARAMETROS_IMPORTACION!$A:$A,PARAMETROS_IMPORTACION!$C:$C,0),0)</f>
        <v>0</v>
      </c>
      <c r="L925" s="2">
        <f t="shared" si="29"/>
        <v>0</v>
      </c>
    </row>
    <row r="926" spans="5:12" x14ac:dyDescent="0.35">
      <c r="E926" s="2"/>
      <c r="F926" s="2">
        <f>_xlfn.XLOOKUP(D926,TIPOS_CAMBIO!A:A,TIPOS_CAMBIO!B:B,"",0)</f>
        <v>0</v>
      </c>
      <c r="G926" s="3">
        <f t="shared" si="28"/>
        <v>0</v>
      </c>
      <c r="H926" s="3"/>
      <c r="I926" s="3">
        <f ca="1">IFERROR(_xludf.XLOOKUP("Seguro",PARAMETROS_IMPORTACION!$A:$A,PARAMETROS_IMPORTACION!$C:$C,0),0)</f>
        <v>0</v>
      </c>
      <c r="J926" s="3">
        <f ca="1">IFERROR(_xludf.XLOOKUP("Arancel",PARAMETROS_IMPORTACION!$A:$A,PARAMETROS_IMPORTACION!$C:$C,0),0)</f>
        <v>0</v>
      </c>
      <c r="K926" s="2">
        <f ca="1">IFERROR(_xludf.XLOOKUP("Gastos_Aduana",PARAMETROS_IMPORTACION!$A:$A,PARAMETROS_IMPORTACION!$C:$C,0),0)</f>
        <v>0</v>
      </c>
      <c r="L926" s="2">
        <f t="shared" si="29"/>
        <v>0</v>
      </c>
    </row>
    <row r="927" spans="5:12" x14ac:dyDescent="0.35">
      <c r="E927" s="2"/>
      <c r="F927" s="2">
        <f>_xlfn.XLOOKUP(D927,TIPOS_CAMBIO!A:A,TIPOS_CAMBIO!B:B,"",0)</f>
        <v>0</v>
      </c>
      <c r="G927" s="3">
        <f t="shared" si="28"/>
        <v>0</v>
      </c>
      <c r="H927" s="3"/>
      <c r="I927" s="3">
        <f ca="1">IFERROR(_xludf.XLOOKUP("Seguro",PARAMETROS_IMPORTACION!$A:$A,PARAMETROS_IMPORTACION!$C:$C,0),0)</f>
        <v>0</v>
      </c>
      <c r="J927" s="3">
        <f ca="1">IFERROR(_xludf.XLOOKUP("Arancel",PARAMETROS_IMPORTACION!$A:$A,PARAMETROS_IMPORTACION!$C:$C,0),0)</f>
        <v>0</v>
      </c>
      <c r="K927" s="2">
        <f ca="1">IFERROR(_xludf.XLOOKUP("Gastos_Aduana",PARAMETROS_IMPORTACION!$A:$A,PARAMETROS_IMPORTACION!$C:$C,0),0)</f>
        <v>0</v>
      </c>
      <c r="L927" s="2">
        <f t="shared" si="29"/>
        <v>0</v>
      </c>
    </row>
    <row r="928" spans="5:12" x14ac:dyDescent="0.35">
      <c r="E928" s="2"/>
      <c r="F928" s="2">
        <f>_xlfn.XLOOKUP(D928,TIPOS_CAMBIO!A:A,TIPOS_CAMBIO!B:B,"",0)</f>
        <v>0</v>
      </c>
      <c r="G928" s="3">
        <f t="shared" si="28"/>
        <v>0</v>
      </c>
      <c r="H928" s="3"/>
      <c r="I928" s="3">
        <f ca="1">IFERROR(_xludf.XLOOKUP("Seguro",PARAMETROS_IMPORTACION!$A:$A,PARAMETROS_IMPORTACION!$C:$C,0),0)</f>
        <v>0</v>
      </c>
      <c r="J928" s="3">
        <f ca="1">IFERROR(_xludf.XLOOKUP("Arancel",PARAMETROS_IMPORTACION!$A:$A,PARAMETROS_IMPORTACION!$C:$C,0),0)</f>
        <v>0</v>
      </c>
      <c r="K928" s="2">
        <f ca="1">IFERROR(_xludf.XLOOKUP("Gastos_Aduana",PARAMETROS_IMPORTACION!$A:$A,PARAMETROS_IMPORTACION!$C:$C,0),0)</f>
        <v>0</v>
      </c>
      <c r="L928" s="2">
        <f t="shared" si="29"/>
        <v>0</v>
      </c>
    </row>
    <row r="929" spans="5:12" x14ac:dyDescent="0.35">
      <c r="E929" s="2"/>
      <c r="F929" s="2">
        <f>_xlfn.XLOOKUP(D929,TIPOS_CAMBIO!A:A,TIPOS_CAMBIO!B:B,"",0)</f>
        <v>0</v>
      </c>
      <c r="G929" s="3">
        <f t="shared" si="28"/>
        <v>0</v>
      </c>
      <c r="H929" s="3"/>
      <c r="I929" s="3">
        <f ca="1">IFERROR(_xludf.XLOOKUP("Seguro",PARAMETROS_IMPORTACION!$A:$A,PARAMETROS_IMPORTACION!$C:$C,0),0)</f>
        <v>0</v>
      </c>
      <c r="J929" s="3">
        <f ca="1">IFERROR(_xludf.XLOOKUP("Arancel",PARAMETROS_IMPORTACION!$A:$A,PARAMETROS_IMPORTACION!$C:$C,0),0)</f>
        <v>0</v>
      </c>
      <c r="K929" s="2">
        <f ca="1">IFERROR(_xludf.XLOOKUP("Gastos_Aduana",PARAMETROS_IMPORTACION!$A:$A,PARAMETROS_IMPORTACION!$C:$C,0),0)</f>
        <v>0</v>
      </c>
      <c r="L929" s="2">
        <f t="shared" si="29"/>
        <v>0</v>
      </c>
    </row>
    <row r="930" spans="5:12" x14ac:dyDescent="0.35">
      <c r="E930" s="2"/>
      <c r="F930" s="2">
        <f>_xlfn.XLOOKUP(D930,TIPOS_CAMBIO!A:A,TIPOS_CAMBIO!B:B,"",0)</f>
        <v>0</v>
      </c>
      <c r="G930" s="3">
        <f t="shared" si="28"/>
        <v>0</v>
      </c>
      <c r="H930" s="3"/>
      <c r="I930" s="3">
        <f ca="1">IFERROR(_xludf.XLOOKUP("Seguro",PARAMETROS_IMPORTACION!$A:$A,PARAMETROS_IMPORTACION!$C:$C,0),0)</f>
        <v>0</v>
      </c>
      <c r="J930" s="3">
        <f ca="1">IFERROR(_xludf.XLOOKUP("Arancel",PARAMETROS_IMPORTACION!$A:$A,PARAMETROS_IMPORTACION!$C:$C,0),0)</f>
        <v>0</v>
      </c>
      <c r="K930" s="2">
        <f ca="1">IFERROR(_xludf.XLOOKUP("Gastos_Aduana",PARAMETROS_IMPORTACION!$A:$A,PARAMETROS_IMPORTACION!$C:$C,0),0)</f>
        <v>0</v>
      </c>
      <c r="L930" s="2">
        <f t="shared" si="29"/>
        <v>0</v>
      </c>
    </row>
    <row r="931" spans="5:12" x14ac:dyDescent="0.35">
      <c r="E931" s="2"/>
      <c r="F931" s="2">
        <f>_xlfn.XLOOKUP(D931,TIPOS_CAMBIO!A:A,TIPOS_CAMBIO!B:B,"",0)</f>
        <v>0</v>
      </c>
      <c r="G931" s="3">
        <f t="shared" si="28"/>
        <v>0</v>
      </c>
      <c r="H931" s="3"/>
      <c r="I931" s="3">
        <f ca="1">IFERROR(_xludf.XLOOKUP("Seguro",PARAMETROS_IMPORTACION!$A:$A,PARAMETROS_IMPORTACION!$C:$C,0),0)</f>
        <v>0</v>
      </c>
      <c r="J931" s="3">
        <f ca="1">IFERROR(_xludf.XLOOKUP("Arancel",PARAMETROS_IMPORTACION!$A:$A,PARAMETROS_IMPORTACION!$C:$C,0),0)</f>
        <v>0</v>
      </c>
      <c r="K931" s="2">
        <f ca="1">IFERROR(_xludf.XLOOKUP("Gastos_Aduana",PARAMETROS_IMPORTACION!$A:$A,PARAMETROS_IMPORTACION!$C:$C,0),0)</f>
        <v>0</v>
      </c>
      <c r="L931" s="2">
        <f t="shared" si="29"/>
        <v>0</v>
      </c>
    </row>
    <row r="932" spans="5:12" x14ac:dyDescent="0.35">
      <c r="E932" s="2"/>
      <c r="F932" s="2">
        <f>_xlfn.XLOOKUP(D932,TIPOS_CAMBIO!A:A,TIPOS_CAMBIO!B:B,"",0)</f>
        <v>0</v>
      </c>
      <c r="G932" s="3">
        <f t="shared" si="28"/>
        <v>0</v>
      </c>
      <c r="H932" s="3"/>
      <c r="I932" s="3">
        <f ca="1">IFERROR(_xludf.XLOOKUP("Seguro",PARAMETROS_IMPORTACION!$A:$A,PARAMETROS_IMPORTACION!$C:$C,0),0)</f>
        <v>0</v>
      </c>
      <c r="J932" s="3">
        <f ca="1">IFERROR(_xludf.XLOOKUP("Arancel",PARAMETROS_IMPORTACION!$A:$A,PARAMETROS_IMPORTACION!$C:$C,0),0)</f>
        <v>0</v>
      </c>
      <c r="K932" s="2">
        <f ca="1">IFERROR(_xludf.XLOOKUP("Gastos_Aduana",PARAMETROS_IMPORTACION!$A:$A,PARAMETROS_IMPORTACION!$C:$C,0),0)</f>
        <v>0</v>
      </c>
      <c r="L932" s="2">
        <f t="shared" si="29"/>
        <v>0</v>
      </c>
    </row>
    <row r="933" spans="5:12" x14ac:dyDescent="0.35">
      <c r="E933" s="2"/>
      <c r="F933" s="2">
        <f>_xlfn.XLOOKUP(D933,TIPOS_CAMBIO!A:A,TIPOS_CAMBIO!B:B,"",0)</f>
        <v>0</v>
      </c>
      <c r="G933" s="3">
        <f t="shared" si="28"/>
        <v>0</v>
      </c>
      <c r="H933" s="3"/>
      <c r="I933" s="3">
        <f ca="1">IFERROR(_xludf.XLOOKUP("Seguro",PARAMETROS_IMPORTACION!$A:$A,PARAMETROS_IMPORTACION!$C:$C,0),0)</f>
        <v>0</v>
      </c>
      <c r="J933" s="3">
        <f ca="1">IFERROR(_xludf.XLOOKUP("Arancel",PARAMETROS_IMPORTACION!$A:$A,PARAMETROS_IMPORTACION!$C:$C,0),0)</f>
        <v>0</v>
      </c>
      <c r="K933" s="2">
        <f ca="1">IFERROR(_xludf.XLOOKUP("Gastos_Aduana",PARAMETROS_IMPORTACION!$A:$A,PARAMETROS_IMPORTACION!$C:$C,0),0)</f>
        <v>0</v>
      </c>
      <c r="L933" s="2">
        <f t="shared" si="29"/>
        <v>0</v>
      </c>
    </row>
    <row r="934" spans="5:12" x14ac:dyDescent="0.35">
      <c r="E934" s="2"/>
      <c r="F934" s="2">
        <f>_xlfn.XLOOKUP(D934,TIPOS_CAMBIO!A:A,TIPOS_CAMBIO!B:B,"",0)</f>
        <v>0</v>
      </c>
      <c r="G934" s="3">
        <f t="shared" si="28"/>
        <v>0</v>
      </c>
      <c r="H934" s="3"/>
      <c r="I934" s="3">
        <f ca="1">IFERROR(_xludf.XLOOKUP("Seguro",PARAMETROS_IMPORTACION!$A:$A,PARAMETROS_IMPORTACION!$C:$C,0),0)</f>
        <v>0</v>
      </c>
      <c r="J934" s="3">
        <f ca="1">IFERROR(_xludf.XLOOKUP("Arancel",PARAMETROS_IMPORTACION!$A:$A,PARAMETROS_IMPORTACION!$C:$C,0),0)</f>
        <v>0</v>
      </c>
      <c r="K934" s="2">
        <f ca="1">IFERROR(_xludf.XLOOKUP("Gastos_Aduana",PARAMETROS_IMPORTACION!$A:$A,PARAMETROS_IMPORTACION!$C:$C,0),0)</f>
        <v>0</v>
      </c>
      <c r="L934" s="2">
        <f t="shared" si="29"/>
        <v>0</v>
      </c>
    </row>
    <row r="935" spans="5:12" x14ac:dyDescent="0.35">
      <c r="E935" s="2"/>
      <c r="F935" s="2">
        <f>_xlfn.XLOOKUP(D935,TIPOS_CAMBIO!A:A,TIPOS_CAMBIO!B:B,"",0)</f>
        <v>0</v>
      </c>
      <c r="G935" s="3">
        <f t="shared" si="28"/>
        <v>0</v>
      </c>
      <c r="H935" s="3"/>
      <c r="I935" s="3">
        <f ca="1">IFERROR(_xludf.XLOOKUP("Seguro",PARAMETROS_IMPORTACION!$A:$A,PARAMETROS_IMPORTACION!$C:$C,0),0)</f>
        <v>0</v>
      </c>
      <c r="J935" s="3">
        <f ca="1">IFERROR(_xludf.XLOOKUP("Arancel",PARAMETROS_IMPORTACION!$A:$A,PARAMETROS_IMPORTACION!$C:$C,0),0)</f>
        <v>0</v>
      </c>
      <c r="K935" s="2">
        <f ca="1">IFERROR(_xludf.XLOOKUP("Gastos_Aduana",PARAMETROS_IMPORTACION!$A:$A,PARAMETROS_IMPORTACION!$C:$C,0),0)</f>
        <v>0</v>
      </c>
      <c r="L935" s="2">
        <f t="shared" si="29"/>
        <v>0</v>
      </c>
    </row>
    <row r="936" spans="5:12" x14ac:dyDescent="0.35">
      <c r="E936" s="2"/>
      <c r="F936" s="2">
        <f>_xlfn.XLOOKUP(D936,TIPOS_CAMBIO!A:A,TIPOS_CAMBIO!B:B,"",0)</f>
        <v>0</v>
      </c>
      <c r="G936" s="3">
        <f t="shared" si="28"/>
        <v>0</v>
      </c>
      <c r="H936" s="3"/>
      <c r="I936" s="3">
        <f ca="1">IFERROR(_xludf.XLOOKUP("Seguro",PARAMETROS_IMPORTACION!$A:$A,PARAMETROS_IMPORTACION!$C:$C,0),0)</f>
        <v>0</v>
      </c>
      <c r="J936" s="3">
        <f ca="1">IFERROR(_xludf.XLOOKUP("Arancel",PARAMETROS_IMPORTACION!$A:$A,PARAMETROS_IMPORTACION!$C:$C,0),0)</f>
        <v>0</v>
      </c>
      <c r="K936" s="2">
        <f ca="1">IFERROR(_xludf.XLOOKUP("Gastos_Aduana",PARAMETROS_IMPORTACION!$A:$A,PARAMETROS_IMPORTACION!$C:$C,0),0)</f>
        <v>0</v>
      </c>
      <c r="L936" s="2">
        <f t="shared" si="29"/>
        <v>0</v>
      </c>
    </row>
    <row r="937" spans="5:12" x14ac:dyDescent="0.35">
      <c r="E937" s="2"/>
      <c r="F937" s="2">
        <f>_xlfn.XLOOKUP(D937,TIPOS_CAMBIO!A:A,TIPOS_CAMBIO!B:B,"",0)</f>
        <v>0</v>
      </c>
      <c r="G937" s="3">
        <f t="shared" si="28"/>
        <v>0</v>
      </c>
      <c r="H937" s="3"/>
      <c r="I937" s="3">
        <f ca="1">IFERROR(_xludf.XLOOKUP("Seguro",PARAMETROS_IMPORTACION!$A:$A,PARAMETROS_IMPORTACION!$C:$C,0),0)</f>
        <v>0</v>
      </c>
      <c r="J937" s="3">
        <f ca="1">IFERROR(_xludf.XLOOKUP("Arancel",PARAMETROS_IMPORTACION!$A:$A,PARAMETROS_IMPORTACION!$C:$C,0),0)</f>
        <v>0</v>
      </c>
      <c r="K937" s="2">
        <f ca="1">IFERROR(_xludf.XLOOKUP("Gastos_Aduana",PARAMETROS_IMPORTACION!$A:$A,PARAMETROS_IMPORTACION!$C:$C,0),0)</f>
        <v>0</v>
      </c>
      <c r="L937" s="2">
        <f t="shared" si="29"/>
        <v>0</v>
      </c>
    </row>
    <row r="938" spans="5:12" x14ac:dyDescent="0.35">
      <c r="E938" s="2"/>
      <c r="F938" s="2">
        <f>_xlfn.XLOOKUP(D938,TIPOS_CAMBIO!A:A,TIPOS_CAMBIO!B:B,"",0)</f>
        <v>0</v>
      </c>
      <c r="G938" s="3">
        <f t="shared" si="28"/>
        <v>0</v>
      </c>
      <c r="H938" s="3"/>
      <c r="I938" s="3">
        <f ca="1">IFERROR(_xludf.XLOOKUP("Seguro",PARAMETROS_IMPORTACION!$A:$A,PARAMETROS_IMPORTACION!$C:$C,0),0)</f>
        <v>0</v>
      </c>
      <c r="J938" s="3">
        <f ca="1">IFERROR(_xludf.XLOOKUP("Arancel",PARAMETROS_IMPORTACION!$A:$A,PARAMETROS_IMPORTACION!$C:$C,0),0)</f>
        <v>0</v>
      </c>
      <c r="K938" s="2">
        <f ca="1">IFERROR(_xludf.XLOOKUP("Gastos_Aduana",PARAMETROS_IMPORTACION!$A:$A,PARAMETROS_IMPORTACION!$C:$C,0),0)</f>
        <v>0</v>
      </c>
      <c r="L938" s="2">
        <f t="shared" si="29"/>
        <v>0</v>
      </c>
    </row>
    <row r="939" spans="5:12" x14ac:dyDescent="0.35">
      <c r="E939" s="2"/>
      <c r="F939" s="2">
        <f>_xlfn.XLOOKUP(D939,TIPOS_CAMBIO!A:A,TIPOS_CAMBIO!B:B,"",0)</f>
        <v>0</v>
      </c>
      <c r="G939" s="3">
        <f t="shared" si="28"/>
        <v>0</v>
      </c>
      <c r="H939" s="3"/>
      <c r="I939" s="3">
        <f ca="1">IFERROR(_xludf.XLOOKUP("Seguro",PARAMETROS_IMPORTACION!$A:$A,PARAMETROS_IMPORTACION!$C:$C,0),0)</f>
        <v>0</v>
      </c>
      <c r="J939" s="3">
        <f ca="1">IFERROR(_xludf.XLOOKUP("Arancel",PARAMETROS_IMPORTACION!$A:$A,PARAMETROS_IMPORTACION!$C:$C,0),0)</f>
        <v>0</v>
      </c>
      <c r="K939" s="2">
        <f ca="1">IFERROR(_xludf.XLOOKUP("Gastos_Aduana",PARAMETROS_IMPORTACION!$A:$A,PARAMETROS_IMPORTACION!$C:$C,0),0)</f>
        <v>0</v>
      </c>
      <c r="L939" s="2">
        <f t="shared" si="29"/>
        <v>0</v>
      </c>
    </row>
    <row r="940" spans="5:12" x14ac:dyDescent="0.35">
      <c r="E940" s="2"/>
      <c r="F940" s="2">
        <f>_xlfn.XLOOKUP(D940,TIPOS_CAMBIO!A:A,TIPOS_CAMBIO!B:B,"",0)</f>
        <v>0</v>
      </c>
      <c r="G940" s="3">
        <f t="shared" si="28"/>
        <v>0</v>
      </c>
      <c r="H940" s="3"/>
      <c r="I940" s="3">
        <f ca="1">IFERROR(_xludf.XLOOKUP("Seguro",PARAMETROS_IMPORTACION!$A:$A,PARAMETROS_IMPORTACION!$C:$C,0),0)</f>
        <v>0</v>
      </c>
      <c r="J940" s="3">
        <f ca="1">IFERROR(_xludf.XLOOKUP("Arancel",PARAMETROS_IMPORTACION!$A:$A,PARAMETROS_IMPORTACION!$C:$C,0),0)</f>
        <v>0</v>
      </c>
      <c r="K940" s="2">
        <f ca="1">IFERROR(_xludf.XLOOKUP("Gastos_Aduana",PARAMETROS_IMPORTACION!$A:$A,PARAMETROS_IMPORTACION!$C:$C,0),0)</f>
        <v>0</v>
      </c>
      <c r="L940" s="2">
        <f t="shared" si="29"/>
        <v>0</v>
      </c>
    </row>
    <row r="941" spans="5:12" x14ac:dyDescent="0.35">
      <c r="E941" s="2"/>
      <c r="F941" s="2">
        <f>_xlfn.XLOOKUP(D941,TIPOS_CAMBIO!A:A,TIPOS_CAMBIO!B:B,"",0)</f>
        <v>0</v>
      </c>
      <c r="G941" s="3">
        <f t="shared" si="28"/>
        <v>0</v>
      </c>
      <c r="H941" s="3"/>
      <c r="I941" s="3">
        <f ca="1">IFERROR(_xludf.XLOOKUP("Seguro",PARAMETROS_IMPORTACION!$A:$A,PARAMETROS_IMPORTACION!$C:$C,0),0)</f>
        <v>0</v>
      </c>
      <c r="J941" s="3">
        <f ca="1">IFERROR(_xludf.XLOOKUP("Arancel",PARAMETROS_IMPORTACION!$A:$A,PARAMETROS_IMPORTACION!$C:$C,0),0)</f>
        <v>0</v>
      </c>
      <c r="K941" s="2">
        <f ca="1">IFERROR(_xludf.XLOOKUP("Gastos_Aduana",PARAMETROS_IMPORTACION!$A:$A,PARAMETROS_IMPORTACION!$C:$C,0),0)</f>
        <v>0</v>
      </c>
      <c r="L941" s="2">
        <f t="shared" si="29"/>
        <v>0</v>
      </c>
    </row>
    <row r="942" spans="5:12" x14ac:dyDescent="0.35">
      <c r="E942" s="2"/>
      <c r="F942" s="2">
        <f>_xlfn.XLOOKUP(D942,TIPOS_CAMBIO!A:A,TIPOS_CAMBIO!B:B,"",0)</f>
        <v>0</v>
      </c>
      <c r="G942" s="3">
        <f t="shared" si="28"/>
        <v>0</v>
      </c>
      <c r="H942" s="3"/>
      <c r="I942" s="3">
        <f ca="1">IFERROR(_xludf.XLOOKUP("Seguro",PARAMETROS_IMPORTACION!$A:$A,PARAMETROS_IMPORTACION!$C:$C,0),0)</f>
        <v>0</v>
      </c>
      <c r="J942" s="3">
        <f ca="1">IFERROR(_xludf.XLOOKUP("Arancel",PARAMETROS_IMPORTACION!$A:$A,PARAMETROS_IMPORTACION!$C:$C,0),0)</f>
        <v>0</v>
      </c>
      <c r="K942" s="2">
        <f ca="1">IFERROR(_xludf.XLOOKUP("Gastos_Aduana",PARAMETROS_IMPORTACION!$A:$A,PARAMETROS_IMPORTACION!$C:$C,0),0)</f>
        <v>0</v>
      </c>
      <c r="L942" s="2">
        <f t="shared" si="29"/>
        <v>0</v>
      </c>
    </row>
    <row r="943" spans="5:12" x14ac:dyDescent="0.35">
      <c r="E943" s="2"/>
      <c r="F943" s="2">
        <f>_xlfn.XLOOKUP(D943,TIPOS_CAMBIO!A:A,TIPOS_CAMBIO!B:B,"",0)</f>
        <v>0</v>
      </c>
      <c r="G943" s="3">
        <f t="shared" si="28"/>
        <v>0</v>
      </c>
      <c r="H943" s="3"/>
      <c r="I943" s="3">
        <f ca="1">IFERROR(_xludf.XLOOKUP("Seguro",PARAMETROS_IMPORTACION!$A:$A,PARAMETROS_IMPORTACION!$C:$C,0),0)</f>
        <v>0</v>
      </c>
      <c r="J943" s="3">
        <f ca="1">IFERROR(_xludf.XLOOKUP("Arancel",PARAMETROS_IMPORTACION!$A:$A,PARAMETROS_IMPORTACION!$C:$C,0),0)</f>
        <v>0</v>
      </c>
      <c r="K943" s="2">
        <f ca="1">IFERROR(_xludf.XLOOKUP("Gastos_Aduana",PARAMETROS_IMPORTACION!$A:$A,PARAMETROS_IMPORTACION!$C:$C,0),0)</f>
        <v>0</v>
      </c>
      <c r="L943" s="2">
        <f t="shared" si="29"/>
        <v>0</v>
      </c>
    </row>
    <row r="944" spans="5:12" x14ac:dyDescent="0.35">
      <c r="E944" s="2"/>
      <c r="F944" s="2">
        <f>_xlfn.XLOOKUP(D944,TIPOS_CAMBIO!A:A,TIPOS_CAMBIO!B:B,"",0)</f>
        <v>0</v>
      </c>
      <c r="G944" s="3">
        <f t="shared" si="28"/>
        <v>0</v>
      </c>
      <c r="H944" s="3"/>
      <c r="I944" s="3">
        <f ca="1">IFERROR(_xludf.XLOOKUP("Seguro",PARAMETROS_IMPORTACION!$A:$A,PARAMETROS_IMPORTACION!$C:$C,0),0)</f>
        <v>0</v>
      </c>
      <c r="J944" s="3">
        <f ca="1">IFERROR(_xludf.XLOOKUP("Arancel",PARAMETROS_IMPORTACION!$A:$A,PARAMETROS_IMPORTACION!$C:$C,0),0)</f>
        <v>0</v>
      </c>
      <c r="K944" s="2">
        <f ca="1">IFERROR(_xludf.XLOOKUP("Gastos_Aduana",PARAMETROS_IMPORTACION!$A:$A,PARAMETROS_IMPORTACION!$C:$C,0),0)</f>
        <v>0</v>
      </c>
      <c r="L944" s="2">
        <f t="shared" si="29"/>
        <v>0</v>
      </c>
    </row>
    <row r="945" spans="5:12" x14ac:dyDescent="0.35">
      <c r="E945" s="2"/>
      <c r="F945" s="2">
        <f>_xlfn.XLOOKUP(D945,TIPOS_CAMBIO!A:A,TIPOS_CAMBIO!B:B,"",0)</f>
        <v>0</v>
      </c>
      <c r="G945" s="3">
        <f t="shared" si="28"/>
        <v>0</v>
      </c>
      <c r="H945" s="3"/>
      <c r="I945" s="3">
        <f ca="1">IFERROR(_xludf.XLOOKUP("Seguro",PARAMETROS_IMPORTACION!$A:$A,PARAMETROS_IMPORTACION!$C:$C,0),0)</f>
        <v>0</v>
      </c>
      <c r="J945" s="3">
        <f ca="1">IFERROR(_xludf.XLOOKUP("Arancel",PARAMETROS_IMPORTACION!$A:$A,PARAMETROS_IMPORTACION!$C:$C,0),0)</f>
        <v>0</v>
      </c>
      <c r="K945" s="2">
        <f ca="1">IFERROR(_xludf.XLOOKUP("Gastos_Aduana",PARAMETROS_IMPORTACION!$A:$A,PARAMETROS_IMPORTACION!$C:$C,0),0)</f>
        <v>0</v>
      </c>
      <c r="L945" s="2">
        <f t="shared" si="29"/>
        <v>0</v>
      </c>
    </row>
    <row r="946" spans="5:12" x14ac:dyDescent="0.35">
      <c r="E946" s="2"/>
      <c r="F946" s="2">
        <f>_xlfn.XLOOKUP(D946,TIPOS_CAMBIO!A:A,TIPOS_CAMBIO!B:B,"",0)</f>
        <v>0</v>
      </c>
      <c r="G946" s="3">
        <f t="shared" si="28"/>
        <v>0</v>
      </c>
      <c r="H946" s="3"/>
      <c r="I946" s="3">
        <f ca="1">IFERROR(_xludf.XLOOKUP("Seguro",PARAMETROS_IMPORTACION!$A:$A,PARAMETROS_IMPORTACION!$C:$C,0),0)</f>
        <v>0</v>
      </c>
      <c r="J946" s="3">
        <f ca="1">IFERROR(_xludf.XLOOKUP("Arancel",PARAMETROS_IMPORTACION!$A:$A,PARAMETROS_IMPORTACION!$C:$C,0),0)</f>
        <v>0</v>
      </c>
      <c r="K946" s="2">
        <f ca="1">IFERROR(_xludf.XLOOKUP("Gastos_Aduana",PARAMETROS_IMPORTACION!$A:$A,PARAMETROS_IMPORTACION!$C:$C,0),0)</f>
        <v>0</v>
      </c>
      <c r="L946" s="2">
        <f t="shared" si="29"/>
        <v>0</v>
      </c>
    </row>
    <row r="947" spans="5:12" x14ac:dyDescent="0.35">
      <c r="E947" s="2"/>
      <c r="F947" s="2">
        <f>_xlfn.XLOOKUP(D947,TIPOS_CAMBIO!A:A,TIPOS_CAMBIO!B:B,"",0)</f>
        <v>0</v>
      </c>
      <c r="G947" s="3">
        <f t="shared" si="28"/>
        <v>0</v>
      </c>
      <c r="H947" s="3"/>
      <c r="I947" s="3">
        <f ca="1">IFERROR(_xludf.XLOOKUP("Seguro",PARAMETROS_IMPORTACION!$A:$A,PARAMETROS_IMPORTACION!$C:$C,0),0)</f>
        <v>0</v>
      </c>
      <c r="J947" s="3">
        <f ca="1">IFERROR(_xludf.XLOOKUP("Arancel",PARAMETROS_IMPORTACION!$A:$A,PARAMETROS_IMPORTACION!$C:$C,0),0)</f>
        <v>0</v>
      </c>
      <c r="K947" s="2">
        <f ca="1">IFERROR(_xludf.XLOOKUP("Gastos_Aduana",PARAMETROS_IMPORTACION!$A:$A,PARAMETROS_IMPORTACION!$C:$C,0),0)</f>
        <v>0</v>
      </c>
      <c r="L947" s="2">
        <f t="shared" si="29"/>
        <v>0</v>
      </c>
    </row>
    <row r="948" spans="5:12" x14ac:dyDescent="0.35">
      <c r="E948" s="2"/>
      <c r="F948" s="2">
        <f>_xlfn.XLOOKUP(D948,TIPOS_CAMBIO!A:A,TIPOS_CAMBIO!B:B,"",0)</f>
        <v>0</v>
      </c>
      <c r="G948" s="3">
        <f t="shared" si="28"/>
        <v>0</v>
      </c>
      <c r="H948" s="3"/>
      <c r="I948" s="3">
        <f ca="1">IFERROR(_xludf.XLOOKUP("Seguro",PARAMETROS_IMPORTACION!$A:$A,PARAMETROS_IMPORTACION!$C:$C,0),0)</f>
        <v>0</v>
      </c>
      <c r="J948" s="3">
        <f ca="1">IFERROR(_xludf.XLOOKUP("Arancel",PARAMETROS_IMPORTACION!$A:$A,PARAMETROS_IMPORTACION!$C:$C,0),0)</f>
        <v>0</v>
      </c>
      <c r="K948" s="2">
        <f ca="1">IFERROR(_xludf.XLOOKUP("Gastos_Aduana",PARAMETROS_IMPORTACION!$A:$A,PARAMETROS_IMPORTACION!$C:$C,0),0)</f>
        <v>0</v>
      </c>
      <c r="L948" s="2">
        <f t="shared" si="29"/>
        <v>0</v>
      </c>
    </row>
    <row r="949" spans="5:12" x14ac:dyDescent="0.35">
      <c r="E949" s="2"/>
      <c r="F949" s="2">
        <f>_xlfn.XLOOKUP(D949,TIPOS_CAMBIO!A:A,TIPOS_CAMBIO!B:B,"",0)</f>
        <v>0</v>
      </c>
      <c r="G949" s="3">
        <f t="shared" si="28"/>
        <v>0</v>
      </c>
      <c r="H949" s="3"/>
      <c r="I949" s="3">
        <f ca="1">IFERROR(_xludf.XLOOKUP("Seguro",PARAMETROS_IMPORTACION!$A:$A,PARAMETROS_IMPORTACION!$C:$C,0),0)</f>
        <v>0</v>
      </c>
      <c r="J949" s="3">
        <f ca="1">IFERROR(_xludf.XLOOKUP("Arancel",PARAMETROS_IMPORTACION!$A:$A,PARAMETROS_IMPORTACION!$C:$C,0),0)</f>
        <v>0</v>
      </c>
      <c r="K949" s="2">
        <f ca="1">IFERROR(_xludf.XLOOKUP("Gastos_Aduana",PARAMETROS_IMPORTACION!$A:$A,PARAMETROS_IMPORTACION!$C:$C,0),0)</f>
        <v>0</v>
      </c>
      <c r="L949" s="2">
        <f t="shared" si="29"/>
        <v>0</v>
      </c>
    </row>
    <row r="950" spans="5:12" x14ac:dyDescent="0.35">
      <c r="E950" s="2"/>
      <c r="F950" s="2">
        <f>_xlfn.XLOOKUP(D950,TIPOS_CAMBIO!A:A,TIPOS_CAMBIO!B:B,"",0)</f>
        <v>0</v>
      </c>
      <c r="G950" s="3">
        <f t="shared" si="28"/>
        <v>0</v>
      </c>
      <c r="H950" s="3"/>
      <c r="I950" s="3">
        <f ca="1">IFERROR(_xludf.XLOOKUP("Seguro",PARAMETROS_IMPORTACION!$A:$A,PARAMETROS_IMPORTACION!$C:$C,0),0)</f>
        <v>0</v>
      </c>
      <c r="J950" s="3">
        <f ca="1">IFERROR(_xludf.XLOOKUP("Arancel",PARAMETROS_IMPORTACION!$A:$A,PARAMETROS_IMPORTACION!$C:$C,0),0)</f>
        <v>0</v>
      </c>
      <c r="K950" s="2">
        <f ca="1">IFERROR(_xludf.XLOOKUP("Gastos_Aduana",PARAMETROS_IMPORTACION!$A:$A,PARAMETROS_IMPORTACION!$C:$C,0),0)</f>
        <v>0</v>
      </c>
      <c r="L950" s="2">
        <f t="shared" si="29"/>
        <v>0</v>
      </c>
    </row>
    <row r="951" spans="5:12" x14ac:dyDescent="0.35">
      <c r="E951" s="2"/>
      <c r="F951" s="2">
        <f>_xlfn.XLOOKUP(D951,TIPOS_CAMBIO!A:A,TIPOS_CAMBIO!B:B,"",0)</f>
        <v>0</v>
      </c>
      <c r="G951" s="3">
        <f t="shared" si="28"/>
        <v>0</v>
      </c>
      <c r="H951" s="3"/>
      <c r="I951" s="3">
        <f ca="1">IFERROR(_xludf.XLOOKUP("Seguro",PARAMETROS_IMPORTACION!$A:$A,PARAMETROS_IMPORTACION!$C:$C,0),0)</f>
        <v>0</v>
      </c>
      <c r="J951" s="3">
        <f ca="1">IFERROR(_xludf.XLOOKUP("Arancel",PARAMETROS_IMPORTACION!$A:$A,PARAMETROS_IMPORTACION!$C:$C,0),0)</f>
        <v>0</v>
      </c>
      <c r="K951" s="2">
        <f ca="1">IFERROR(_xludf.XLOOKUP("Gastos_Aduana",PARAMETROS_IMPORTACION!$A:$A,PARAMETROS_IMPORTACION!$C:$C,0),0)</f>
        <v>0</v>
      </c>
      <c r="L951" s="2">
        <f t="shared" si="29"/>
        <v>0</v>
      </c>
    </row>
    <row r="952" spans="5:12" x14ac:dyDescent="0.35">
      <c r="E952" s="2"/>
      <c r="F952" s="2">
        <f>_xlfn.XLOOKUP(D952,TIPOS_CAMBIO!A:A,TIPOS_CAMBIO!B:B,"",0)</f>
        <v>0</v>
      </c>
      <c r="G952" s="3">
        <f t="shared" si="28"/>
        <v>0</v>
      </c>
      <c r="H952" s="3"/>
      <c r="I952" s="3">
        <f ca="1">IFERROR(_xludf.XLOOKUP("Seguro",PARAMETROS_IMPORTACION!$A:$A,PARAMETROS_IMPORTACION!$C:$C,0),0)</f>
        <v>0</v>
      </c>
      <c r="J952" s="3">
        <f ca="1">IFERROR(_xludf.XLOOKUP("Arancel",PARAMETROS_IMPORTACION!$A:$A,PARAMETROS_IMPORTACION!$C:$C,0),0)</f>
        <v>0</v>
      </c>
      <c r="K952" s="2">
        <f ca="1">IFERROR(_xludf.XLOOKUP("Gastos_Aduana",PARAMETROS_IMPORTACION!$A:$A,PARAMETROS_IMPORTACION!$C:$C,0),0)</f>
        <v>0</v>
      </c>
      <c r="L952" s="2">
        <f t="shared" si="29"/>
        <v>0</v>
      </c>
    </row>
    <row r="953" spans="5:12" x14ac:dyDescent="0.35">
      <c r="E953" s="2"/>
      <c r="F953" s="2">
        <f>_xlfn.XLOOKUP(D953,TIPOS_CAMBIO!A:A,TIPOS_CAMBIO!B:B,"",0)</f>
        <v>0</v>
      </c>
      <c r="G953" s="3">
        <f t="shared" si="28"/>
        <v>0</v>
      </c>
      <c r="H953" s="3"/>
      <c r="I953" s="3">
        <f ca="1">IFERROR(_xludf.XLOOKUP("Seguro",PARAMETROS_IMPORTACION!$A:$A,PARAMETROS_IMPORTACION!$C:$C,0),0)</f>
        <v>0</v>
      </c>
      <c r="J953" s="3">
        <f ca="1">IFERROR(_xludf.XLOOKUP("Arancel",PARAMETROS_IMPORTACION!$A:$A,PARAMETROS_IMPORTACION!$C:$C,0),0)</f>
        <v>0</v>
      </c>
      <c r="K953" s="2">
        <f ca="1">IFERROR(_xludf.XLOOKUP("Gastos_Aduana",PARAMETROS_IMPORTACION!$A:$A,PARAMETROS_IMPORTACION!$C:$C,0),0)</f>
        <v>0</v>
      </c>
      <c r="L953" s="2">
        <f t="shared" si="29"/>
        <v>0</v>
      </c>
    </row>
    <row r="954" spans="5:12" x14ac:dyDescent="0.35">
      <c r="E954" s="2"/>
      <c r="F954" s="2">
        <f>_xlfn.XLOOKUP(D954,TIPOS_CAMBIO!A:A,TIPOS_CAMBIO!B:B,"",0)</f>
        <v>0</v>
      </c>
      <c r="G954" s="3">
        <f t="shared" si="28"/>
        <v>0</v>
      </c>
      <c r="H954" s="3"/>
      <c r="I954" s="3">
        <f ca="1">IFERROR(_xludf.XLOOKUP("Seguro",PARAMETROS_IMPORTACION!$A:$A,PARAMETROS_IMPORTACION!$C:$C,0),0)</f>
        <v>0</v>
      </c>
      <c r="J954" s="3">
        <f ca="1">IFERROR(_xludf.XLOOKUP("Arancel",PARAMETROS_IMPORTACION!$A:$A,PARAMETROS_IMPORTACION!$C:$C,0),0)</f>
        <v>0</v>
      </c>
      <c r="K954" s="2">
        <f ca="1">IFERROR(_xludf.XLOOKUP("Gastos_Aduana",PARAMETROS_IMPORTACION!$A:$A,PARAMETROS_IMPORTACION!$C:$C,0),0)</f>
        <v>0</v>
      </c>
      <c r="L954" s="2">
        <f t="shared" si="29"/>
        <v>0</v>
      </c>
    </row>
    <row r="955" spans="5:12" x14ac:dyDescent="0.35">
      <c r="E955" s="2"/>
      <c r="F955" s="2">
        <f>_xlfn.XLOOKUP(D955,TIPOS_CAMBIO!A:A,TIPOS_CAMBIO!B:B,"",0)</f>
        <v>0</v>
      </c>
      <c r="G955" s="3">
        <f t="shared" si="28"/>
        <v>0</v>
      </c>
      <c r="H955" s="3"/>
      <c r="I955" s="3">
        <f ca="1">IFERROR(_xludf.XLOOKUP("Seguro",PARAMETROS_IMPORTACION!$A:$A,PARAMETROS_IMPORTACION!$C:$C,0),0)</f>
        <v>0</v>
      </c>
      <c r="J955" s="3">
        <f ca="1">IFERROR(_xludf.XLOOKUP("Arancel",PARAMETROS_IMPORTACION!$A:$A,PARAMETROS_IMPORTACION!$C:$C,0),0)</f>
        <v>0</v>
      </c>
      <c r="K955" s="2">
        <f ca="1">IFERROR(_xludf.XLOOKUP("Gastos_Aduana",PARAMETROS_IMPORTACION!$A:$A,PARAMETROS_IMPORTACION!$C:$C,0),0)</f>
        <v>0</v>
      </c>
      <c r="L955" s="2">
        <f t="shared" si="29"/>
        <v>0</v>
      </c>
    </row>
    <row r="956" spans="5:12" x14ac:dyDescent="0.35">
      <c r="E956" s="2"/>
      <c r="F956" s="2">
        <f>_xlfn.XLOOKUP(D956,TIPOS_CAMBIO!A:A,TIPOS_CAMBIO!B:B,"",0)</f>
        <v>0</v>
      </c>
      <c r="G956" s="3">
        <f t="shared" si="28"/>
        <v>0</v>
      </c>
      <c r="H956" s="3"/>
      <c r="I956" s="3">
        <f ca="1">IFERROR(_xludf.XLOOKUP("Seguro",PARAMETROS_IMPORTACION!$A:$A,PARAMETROS_IMPORTACION!$C:$C,0),0)</f>
        <v>0</v>
      </c>
      <c r="J956" s="3">
        <f ca="1">IFERROR(_xludf.XLOOKUP("Arancel",PARAMETROS_IMPORTACION!$A:$A,PARAMETROS_IMPORTACION!$C:$C,0),0)</f>
        <v>0</v>
      </c>
      <c r="K956" s="2">
        <f ca="1">IFERROR(_xludf.XLOOKUP("Gastos_Aduana",PARAMETROS_IMPORTACION!$A:$A,PARAMETROS_IMPORTACION!$C:$C,0),0)</f>
        <v>0</v>
      </c>
      <c r="L956" s="2">
        <f t="shared" si="29"/>
        <v>0</v>
      </c>
    </row>
    <row r="957" spans="5:12" x14ac:dyDescent="0.35">
      <c r="E957" s="2"/>
      <c r="F957" s="2">
        <f>_xlfn.XLOOKUP(D957,TIPOS_CAMBIO!A:A,TIPOS_CAMBIO!B:B,"",0)</f>
        <v>0</v>
      </c>
      <c r="G957" s="3">
        <f t="shared" si="28"/>
        <v>0</v>
      </c>
      <c r="H957" s="3"/>
      <c r="I957" s="3">
        <f ca="1">IFERROR(_xludf.XLOOKUP("Seguro",PARAMETROS_IMPORTACION!$A:$A,PARAMETROS_IMPORTACION!$C:$C,0),0)</f>
        <v>0</v>
      </c>
      <c r="J957" s="3">
        <f ca="1">IFERROR(_xludf.XLOOKUP("Arancel",PARAMETROS_IMPORTACION!$A:$A,PARAMETROS_IMPORTACION!$C:$C,0),0)</f>
        <v>0</v>
      </c>
      <c r="K957" s="2">
        <f ca="1">IFERROR(_xludf.XLOOKUP("Gastos_Aduana",PARAMETROS_IMPORTACION!$A:$A,PARAMETROS_IMPORTACION!$C:$C,0),0)</f>
        <v>0</v>
      </c>
      <c r="L957" s="2">
        <f t="shared" si="29"/>
        <v>0</v>
      </c>
    </row>
    <row r="958" spans="5:12" x14ac:dyDescent="0.35">
      <c r="E958" s="2"/>
      <c r="F958" s="2">
        <f>_xlfn.XLOOKUP(D958,TIPOS_CAMBIO!A:A,TIPOS_CAMBIO!B:B,"",0)</f>
        <v>0</v>
      </c>
      <c r="G958" s="3">
        <f t="shared" si="28"/>
        <v>0</v>
      </c>
      <c r="H958" s="3"/>
      <c r="I958" s="3">
        <f ca="1">IFERROR(_xludf.XLOOKUP("Seguro",PARAMETROS_IMPORTACION!$A:$A,PARAMETROS_IMPORTACION!$C:$C,0),0)</f>
        <v>0</v>
      </c>
      <c r="J958" s="3">
        <f ca="1">IFERROR(_xludf.XLOOKUP("Arancel",PARAMETROS_IMPORTACION!$A:$A,PARAMETROS_IMPORTACION!$C:$C,0),0)</f>
        <v>0</v>
      </c>
      <c r="K958" s="2">
        <f ca="1">IFERROR(_xludf.XLOOKUP("Gastos_Aduana",PARAMETROS_IMPORTACION!$A:$A,PARAMETROS_IMPORTACION!$C:$C,0),0)</f>
        <v>0</v>
      </c>
      <c r="L958" s="2">
        <f t="shared" si="29"/>
        <v>0</v>
      </c>
    </row>
    <row r="959" spans="5:12" x14ac:dyDescent="0.35">
      <c r="E959" s="2"/>
      <c r="F959" s="2">
        <f>_xlfn.XLOOKUP(D959,TIPOS_CAMBIO!A:A,TIPOS_CAMBIO!B:B,"",0)</f>
        <v>0</v>
      </c>
      <c r="G959" s="3">
        <f t="shared" si="28"/>
        <v>0</v>
      </c>
      <c r="H959" s="3"/>
      <c r="I959" s="3">
        <f ca="1">IFERROR(_xludf.XLOOKUP("Seguro",PARAMETROS_IMPORTACION!$A:$A,PARAMETROS_IMPORTACION!$C:$C,0),0)</f>
        <v>0</v>
      </c>
      <c r="J959" s="3">
        <f ca="1">IFERROR(_xludf.XLOOKUP("Arancel",PARAMETROS_IMPORTACION!$A:$A,PARAMETROS_IMPORTACION!$C:$C,0),0)</f>
        <v>0</v>
      </c>
      <c r="K959" s="2">
        <f ca="1">IFERROR(_xludf.XLOOKUP("Gastos_Aduana",PARAMETROS_IMPORTACION!$A:$A,PARAMETROS_IMPORTACION!$C:$C,0),0)</f>
        <v>0</v>
      </c>
      <c r="L959" s="2">
        <f t="shared" si="29"/>
        <v>0</v>
      </c>
    </row>
    <row r="960" spans="5:12" x14ac:dyDescent="0.35">
      <c r="E960" s="2"/>
      <c r="F960" s="2">
        <f>_xlfn.XLOOKUP(D960,TIPOS_CAMBIO!A:A,TIPOS_CAMBIO!B:B,"",0)</f>
        <v>0</v>
      </c>
      <c r="G960" s="3">
        <f t="shared" si="28"/>
        <v>0</v>
      </c>
      <c r="H960" s="3"/>
      <c r="I960" s="3">
        <f ca="1">IFERROR(_xludf.XLOOKUP("Seguro",PARAMETROS_IMPORTACION!$A:$A,PARAMETROS_IMPORTACION!$C:$C,0),0)</f>
        <v>0</v>
      </c>
      <c r="J960" s="3">
        <f ca="1">IFERROR(_xludf.XLOOKUP("Arancel",PARAMETROS_IMPORTACION!$A:$A,PARAMETROS_IMPORTACION!$C:$C,0),0)</f>
        <v>0</v>
      </c>
      <c r="K960" s="2">
        <f ca="1">IFERROR(_xludf.XLOOKUP("Gastos_Aduana",PARAMETROS_IMPORTACION!$A:$A,PARAMETROS_IMPORTACION!$C:$C,0),0)</f>
        <v>0</v>
      </c>
      <c r="L960" s="2">
        <f t="shared" si="29"/>
        <v>0</v>
      </c>
    </row>
    <row r="961" spans="5:12" x14ac:dyDescent="0.35">
      <c r="E961" s="2"/>
      <c r="F961" s="2">
        <f>_xlfn.XLOOKUP(D961,TIPOS_CAMBIO!A:A,TIPOS_CAMBIO!B:B,"",0)</f>
        <v>0</v>
      </c>
      <c r="G961" s="3">
        <f t="shared" si="28"/>
        <v>0</v>
      </c>
      <c r="H961" s="3"/>
      <c r="I961" s="3">
        <f ca="1">IFERROR(_xludf.XLOOKUP("Seguro",PARAMETROS_IMPORTACION!$A:$A,PARAMETROS_IMPORTACION!$C:$C,0),0)</f>
        <v>0</v>
      </c>
      <c r="J961" s="3">
        <f ca="1">IFERROR(_xludf.XLOOKUP("Arancel",PARAMETROS_IMPORTACION!$A:$A,PARAMETROS_IMPORTACION!$C:$C,0),0)</f>
        <v>0</v>
      </c>
      <c r="K961" s="2">
        <f ca="1">IFERROR(_xludf.XLOOKUP("Gastos_Aduana",PARAMETROS_IMPORTACION!$A:$A,PARAMETROS_IMPORTACION!$C:$C,0),0)</f>
        <v>0</v>
      </c>
      <c r="L961" s="2">
        <f t="shared" si="29"/>
        <v>0</v>
      </c>
    </row>
    <row r="962" spans="5:12" x14ac:dyDescent="0.35">
      <c r="E962" s="2"/>
      <c r="F962" s="2">
        <f>_xlfn.XLOOKUP(D962,TIPOS_CAMBIO!A:A,TIPOS_CAMBIO!B:B,"",0)</f>
        <v>0</v>
      </c>
      <c r="G962" s="3">
        <f t="shared" ref="G962:G1025" si="30">$E962*$F962</f>
        <v>0</v>
      </c>
      <c r="H962" s="3"/>
      <c r="I962" s="3">
        <f ca="1">IFERROR(_xludf.XLOOKUP("Seguro",PARAMETROS_IMPORTACION!$A:$A,PARAMETROS_IMPORTACION!$C:$C,0),0)</f>
        <v>0</v>
      </c>
      <c r="J962" s="3">
        <f ca="1">IFERROR(_xludf.XLOOKUP("Arancel",PARAMETROS_IMPORTACION!$A:$A,PARAMETROS_IMPORTACION!$C:$C,0),0)</f>
        <v>0</v>
      </c>
      <c r="K962" s="2">
        <f ca="1">IFERROR(_xludf.XLOOKUP("Gastos_Aduana",PARAMETROS_IMPORTACION!$A:$A,PARAMETROS_IMPORTACION!$C:$C,0),0)</f>
        <v>0</v>
      </c>
      <c r="L962" s="2">
        <f t="shared" si="29"/>
        <v>0</v>
      </c>
    </row>
    <row r="963" spans="5:12" x14ac:dyDescent="0.35">
      <c r="E963" s="2"/>
      <c r="F963" s="2">
        <f>_xlfn.XLOOKUP(D963,TIPOS_CAMBIO!A:A,TIPOS_CAMBIO!B:B,"",0)</f>
        <v>0</v>
      </c>
      <c r="G963" s="3">
        <f t="shared" si="30"/>
        <v>0</v>
      </c>
      <c r="H963" s="3"/>
      <c r="I963" s="3">
        <f ca="1">IFERROR(_xludf.XLOOKUP("Seguro",PARAMETROS_IMPORTACION!$A:$A,PARAMETROS_IMPORTACION!$C:$C,0),0)</f>
        <v>0</v>
      </c>
      <c r="J963" s="3">
        <f ca="1">IFERROR(_xludf.XLOOKUP("Arancel",PARAMETROS_IMPORTACION!$A:$A,PARAMETROS_IMPORTACION!$C:$C,0),0)</f>
        <v>0</v>
      </c>
      <c r="K963" s="2">
        <f ca="1">IFERROR(_xludf.XLOOKUP("Gastos_Aduana",PARAMETROS_IMPORTACION!$A:$A,PARAMETROS_IMPORTACION!$C:$C,0),0)</f>
        <v>0</v>
      </c>
      <c r="L963" s="2">
        <f t="shared" ref="L963:L1026" si="31">IF($C963="Importado",$G963*(1+$H963+$I963+$J963)+$K963,$G963)</f>
        <v>0</v>
      </c>
    </row>
    <row r="964" spans="5:12" x14ac:dyDescent="0.35">
      <c r="E964" s="2"/>
      <c r="F964" s="2">
        <f>_xlfn.XLOOKUP(D964,TIPOS_CAMBIO!A:A,TIPOS_CAMBIO!B:B,"",0)</f>
        <v>0</v>
      </c>
      <c r="G964" s="3">
        <f t="shared" si="30"/>
        <v>0</v>
      </c>
      <c r="H964" s="3"/>
      <c r="I964" s="3">
        <f ca="1">IFERROR(_xludf.XLOOKUP("Seguro",PARAMETROS_IMPORTACION!$A:$A,PARAMETROS_IMPORTACION!$C:$C,0),0)</f>
        <v>0</v>
      </c>
      <c r="J964" s="3">
        <f ca="1">IFERROR(_xludf.XLOOKUP("Arancel",PARAMETROS_IMPORTACION!$A:$A,PARAMETROS_IMPORTACION!$C:$C,0),0)</f>
        <v>0</v>
      </c>
      <c r="K964" s="2">
        <f ca="1">IFERROR(_xludf.XLOOKUP("Gastos_Aduana",PARAMETROS_IMPORTACION!$A:$A,PARAMETROS_IMPORTACION!$C:$C,0),0)</f>
        <v>0</v>
      </c>
      <c r="L964" s="2">
        <f t="shared" si="31"/>
        <v>0</v>
      </c>
    </row>
    <row r="965" spans="5:12" x14ac:dyDescent="0.35">
      <c r="E965" s="2"/>
      <c r="F965" s="2">
        <f>_xlfn.XLOOKUP(D965,TIPOS_CAMBIO!A:A,TIPOS_CAMBIO!B:B,"",0)</f>
        <v>0</v>
      </c>
      <c r="G965" s="3">
        <f t="shared" si="30"/>
        <v>0</v>
      </c>
      <c r="H965" s="3"/>
      <c r="I965" s="3">
        <f ca="1">IFERROR(_xludf.XLOOKUP("Seguro",PARAMETROS_IMPORTACION!$A:$A,PARAMETROS_IMPORTACION!$C:$C,0),0)</f>
        <v>0</v>
      </c>
      <c r="J965" s="3">
        <f ca="1">IFERROR(_xludf.XLOOKUP("Arancel",PARAMETROS_IMPORTACION!$A:$A,PARAMETROS_IMPORTACION!$C:$C,0),0)</f>
        <v>0</v>
      </c>
      <c r="K965" s="2">
        <f ca="1">IFERROR(_xludf.XLOOKUP("Gastos_Aduana",PARAMETROS_IMPORTACION!$A:$A,PARAMETROS_IMPORTACION!$C:$C,0),0)</f>
        <v>0</v>
      </c>
      <c r="L965" s="2">
        <f t="shared" si="31"/>
        <v>0</v>
      </c>
    </row>
    <row r="966" spans="5:12" x14ac:dyDescent="0.35">
      <c r="E966" s="2"/>
      <c r="F966" s="2">
        <f>_xlfn.XLOOKUP(D966,TIPOS_CAMBIO!A:A,TIPOS_CAMBIO!B:B,"",0)</f>
        <v>0</v>
      </c>
      <c r="G966" s="3">
        <f t="shared" si="30"/>
        <v>0</v>
      </c>
      <c r="H966" s="3"/>
      <c r="I966" s="3">
        <f ca="1">IFERROR(_xludf.XLOOKUP("Seguro",PARAMETROS_IMPORTACION!$A:$A,PARAMETROS_IMPORTACION!$C:$C,0),0)</f>
        <v>0</v>
      </c>
      <c r="J966" s="3">
        <f ca="1">IFERROR(_xludf.XLOOKUP("Arancel",PARAMETROS_IMPORTACION!$A:$A,PARAMETROS_IMPORTACION!$C:$C,0),0)</f>
        <v>0</v>
      </c>
      <c r="K966" s="2">
        <f ca="1">IFERROR(_xludf.XLOOKUP("Gastos_Aduana",PARAMETROS_IMPORTACION!$A:$A,PARAMETROS_IMPORTACION!$C:$C,0),0)</f>
        <v>0</v>
      </c>
      <c r="L966" s="2">
        <f t="shared" si="31"/>
        <v>0</v>
      </c>
    </row>
    <row r="967" spans="5:12" x14ac:dyDescent="0.35">
      <c r="E967" s="2"/>
      <c r="F967" s="2">
        <f>_xlfn.XLOOKUP(D967,TIPOS_CAMBIO!A:A,TIPOS_CAMBIO!B:B,"",0)</f>
        <v>0</v>
      </c>
      <c r="G967" s="3">
        <f t="shared" si="30"/>
        <v>0</v>
      </c>
      <c r="H967" s="3"/>
      <c r="I967" s="3">
        <f ca="1">IFERROR(_xludf.XLOOKUP("Seguro",PARAMETROS_IMPORTACION!$A:$A,PARAMETROS_IMPORTACION!$C:$C,0),0)</f>
        <v>0</v>
      </c>
      <c r="J967" s="3">
        <f ca="1">IFERROR(_xludf.XLOOKUP("Arancel",PARAMETROS_IMPORTACION!$A:$A,PARAMETROS_IMPORTACION!$C:$C,0),0)</f>
        <v>0</v>
      </c>
      <c r="K967" s="2">
        <f ca="1">IFERROR(_xludf.XLOOKUP("Gastos_Aduana",PARAMETROS_IMPORTACION!$A:$A,PARAMETROS_IMPORTACION!$C:$C,0),0)</f>
        <v>0</v>
      </c>
      <c r="L967" s="2">
        <f t="shared" si="31"/>
        <v>0</v>
      </c>
    </row>
    <row r="968" spans="5:12" x14ac:dyDescent="0.35">
      <c r="E968" s="2"/>
      <c r="F968" s="2">
        <f>_xlfn.XLOOKUP(D968,TIPOS_CAMBIO!A:A,TIPOS_CAMBIO!B:B,"",0)</f>
        <v>0</v>
      </c>
      <c r="G968" s="3">
        <f t="shared" si="30"/>
        <v>0</v>
      </c>
      <c r="H968" s="3"/>
      <c r="I968" s="3">
        <f ca="1">IFERROR(_xludf.XLOOKUP("Seguro",PARAMETROS_IMPORTACION!$A:$A,PARAMETROS_IMPORTACION!$C:$C,0),0)</f>
        <v>0</v>
      </c>
      <c r="J968" s="3">
        <f ca="1">IFERROR(_xludf.XLOOKUP("Arancel",PARAMETROS_IMPORTACION!$A:$A,PARAMETROS_IMPORTACION!$C:$C,0),0)</f>
        <v>0</v>
      </c>
      <c r="K968" s="2">
        <f ca="1">IFERROR(_xludf.XLOOKUP("Gastos_Aduana",PARAMETROS_IMPORTACION!$A:$A,PARAMETROS_IMPORTACION!$C:$C,0),0)</f>
        <v>0</v>
      </c>
      <c r="L968" s="2">
        <f t="shared" si="31"/>
        <v>0</v>
      </c>
    </row>
    <row r="969" spans="5:12" x14ac:dyDescent="0.35">
      <c r="E969" s="2"/>
      <c r="F969" s="2">
        <f>_xlfn.XLOOKUP(D969,TIPOS_CAMBIO!A:A,TIPOS_CAMBIO!B:B,"",0)</f>
        <v>0</v>
      </c>
      <c r="G969" s="3">
        <f t="shared" si="30"/>
        <v>0</v>
      </c>
      <c r="H969" s="3"/>
      <c r="I969" s="3">
        <f ca="1">IFERROR(_xludf.XLOOKUP("Seguro",PARAMETROS_IMPORTACION!$A:$A,PARAMETROS_IMPORTACION!$C:$C,0),0)</f>
        <v>0</v>
      </c>
      <c r="J969" s="3">
        <f ca="1">IFERROR(_xludf.XLOOKUP("Arancel",PARAMETROS_IMPORTACION!$A:$A,PARAMETROS_IMPORTACION!$C:$C,0),0)</f>
        <v>0</v>
      </c>
      <c r="K969" s="2">
        <f ca="1">IFERROR(_xludf.XLOOKUP("Gastos_Aduana",PARAMETROS_IMPORTACION!$A:$A,PARAMETROS_IMPORTACION!$C:$C,0),0)</f>
        <v>0</v>
      </c>
      <c r="L969" s="2">
        <f t="shared" si="31"/>
        <v>0</v>
      </c>
    </row>
    <row r="970" spans="5:12" x14ac:dyDescent="0.35">
      <c r="E970" s="2"/>
      <c r="F970" s="2">
        <f>_xlfn.XLOOKUP(D970,TIPOS_CAMBIO!A:A,TIPOS_CAMBIO!B:B,"",0)</f>
        <v>0</v>
      </c>
      <c r="G970" s="3">
        <f t="shared" si="30"/>
        <v>0</v>
      </c>
      <c r="H970" s="3"/>
      <c r="I970" s="3">
        <f ca="1">IFERROR(_xludf.XLOOKUP("Seguro",PARAMETROS_IMPORTACION!$A:$A,PARAMETROS_IMPORTACION!$C:$C,0),0)</f>
        <v>0</v>
      </c>
      <c r="J970" s="3">
        <f ca="1">IFERROR(_xludf.XLOOKUP("Arancel",PARAMETROS_IMPORTACION!$A:$A,PARAMETROS_IMPORTACION!$C:$C,0),0)</f>
        <v>0</v>
      </c>
      <c r="K970" s="2">
        <f ca="1">IFERROR(_xludf.XLOOKUP("Gastos_Aduana",PARAMETROS_IMPORTACION!$A:$A,PARAMETROS_IMPORTACION!$C:$C,0),0)</f>
        <v>0</v>
      </c>
      <c r="L970" s="2">
        <f t="shared" si="31"/>
        <v>0</v>
      </c>
    </row>
    <row r="971" spans="5:12" x14ac:dyDescent="0.35">
      <c r="E971" s="2"/>
      <c r="F971" s="2">
        <f>_xlfn.XLOOKUP(D971,TIPOS_CAMBIO!A:A,TIPOS_CAMBIO!B:B,"",0)</f>
        <v>0</v>
      </c>
      <c r="G971" s="3">
        <f t="shared" si="30"/>
        <v>0</v>
      </c>
      <c r="H971" s="3"/>
      <c r="I971" s="3">
        <f ca="1">IFERROR(_xludf.XLOOKUP("Seguro",PARAMETROS_IMPORTACION!$A:$A,PARAMETROS_IMPORTACION!$C:$C,0),0)</f>
        <v>0</v>
      </c>
      <c r="J971" s="3">
        <f ca="1">IFERROR(_xludf.XLOOKUP("Arancel",PARAMETROS_IMPORTACION!$A:$A,PARAMETROS_IMPORTACION!$C:$C,0),0)</f>
        <v>0</v>
      </c>
      <c r="K971" s="2">
        <f ca="1">IFERROR(_xludf.XLOOKUP("Gastos_Aduana",PARAMETROS_IMPORTACION!$A:$A,PARAMETROS_IMPORTACION!$C:$C,0),0)</f>
        <v>0</v>
      </c>
      <c r="L971" s="2">
        <f t="shared" si="31"/>
        <v>0</v>
      </c>
    </row>
    <row r="972" spans="5:12" x14ac:dyDescent="0.35">
      <c r="E972" s="2"/>
      <c r="F972" s="2">
        <f>_xlfn.XLOOKUP(D972,TIPOS_CAMBIO!A:A,TIPOS_CAMBIO!B:B,"",0)</f>
        <v>0</v>
      </c>
      <c r="G972" s="3">
        <f t="shared" si="30"/>
        <v>0</v>
      </c>
      <c r="H972" s="3"/>
      <c r="I972" s="3">
        <f ca="1">IFERROR(_xludf.XLOOKUP("Seguro",PARAMETROS_IMPORTACION!$A:$A,PARAMETROS_IMPORTACION!$C:$C,0),0)</f>
        <v>0</v>
      </c>
      <c r="J972" s="3">
        <f ca="1">IFERROR(_xludf.XLOOKUP("Arancel",PARAMETROS_IMPORTACION!$A:$A,PARAMETROS_IMPORTACION!$C:$C,0),0)</f>
        <v>0</v>
      </c>
      <c r="K972" s="2">
        <f ca="1">IFERROR(_xludf.XLOOKUP("Gastos_Aduana",PARAMETROS_IMPORTACION!$A:$A,PARAMETROS_IMPORTACION!$C:$C,0),0)</f>
        <v>0</v>
      </c>
      <c r="L972" s="2">
        <f t="shared" si="31"/>
        <v>0</v>
      </c>
    </row>
    <row r="973" spans="5:12" x14ac:dyDescent="0.35">
      <c r="E973" s="2"/>
      <c r="F973" s="2">
        <f>_xlfn.XLOOKUP(D973,TIPOS_CAMBIO!A:A,TIPOS_CAMBIO!B:B,"",0)</f>
        <v>0</v>
      </c>
      <c r="G973" s="3">
        <f t="shared" si="30"/>
        <v>0</v>
      </c>
      <c r="H973" s="3"/>
      <c r="I973" s="3">
        <f ca="1">IFERROR(_xludf.XLOOKUP("Seguro",PARAMETROS_IMPORTACION!$A:$A,PARAMETROS_IMPORTACION!$C:$C,0),0)</f>
        <v>0</v>
      </c>
      <c r="J973" s="3">
        <f ca="1">IFERROR(_xludf.XLOOKUP("Arancel",PARAMETROS_IMPORTACION!$A:$A,PARAMETROS_IMPORTACION!$C:$C,0),0)</f>
        <v>0</v>
      </c>
      <c r="K973" s="2">
        <f ca="1">IFERROR(_xludf.XLOOKUP("Gastos_Aduana",PARAMETROS_IMPORTACION!$A:$A,PARAMETROS_IMPORTACION!$C:$C,0),0)</f>
        <v>0</v>
      </c>
      <c r="L973" s="2">
        <f t="shared" si="31"/>
        <v>0</v>
      </c>
    </row>
    <row r="974" spans="5:12" x14ac:dyDescent="0.35">
      <c r="E974" s="2"/>
      <c r="F974" s="2">
        <f>_xlfn.XLOOKUP(D974,TIPOS_CAMBIO!A:A,TIPOS_CAMBIO!B:B,"",0)</f>
        <v>0</v>
      </c>
      <c r="G974" s="3">
        <f t="shared" si="30"/>
        <v>0</v>
      </c>
      <c r="H974" s="3"/>
      <c r="I974" s="3">
        <f ca="1">IFERROR(_xludf.XLOOKUP("Seguro",PARAMETROS_IMPORTACION!$A:$A,PARAMETROS_IMPORTACION!$C:$C,0),0)</f>
        <v>0</v>
      </c>
      <c r="J974" s="3">
        <f ca="1">IFERROR(_xludf.XLOOKUP("Arancel",PARAMETROS_IMPORTACION!$A:$A,PARAMETROS_IMPORTACION!$C:$C,0),0)</f>
        <v>0</v>
      </c>
      <c r="K974" s="2">
        <f ca="1">IFERROR(_xludf.XLOOKUP("Gastos_Aduana",PARAMETROS_IMPORTACION!$A:$A,PARAMETROS_IMPORTACION!$C:$C,0),0)</f>
        <v>0</v>
      </c>
      <c r="L974" s="2">
        <f t="shared" si="31"/>
        <v>0</v>
      </c>
    </row>
    <row r="975" spans="5:12" x14ac:dyDescent="0.35">
      <c r="E975" s="2"/>
      <c r="F975" s="2">
        <f>_xlfn.XLOOKUP(D975,TIPOS_CAMBIO!A:A,TIPOS_CAMBIO!B:B,"",0)</f>
        <v>0</v>
      </c>
      <c r="G975" s="3">
        <f t="shared" si="30"/>
        <v>0</v>
      </c>
      <c r="H975" s="3"/>
      <c r="I975" s="3">
        <f ca="1">IFERROR(_xludf.XLOOKUP("Seguro",PARAMETROS_IMPORTACION!$A:$A,PARAMETROS_IMPORTACION!$C:$C,0),0)</f>
        <v>0</v>
      </c>
      <c r="J975" s="3">
        <f ca="1">IFERROR(_xludf.XLOOKUP("Arancel",PARAMETROS_IMPORTACION!$A:$A,PARAMETROS_IMPORTACION!$C:$C,0),0)</f>
        <v>0</v>
      </c>
      <c r="K975" s="2">
        <f ca="1">IFERROR(_xludf.XLOOKUP("Gastos_Aduana",PARAMETROS_IMPORTACION!$A:$A,PARAMETROS_IMPORTACION!$C:$C,0),0)</f>
        <v>0</v>
      </c>
      <c r="L975" s="2">
        <f t="shared" si="31"/>
        <v>0</v>
      </c>
    </row>
    <row r="976" spans="5:12" x14ac:dyDescent="0.35">
      <c r="E976" s="2"/>
      <c r="F976" s="2">
        <f>_xlfn.XLOOKUP(D976,TIPOS_CAMBIO!A:A,TIPOS_CAMBIO!B:B,"",0)</f>
        <v>0</v>
      </c>
      <c r="G976" s="3">
        <f t="shared" si="30"/>
        <v>0</v>
      </c>
      <c r="H976" s="3"/>
      <c r="I976" s="3">
        <f ca="1">IFERROR(_xludf.XLOOKUP("Seguro",PARAMETROS_IMPORTACION!$A:$A,PARAMETROS_IMPORTACION!$C:$C,0),0)</f>
        <v>0</v>
      </c>
      <c r="J976" s="3">
        <f ca="1">IFERROR(_xludf.XLOOKUP("Arancel",PARAMETROS_IMPORTACION!$A:$A,PARAMETROS_IMPORTACION!$C:$C,0),0)</f>
        <v>0</v>
      </c>
      <c r="K976" s="2">
        <f ca="1">IFERROR(_xludf.XLOOKUP("Gastos_Aduana",PARAMETROS_IMPORTACION!$A:$A,PARAMETROS_IMPORTACION!$C:$C,0),0)</f>
        <v>0</v>
      </c>
      <c r="L976" s="2">
        <f t="shared" si="31"/>
        <v>0</v>
      </c>
    </row>
    <row r="977" spans="5:12" x14ac:dyDescent="0.35">
      <c r="E977" s="2"/>
      <c r="F977" s="2">
        <f>_xlfn.XLOOKUP(D977,TIPOS_CAMBIO!A:A,TIPOS_CAMBIO!B:B,"",0)</f>
        <v>0</v>
      </c>
      <c r="G977" s="3">
        <f t="shared" si="30"/>
        <v>0</v>
      </c>
      <c r="H977" s="3"/>
      <c r="I977" s="3">
        <f ca="1">IFERROR(_xludf.XLOOKUP("Seguro",PARAMETROS_IMPORTACION!$A:$A,PARAMETROS_IMPORTACION!$C:$C,0),0)</f>
        <v>0</v>
      </c>
      <c r="J977" s="3">
        <f ca="1">IFERROR(_xludf.XLOOKUP("Arancel",PARAMETROS_IMPORTACION!$A:$A,PARAMETROS_IMPORTACION!$C:$C,0),0)</f>
        <v>0</v>
      </c>
      <c r="K977" s="2">
        <f ca="1">IFERROR(_xludf.XLOOKUP("Gastos_Aduana",PARAMETROS_IMPORTACION!$A:$A,PARAMETROS_IMPORTACION!$C:$C,0),0)</f>
        <v>0</v>
      </c>
      <c r="L977" s="2">
        <f t="shared" si="31"/>
        <v>0</v>
      </c>
    </row>
    <row r="978" spans="5:12" x14ac:dyDescent="0.35">
      <c r="E978" s="2"/>
      <c r="F978" s="2">
        <f>_xlfn.XLOOKUP(D978,TIPOS_CAMBIO!A:A,TIPOS_CAMBIO!B:B,"",0)</f>
        <v>0</v>
      </c>
      <c r="G978" s="3">
        <f t="shared" si="30"/>
        <v>0</v>
      </c>
      <c r="H978" s="3"/>
      <c r="I978" s="3">
        <f ca="1">IFERROR(_xludf.XLOOKUP("Seguro",PARAMETROS_IMPORTACION!$A:$A,PARAMETROS_IMPORTACION!$C:$C,0),0)</f>
        <v>0</v>
      </c>
      <c r="J978" s="3">
        <f ca="1">IFERROR(_xludf.XLOOKUP("Arancel",PARAMETROS_IMPORTACION!$A:$A,PARAMETROS_IMPORTACION!$C:$C,0),0)</f>
        <v>0</v>
      </c>
      <c r="K978" s="2">
        <f ca="1">IFERROR(_xludf.XLOOKUP("Gastos_Aduana",PARAMETROS_IMPORTACION!$A:$A,PARAMETROS_IMPORTACION!$C:$C,0),0)</f>
        <v>0</v>
      </c>
      <c r="L978" s="2">
        <f t="shared" si="31"/>
        <v>0</v>
      </c>
    </row>
    <row r="979" spans="5:12" x14ac:dyDescent="0.35">
      <c r="E979" s="2"/>
      <c r="F979" s="2">
        <f>_xlfn.XLOOKUP(D979,TIPOS_CAMBIO!A:A,TIPOS_CAMBIO!B:B,"",0)</f>
        <v>0</v>
      </c>
      <c r="G979" s="3">
        <f t="shared" si="30"/>
        <v>0</v>
      </c>
      <c r="H979" s="3"/>
      <c r="I979" s="3">
        <f ca="1">IFERROR(_xludf.XLOOKUP("Seguro",PARAMETROS_IMPORTACION!$A:$A,PARAMETROS_IMPORTACION!$C:$C,0),0)</f>
        <v>0</v>
      </c>
      <c r="J979" s="3">
        <f ca="1">IFERROR(_xludf.XLOOKUP("Arancel",PARAMETROS_IMPORTACION!$A:$A,PARAMETROS_IMPORTACION!$C:$C,0),0)</f>
        <v>0</v>
      </c>
      <c r="K979" s="2">
        <f ca="1">IFERROR(_xludf.XLOOKUP("Gastos_Aduana",PARAMETROS_IMPORTACION!$A:$A,PARAMETROS_IMPORTACION!$C:$C,0),0)</f>
        <v>0</v>
      </c>
      <c r="L979" s="2">
        <f t="shared" si="31"/>
        <v>0</v>
      </c>
    </row>
    <row r="980" spans="5:12" x14ac:dyDescent="0.35">
      <c r="E980" s="2"/>
      <c r="F980" s="2">
        <f>_xlfn.XLOOKUP(D980,TIPOS_CAMBIO!A:A,TIPOS_CAMBIO!B:B,"",0)</f>
        <v>0</v>
      </c>
      <c r="G980" s="3">
        <f t="shared" si="30"/>
        <v>0</v>
      </c>
      <c r="H980" s="3"/>
      <c r="I980" s="3">
        <f ca="1">IFERROR(_xludf.XLOOKUP("Seguro",PARAMETROS_IMPORTACION!$A:$A,PARAMETROS_IMPORTACION!$C:$C,0),0)</f>
        <v>0</v>
      </c>
      <c r="J980" s="3">
        <f ca="1">IFERROR(_xludf.XLOOKUP("Arancel",PARAMETROS_IMPORTACION!$A:$A,PARAMETROS_IMPORTACION!$C:$C,0),0)</f>
        <v>0</v>
      </c>
      <c r="K980" s="2">
        <f ca="1">IFERROR(_xludf.XLOOKUP("Gastos_Aduana",PARAMETROS_IMPORTACION!$A:$A,PARAMETROS_IMPORTACION!$C:$C,0),0)</f>
        <v>0</v>
      </c>
      <c r="L980" s="2">
        <f t="shared" si="31"/>
        <v>0</v>
      </c>
    </row>
    <row r="981" spans="5:12" x14ac:dyDescent="0.35">
      <c r="E981" s="2"/>
      <c r="F981" s="2">
        <f>_xlfn.XLOOKUP(D981,TIPOS_CAMBIO!A:A,TIPOS_CAMBIO!B:B,"",0)</f>
        <v>0</v>
      </c>
      <c r="G981" s="3">
        <f t="shared" si="30"/>
        <v>0</v>
      </c>
      <c r="H981" s="3"/>
      <c r="I981" s="3">
        <f ca="1">IFERROR(_xludf.XLOOKUP("Seguro",PARAMETROS_IMPORTACION!$A:$A,PARAMETROS_IMPORTACION!$C:$C,0),0)</f>
        <v>0</v>
      </c>
      <c r="J981" s="3">
        <f ca="1">IFERROR(_xludf.XLOOKUP("Arancel",PARAMETROS_IMPORTACION!$A:$A,PARAMETROS_IMPORTACION!$C:$C,0),0)</f>
        <v>0</v>
      </c>
      <c r="K981" s="2">
        <f ca="1">IFERROR(_xludf.XLOOKUP("Gastos_Aduana",PARAMETROS_IMPORTACION!$A:$A,PARAMETROS_IMPORTACION!$C:$C,0),0)</f>
        <v>0</v>
      </c>
      <c r="L981" s="2">
        <f t="shared" si="31"/>
        <v>0</v>
      </c>
    </row>
    <row r="982" spans="5:12" x14ac:dyDescent="0.35">
      <c r="E982" s="2"/>
      <c r="F982" s="2">
        <f>_xlfn.XLOOKUP(D982,TIPOS_CAMBIO!A:A,TIPOS_CAMBIO!B:B,"",0)</f>
        <v>0</v>
      </c>
      <c r="G982" s="3">
        <f t="shared" si="30"/>
        <v>0</v>
      </c>
      <c r="H982" s="3"/>
      <c r="I982" s="3">
        <f ca="1">IFERROR(_xludf.XLOOKUP("Seguro",PARAMETROS_IMPORTACION!$A:$A,PARAMETROS_IMPORTACION!$C:$C,0),0)</f>
        <v>0</v>
      </c>
      <c r="J982" s="3">
        <f ca="1">IFERROR(_xludf.XLOOKUP("Arancel",PARAMETROS_IMPORTACION!$A:$A,PARAMETROS_IMPORTACION!$C:$C,0),0)</f>
        <v>0</v>
      </c>
      <c r="K982" s="2">
        <f ca="1">IFERROR(_xludf.XLOOKUP("Gastos_Aduana",PARAMETROS_IMPORTACION!$A:$A,PARAMETROS_IMPORTACION!$C:$C,0),0)</f>
        <v>0</v>
      </c>
      <c r="L982" s="2">
        <f t="shared" si="31"/>
        <v>0</v>
      </c>
    </row>
    <row r="983" spans="5:12" x14ac:dyDescent="0.35">
      <c r="E983" s="2"/>
      <c r="F983" s="2">
        <f>_xlfn.XLOOKUP(D983,TIPOS_CAMBIO!A:A,TIPOS_CAMBIO!B:B,"",0)</f>
        <v>0</v>
      </c>
      <c r="G983" s="3">
        <f t="shared" si="30"/>
        <v>0</v>
      </c>
      <c r="H983" s="3"/>
      <c r="I983" s="3">
        <f ca="1">IFERROR(_xludf.XLOOKUP("Seguro",PARAMETROS_IMPORTACION!$A:$A,PARAMETROS_IMPORTACION!$C:$C,0),0)</f>
        <v>0</v>
      </c>
      <c r="J983" s="3">
        <f ca="1">IFERROR(_xludf.XLOOKUP("Arancel",PARAMETROS_IMPORTACION!$A:$A,PARAMETROS_IMPORTACION!$C:$C,0),0)</f>
        <v>0</v>
      </c>
      <c r="K983" s="2">
        <f ca="1">IFERROR(_xludf.XLOOKUP("Gastos_Aduana",PARAMETROS_IMPORTACION!$A:$A,PARAMETROS_IMPORTACION!$C:$C,0),0)</f>
        <v>0</v>
      </c>
      <c r="L983" s="2">
        <f t="shared" si="31"/>
        <v>0</v>
      </c>
    </row>
    <row r="984" spans="5:12" x14ac:dyDescent="0.35">
      <c r="E984" s="2"/>
      <c r="F984" s="2">
        <f>_xlfn.XLOOKUP(D984,TIPOS_CAMBIO!A:A,TIPOS_CAMBIO!B:B,"",0)</f>
        <v>0</v>
      </c>
      <c r="G984" s="3">
        <f t="shared" si="30"/>
        <v>0</v>
      </c>
      <c r="H984" s="3"/>
      <c r="I984" s="3">
        <f ca="1">IFERROR(_xludf.XLOOKUP("Seguro",PARAMETROS_IMPORTACION!$A:$A,PARAMETROS_IMPORTACION!$C:$C,0),0)</f>
        <v>0</v>
      </c>
      <c r="J984" s="3">
        <f ca="1">IFERROR(_xludf.XLOOKUP("Arancel",PARAMETROS_IMPORTACION!$A:$A,PARAMETROS_IMPORTACION!$C:$C,0),0)</f>
        <v>0</v>
      </c>
      <c r="K984" s="2">
        <f ca="1">IFERROR(_xludf.XLOOKUP("Gastos_Aduana",PARAMETROS_IMPORTACION!$A:$A,PARAMETROS_IMPORTACION!$C:$C,0),0)</f>
        <v>0</v>
      </c>
      <c r="L984" s="2">
        <f t="shared" si="31"/>
        <v>0</v>
      </c>
    </row>
    <row r="985" spans="5:12" x14ac:dyDescent="0.35">
      <c r="E985" s="2"/>
      <c r="F985" s="2">
        <f>_xlfn.XLOOKUP(D985,TIPOS_CAMBIO!A:A,TIPOS_CAMBIO!B:B,"",0)</f>
        <v>0</v>
      </c>
      <c r="G985" s="3">
        <f t="shared" si="30"/>
        <v>0</v>
      </c>
      <c r="H985" s="3"/>
      <c r="I985" s="3">
        <f ca="1">IFERROR(_xludf.XLOOKUP("Seguro",PARAMETROS_IMPORTACION!$A:$A,PARAMETROS_IMPORTACION!$C:$C,0),0)</f>
        <v>0</v>
      </c>
      <c r="J985" s="3">
        <f ca="1">IFERROR(_xludf.XLOOKUP("Arancel",PARAMETROS_IMPORTACION!$A:$A,PARAMETROS_IMPORTACION!$C:$C,0),0)</f>
        <v>0</v>
      </c>
      <c r="K985" s="2">
        <f ca="1">IFERROR(_xludf.XLOOKUP("Gastos_Aduana",PARAMETROS_IMPORTACION!$A:$A,PARAMETROS_IMPORTACION!$C:$C,0),0)</f>
        <v>0</v>
      </c>
      <c r="L985" s="2">
        <f t="shared" si="31"/>
        <v>0</v>
      </c>
    </row>
    <row r="986" spans="5:12" x14ac:dyDescent="0.35">
      <c r="E986" s="2"/>
      <c r="F986" s="2">
        <f>_xlfn.XLOOKUP(D986,TIPOS_CAMBIO!A:A,TIPOS_CAMBIO!B:B,"",0)</f>
        <v>0</v>
      </c>
      <c r="G986" s="3">
        <f t="shared" si="30"/>
        <v>0</v>
      </c>
      <c r="H986" s="3"/>
      <c r="I986" s="3">
        <f ca="1">IFERROR(_xludf.XLOOKUP("Seguro",PARAMETROS_IMPORTACION!$A:$A,PARAMETROS_IMPORTACION!$C:$C,0),0)</f>
        <v>0</v>
      </c>
      <c r="J986" s="3">
        <f ca="1">IFERROR(_xludf.XLOOKUP("Arancel",PARAMETROS_IMPORTACION!$A:$A,PARAMETROS_IMPORTACION!$C:$C,0),0)</f>
        <v>0</v>
      </c>
      <c r="K986" s="2">
        <f ca="1">IFERROR(_xludf.XLOOKUP("Gastos_Aduana",PARAMETROS_IMPORTACION!$A:$A,PARAMETROS_IMPORTACION!$C:$C,0),0)</f>
        <v>0</v>
      </c>
      <c r="L986" s="2">
        <f t="shared" si="31"/>
        <v>0</v>
      </c>
    </row>
    <row r="987" spans="5:12" x14ac:dyDescent="0.35">
      <c r="E987" s="2"/>
      <c r="F987" s="2">
        <f>_xlfn.XLOOKUP(D987,TIPOS_CAMBIO!A:A,TIPOS_CAMBIO!B:B,"",0)</f>
        <v>0</v>
      </c>
      <c r="G987" s="3">
        <f t="shared" si="30"/>
        <v>0</v>
      </c>
      <c r="H987" s="3"/>
      <c r="I987" s="3">
        <f ca="1">IFERROR(_xludf.XLOOKUP("Seguro",PARAMETROS_IMPORTACION!$A:$A,PARAMETROS_IMPORTACION!$C:$C,0),0)</f>
        <v>0</v>
      </c>
      <c r="J987" s="3">
        <f ca="1">IFERROR(_xludf.XLOOKUP("Arancel",PARAMETROS_IMPORTACION!$A:$A,PARAMETROS_IMPORTACION!$C:$C,0),0)</f>
        <v>0</v>
      </c>
      <c r="K987" s="2">
        <f ca="1">IFERROR(_xludf.XLOOKUP("Gastos_Aduana",PARAMETROS_IMPORTACION!$A:$A,PARAMETROS_IMPORTACION!$C:$C,0),0)</f>
        <v>0</v>
      </c>
      <c r="L987" s="2">
        <f t="shared" si="31"/>
        <v>0</v>
      </c>
    </row>
    <row r="988" spans="5:12" x14ac:dyDescent="0.35">
      <c r="E988" s="2"/>
      <c r="F988" s="2">
        <f>_xlfn.XLOOKUP(D988,TIPOS_CAMBIO!A:A,TIPOS_CAMBIO!B:B,"",0)</f>
        <v>0</v>
      </c>
      <c r="G988" s="3">
        <f t="shared" si="30"/>
        <v>0</v>
      </c>
      <c r="H988" s="3"/>
      <c r="I988" s="3">
        <f ca="1">IFERROR(_xludf.XLOOKUP("Seguro",PARAMETROS_IMPORTACION!$A:$A,PARAMETROS_IMPORTACION!$C:$C,0),0)</f>
        <v>0</v>
      </c>
      <c r="J988" s="3">
        <f ca="1">IFERROR(_xludf.XLOOKUP("Arancel",PARAMETROS_IMPORTACION!$A:$A,PARAMETROS_IMPORTACION!$C:$C,0),0)</f>
        <v>0</v>
      </c>
      <c r="K988" s="2">
        <f ca="1">IFERROR(_xludf.XLOOKUP("Gastos_Aduana",PARAMETROS_IMPORTACION!$A:$A,PARAMETROS_IMPORTACION!$C:$C,0),0)</f>
        <v>0</v>
      </c>
      <c r="L988" s="2">
        <f t="shared" si="31"/>
        <v>0</v>
      </c>
    </row>
    <row r="989" spans="5:12" x14ac:dyDescent="0.35">
      <c r="E989" s="2"/>
      <c r="F989" s="2">
        <f>_xlfn.XLOOKUP(D989,TIPOS_CAMBIO!A:A,TIPOS_CAMBIO!B:B,"",0)</f>
        <v>0</v>
      </c>
      <c r="G989" s="3">
        <f t="shared" si="30"/>
        <v>0</v>
      </c>
      <c r="H989" s="3"/>
      <c r="I989" s="3">
        <f ca="1">IFERROR(_xludf.XLOOKUP("Seguro",PARAMETROS_IMPORTACION!$A:$A,PARAMETROS_IMPORTACION!$C:$C,0),0)</f>
        <v>0</v>
      </c>
      <c r="J989" s="3">
        <f ca="1">IFERROR(_xludf.XLOOKUP("Arancel",PARAMETROS_IMPORTACION!$A:$A,PARAMETROS_IMPORTACION!$C:$C,0),0)</f>
        <v>0</v>
      </c>
      <c r="K989" s="2">
        <f ca="1">IFERROR(_xludf.XLOOKUP("Gastos_Aduana",PARAMETROS_IMPORTACION!$A:$A,PARAMETROS_IMPORTACION!$C:$C,0),0)</f>
        <v>0</v>
      </c>
      <c r="L989" s="2">
        <f t="shared" si="31"/>
        <v>0</v>
      </c>
    </row>
    <row r="990" spans="5:12" x14ac:dyDescent="0.35">
      <c r="E990" s="2"/>
      <c r="F990" s="2">
        <f>_xlfn.XLOOKUP(D990,TIPOS_CAMBIO!A:A,TIPOS_CAMBIO!B:B,"",0)</f>
        <v>0</v>
      </c>
      <c r="G990" s="3">
        <f t="shared" si="30"/>
        <v>0</v>
      </c>
      <c r="H990" s="3"/>
      <c r="I990" s="3">
        <f ca="1">IFERROR(_xludf.XLOOKUP("Seguro",PARAMETROS_IMPORTACION!$A:$A,PARAMETROS_IMPORTACION!$C:$C,0),0)</f>
        <v>0</v>
      </c>
      <c r="J990" s="3">
        <f ca="1">IFERROR(_xludf.XLOOKUP("Arancel",PARAMETROS_IMPORTACION!$A:$A,PARAMETROS_IMPORTACION!$C:$C,0),0)</f>
        <v>0</v>
      </c>
      <c r="K990" s="2">
        <f ca="1">IFERROR(_xludf.XLOOKUP("Gastos_Aduana",PARAMETROS_IMPORTACION!$A:$A,PARAMETROS_IMPORTACION!$C:$C,0),0)</f>
        <v>0</v>
      </c>
      <c r="L990" s="2">
        <f t="shared" si="31"/>
        <v>0</v>
      </c>
    </row>
    <row r="991" spans="5:12" x14ac:dyDescent="0.35">
      <c r="E991" s="2"/>
      <c r="F991" s="2">
        <f>_xlfn.XLOOKUP(D991,TIPOS_CAMBIO!A:A,TIPOS_CAMBIO!B:B,"",0)</f>
        <v>0</v>
      </c>
      <c r="G991" s="3">
        <f t="shared" si="30"/>
        <v>0</v>
      </c>
      <c r="H991" s="3"/>
      <c r="I991" s="3">
        <f ca="1">IFERROR(_xludf.XLOOKUP("Seguro",PARAMETROS_IMPORTACION!$A:$A,PARAMETROS_IMPORTACION!$C:$C,0),0)</f>
        <v>0</v>
      </c>
      <c r="J991" s="3">
        <f ca="1">IFERROR(_xludf.XLOOKUP("Arancel",PARAMETROS_IMPORTACION!$A:$A,PARAMETROS_IMPORTACION!$C:$C,0),0)</f>
        <v>0</v>
      </c>
      <c r="K991" s="2">
        <f ca="1">IFERROR(_xludf.XLOOKUP("Gastos_Aduana",PARAMETROS_IMPORTACION!$A:$A,PARAMETROS_IMPORTACION!$C:$C,0),0)</f>
        <v>0</v>
      </c>
      <c r="L991" s="2">
        <f t="shared" si="31"/>
        <v>0</v>
      </c>
    </row>
    <row r="992" spans="5:12" x14ac:dyDescent="0.35">
      <c r="E992" s="2"/>
      <c r="F992" s="2">
        <f>_xlfn.XLOOKUP(D992,TIPOS_CAMBIO!A:A,TIPOS_CAMBIO!B:B,"",0)</f>
        <v>0</v>
      </c>
      <c r="G992" s="3">
        <f t="shared" si="30"/>
        <v>0</v>
      </c>
      <c r="H992" s="3"/>
      <c r="I992" s="3">
        <f ca="1">IFERROR(_xludf.XLOOKUP("Seguro",PARAMETROS_IMPORTACION!$A:$A,PARAMETROS_IMPORTACION!$C:$C,0),0)</f>
        <v>0</v>
      </c>
      <c r="J992" s="3">
        <f ca="1">IFERROR(_xludf.XLOOKUP("Arancel",PARAMETROS_IMPORTACION!$A:$A,PARAMETROS_IMPORTACION!$C:$C,0),0)</f>
        <v>0</v>
      </c>
      <c r="K992" s="2">
        <f ca="1">IFERROR(_xludf.XLOOKUP("Gastos_Aduana",PARAMETROS_IMPORTACION!$A:$A,PARAMETROS_IMPORTACION!$C:$C,0),0)</f>
        <v>0</v>
      </c>
      <c r="L992" s="2">
        <f t="shared" si="31"/>
        <v>0</v>
      </c>
    </row>
    <row r="993" spans="5:12" x14ac:dyDescent="0.35">
      <c r="E993" s="2"/>
      <c r="F993" s="2">
        <f>_xlfn.XLOOKUP(D993,TIPOS_CAMBIO!A:A,TIPOS_CAMBIO!B:B,"",0)</f>
        <v>0</v>
      </c>
      <c r="G993" s="3">
        <f t="shared" si="30"/>
        <v>0</v>
      </c>
      <c r="H993" s="3"/>
      <c r="I993" s="3">
        <f ca="1">IFERROR(_xludf.XLOOKUP("Seguro",PARAMETROS_IMPORTACION!$A:$A,PARAMETROS_IMPORTACION!$C:$C,0),0)</f>
        <v>0</v>
      </c>
      <c r="J993" s="3">
        <f ca="1">IFERROR(_xludf.XLOOKUP("Arancel",PARAMETROS_IMPORTACION!$A:$A,PARAMETROS_IMPORTACION!$C:$C,0),0)</f>
        <v>0</v>
      </c>
      <c r="K993" s="2">
        <f ca="1">IFERROR(_xludf.XLOOKUP("Gastos_Aduana",PARAMETROS_IMPORTACION!$A:$A,PARAMETROS_IMPORTACION!$C:$C,0),0)</f>
        <v>0</v>
      </c>
      <c r="L993" s="2">
        <f t="shared" si="31"/>
        <v>0</v>
      </c>
    </row>
    <row r="994" spans="5:12" x14ac:dyDescent="0.35">
      <c r="E994" s="2"/>
      <c r="F994" s="2">
        <f>_xlfn.XLOOKUP(D994,TIPOS_CAMBIO!A:A,TIPOS_CAMBIO!B:B,"",0)</f>
        <v>0</v>
      </c>
      <c r="G994" s="3">
        <f t="shared" si="30"/>
        <v>0</v>
      </c>
      <c r="H994" s="3"/>
      <c r="I994" s="3">
        <f ca="1">IFERROR(_xludf.XLOOKUP("Seguro",PARAMETROS_IMPORTACION!$A:$A,PARAMETROS_IMPORTACION!$C:$C,0),0)</f>
        <v>0</v>
      </c>
      <c r="J994" s="3">
        <f ca="1">IFERROR(_xludf.XLOOKUP("Arancel",PARAMETROS_IMPORTACION!$A:$A,PARAMETROS_IMPORTACION!$C:$C,0),0)</f>
        <v>0</v>
      </c>
      <c r="K994" s="2">
        <f ca="1">IFERROR(_xludf.XLOOKUP("Gastos_Aduana",PARAMETROS_IMPORTACION!$A:$A,PARAMETROS_IMPORTACION!$C:$C,0),0)</f>
        <v>0</v>
      </c>
      <c r="L994" s="2">
        <f t="shared" si="31"/>
        <v>0</v>
      </c>
    </row>
    <row r="995" spans="5:12" x14ac:dyDescent="0.35">
      <c r="E995" s="2"/>
      <c r="F995" s="2">
        <f>_xlfn.XLOOKUP(D995,TIPOS_CAMBIO!A:A,TIPOS_CAMBIO!B:B,"",0)</f>
        <v>0</v>
      </c>
      <c r="G995" s="3">
        <f t="shared" si="30"/>
        <v>0</v>
      </c>
      <c r="H995" s="3"/>
      <c r="I995" s="3">
        <f ca="1">IFERROR(_xludf.XLOOKUP("Seguro",PARAMETROS_IMPORTACION!$A:$A,PARAMETROS_IMPORTACION!$C:$C,0),0)</f>
        <v>0</v>
      </c>
      <c r="J995" s="3">
        <f ca="1">IFERROR(_xludf.XLOOKUP("Arancel",PARAMETROS_IMPORTACION!$A:$A,PARAMETROS_IMPORTACION!$C:$C,0),0)</f>
        <v>0</v>
      </c>
      <c r="K995" s="2">
        <f ca="1">IFERROR(_xludf.XLOOKUP("Gastos_Aduana",PARAMETROS_IMPORTACION!$A:$A,PARAMETROS_IMPORTACION!$C:$C,0),0)</f>
        <v>0</v>
      </c>
      <c r="L995" s="2">
        <f t="shared" si="31"/>
        <v>0</v>
      </c>
    </row>
    <row r="996" spans="5:12" x14ac:dyDescent="0.35">
      <c r="E996" s="2"/>
      <c r="F996" s="2">
        <f>_xlfn.XLOOKUP(D996,TIPOS_CAMBIO!A:A,TIPOS_CAMBIO!B:B,"",0)</f>
        <v>0</v>
      </c>
      <c r="G996" s="3">
        <f t="shared" si="30"/>
        <v>0</v>
      </c>
      <c r="H996" s="3"/>
      <c r="I996" s="3">
        <f ca="1">IFERROR(_xludf.XLOOKUP("Seguro",PARAMETROS_IMPORTACION!$A:$A,PARAMETROS_IMPORTACION!$C:$C,0),0)</f>
        <v>0</v>
      </c>
      <c r="J996" s="3">
        <f ca="1">IFERROR(_xludf.XLOOKUP("Arancel",PARAMETROS_IMPORTACION!$A:$A,PARAMETROS_IMPORTACION!$C:$C,0),0)</f>
        <v>0</v>
      </c>
      <c r="K996" s="2">
        <f ca="1">IFERROR(_xludf.XLOOKUP("Gastos_Aduana",PARAMETROS_IMPORTACION!$A:$A,PARAMETROS_IMPORTACION!$C:$C,0),0)</f>
        <v>0</v>
      </c>
      <c r="L996" s="2">
        <f t="shared" si="31"/>
        <v>0</v>
      </c>
    </row>
    <row r="997" spans="5:12" x14ac:dyDescent="0.35">
      <c r="E997" s="2"/>
      <c r="F997" s="2">
        <f>_xlfn.XLOOKUP(D997,TIPOS_CAMBIO!A:A,TIPOS_CAMBIO!B:B,"",0)</f>
        <v>0</v>
      </c>
      <c r="G997" s="3">
        <f t="shared" si="30"/>
        <v>0</v>
      </c>
      <c r="H997" s="3"/>
      <c r="I997" s="3">
        <f ca="1">IFERROR(_xludf.XLOOKUP("Seguro",PARAMETROS_IMPORTACION!$A:$A,PARAMETROS_IMPORTACION!$C:$C,0),0)</f>
        <v>0</v>
      </c>
      <c r="J997" s="3">
        <f ca="1">IFERROR(_xludf.XLOOKUP("Arancel",PARAMETROS_IMPORTACION!$A:$A,PARAMETROS_IMPORTACION!$C:$C,0),0)</f>
        <v>0</v>
      </c>
      <c r="K997" s="2">
        <f ca="1">IFERROR(_xludf.XLOOKUP("Gastos_Aduana",PARAMETROS_IMPORTACION!$A:$A,PARAMETROS_IMPORTACION!$C:$C,0),0)</f>
        <v>0</v>
      </c>
      <c r="L997" s="2">
        <f t="shared" si="31"/>
        <v>0</v>
      </c>
    </row>
    <row r="998" spans="5:12" x14ac:dyDescent="0.35">
      <c r="E998" s="2"/>
      <c r="F998" s="2">
        <f>_xlfn.XLOOKUP(D998,TIPOS_CAMBIO!A:A,TIPOS_CAMBIO!B:B,"",0)</f>
        <v>0</v>
      </c>
      <c r="G998" s="3">
        <f t="shared" si="30"/>
        <v>0</v>
      </c>
      <c r="H998" s="3"/>
      <c r="I998" s="3">
        <f ca="1">IFERROR(_xludf.XLOOKUP("Seguro",PARAMETROS_IMPORTACION!$A:$A,PARAMETROS_IMPORTACION!$C:$C,0),0)</f>
        <v>0</v>
      </c>
      <c r="J998" s="3">
        <f ca="1">IFERROR(_xludf.XLOOKUP("Arancel",PARAMETROS_IMPORTACION!$A:$A,PARAMETROS_IMPORTACION!$C:$C,0),0)</f>
        <v>0</v>
      </c>
      <c r="K998" s="2">
        <f ca="1">IFERROR(_xludf.XLOOKUP("Gastos_Aduana",PARAMETROS_IMPORTACION!$A:$A,PARAMETROS_IMPORTACION!$C:$C,0),0)</f>
        <v>0</v>
      </c>
      <c r="L998" s="2">
        <f t="shared" si="31"/>
        <v>0</v>
      </c>
    </row>
    <row r="999" spans="5:12" x14ac:dyDescent="0.35">
      <c r="E999" s="2"/>
      <c r="F999" s="2">
        <f>_xlfn.XLOOKUP(D999,TIPOS_CAMBIO!A:A,TIPOS_CAMBIO!B:B,"",0)</f>
        <v>0</v>
      </c>
      <c r="G999" s="3">
        <f t="shared" si="30"/>
        <v>0</v>
      </c>
      <c r="H999" s="3"/>
      <c r="I999" s="3">
        <f ca="1">IFERROR(_xludf.XLOOKUP("Seguro",PARAMETROS_IMPORTACION!$A:$A,PARAMETROS_IMPORTACION!$C:$C,0),0)</f>
        <v>0</v>
      </c>
      <c r="J999" s="3">
        <f ca="1">IFERROR(_xludf.XLOOKUP("Arancel",PARAMETROS_IMPORTACION!$A:$A,PARAMETROS_IMPORTACION!$C:$C,0),0)</f>
        <v>0</v>
      </c>
      <c r="K999" s="2">
        <f ca="1">IFERROR(_xludf.XLOOKUP("Gastos_Aduana",PARAMETROS_IMPORTACION!$A:$A,PARAMETROS_IMPORTACION!$C:$C,0),0)</f>
        <v>0</v>
      </c>
      <c r="L999" s="2">
        <f t="shared" si="31"/>
        <v>0</v>
      </c>
    </row>
    <row r="1000" spans="5:12" x14ac:dyDescent="0.35">
      <c r="E1000" s="2"/>
      <c r="F1000" s="2">
        <f>_xlfn.XLOOKUP(D1000,TIPOS_CAMBIO!A:A,TIPOS_CAMBIO!B:B,"",0)</f>
        <v>0</v>
      </c>
      <c r="G1000" s="3">
        <f t="shared" si="30"/>
        <v>0</v>
      </c>
      <c r="H1000" s="3"/>
      <c r="I1000" s="3">
        <f ca="1">IFERROR(_xludf.XLOOKUP("Seguro",PARAMETROS_IMPORTACION!$A:$A,PARAMETROS_IMPORTACION!$C:$C,0),0)</f>
        <v>0</v>
      </c>
      <c r="J1000" s="3">
        <f ca="1">IFERROR(_xludf.XLOOKUP("Arancel",PARAMETROS_IMPORTACION!$A:$A,PARAMETROS_IMPORTACION!$C:$C,0),0)</f>
        <v>0</v>
      </c>
      <c r="K1000" s="2">
        <f ca="1">IFERROR(_xludf.XLOOKUP("Gastos_Aduana",PARAMETROS_IMPORTACION!$A:$A,PARAMETROS_IMPORTACION!$C:$C,0),0)</f>
        <v>0</v>
      </c>
      <c r="L1000" s="2">
        <f t="shared" si="31"/>
        <v>0</v>
      </c>
    </row>
    <row r="1001" spans="5:12" x14ac:dyDescent="0.35">
      <c r="E1001" s="2"/>
      <c r="F1001" s="2">
        <f>_xlfn.XLOOKUP(D1001,TIPOS_CAMBIO!A:A,TIPOS_CAMBIO!B:B,"",0)</f>
        <v>0</v>
      </c>
      <c r="G1001" s="3">
        <f t="shared" si="30"/>
        <v>0</v>
      </c>
      <c r="H1001" s="3"/>
      <c r="I1001" s="3">
        <f ca="1">IFERROR(_xludf.XLOOKUP("Seguro",PARAMETROS_IMPORTACION!$A:$A,PARAMETROS_IMPORTACION!$C:$C,0),0)</f>
        <v>0</v>
      </c>
      <c r="J1001" s="3">
        <f ca="1">IFERROR(_xludf.XLOOKUP("Arancel",PARAMETROS_IMPORTACION!$A:$A,PARAMETROS_IMPORTACION!$C:$C,0),0)</f>
        <v>0</v>
      </c>
      <c r="K1001" s="2">
        <f ca="1">IFERROR(_xludf.XLOOKUP("Gastos_Aduana",PARAMETROS_IMPORTACION!$A:$A,PARAMETROS_IMPORTACION!$C:$C,0),0)</f>
        <v>0</v>
      </c>
      <c r="L1001" s="2">
        <f t="shared" si="31"/>
        <v>0</v>
      </c>
    </row>
    <row r="1002" spans="5:12" x14ac:dyDescent="0.35">
      <c r="E1002" s="2"/>
      <c r="F1002" s="2">
        <f>_xlfn.XLOOKUP(D1002,TIPOS_CAMBIO!A:A,TIPOS_CAMBIO!B:B,"",0)</f>
        <v>0</v>
      </c>
      <c r="G1002" s="3">
        <f t="shared" si="30"/>
        <v>0</v>
      </c>
      <c r="H1002" s="3"/>
      <c r="I1002" s="3">
        <f ca="1">IFERROR(_xludf.XLOOKUP("Seguro",PARAMETROS_IMPORTACION!$A:$A,PARAMETROS_IMPORTACION!$C:$C,0),0)</f>
        <v>0</v>
      </c>
      <c r="J1002" s="3">
        <f ca="1">IFERROR(_xludf.XLOOKUP("Arancel",PARAMETROS_IMPORTACION!$A:$A,PARAMETROS_IMPORTACION!$C:$C,0),0)</f>
        <v>0</v>
      </c>
      <c r="K1002" s="2">
        <f ca="1">IFERROR(_xludf.XLOOKUP("Gastos_Aduana",PARAMETROS_IMPORTACION!$A:$A,PARAMETROS_IMPORTACION!$C:$C,0),0)</f>
        <v>0</v>
      </c>
      <c r="L1002" s="2">
        <f t="shared" si="31"/>
        <v>0</v>
      </c>
    </row>
    <row r="1003" spans="5:12" x14ac:dyDescent="0.35">
      <c r="E1003" s="2"/>
      <c r="F1003" s="2">
        <f>_xlfn.XLOOKUP(D1003,TIPOS_CAMBIO!A:A,TIPOS_CAMBIO!B:B,"",0)</f>
        <v>0</v>
      </c>
      <c r="G1003" s="3">
        <f t="shared" si="30"/>
        <v>0</v>
      </c>
      <c r="H1003" s="3"/>
      <c r="I1003" s="3">
        <f ca="1">IFERROR(_xludf.XLOOKUP("Seguro",PARAMETROS_IMPORTACION!$A:$A,PARAMETROS_IMPORTACION!$C:$C,0),0)</f>
        <v>0</v>
      </c>
      <c r="J1003" s="3">
        <f ca="1">IFERROR(_xludf.XLOOKUP("Arancel",PARAMETROS_IMPORTACION!$A:$A,PARAMETROS_IMPORTACION!$C:$C,0),0)</f>
        <v>0</v>
      </c>
      <c r="K1003" s="2">
        <f ca="1">IFERROR(_xludf.XLOOKUP("Gastos_Aduana",PARAMETROS_IMPORTACION!$A:$A,PARAMETROS_IMPORTACION!$C:$C,0),0)</f>
        <v>0</v>
      </c>
      <c r="L1003" s="2">
        <f t="shared" si="31"/>
        <v>0</v>
      </c>
    </row>
    <row r="1004" spans="5:12" x14ac:dyDescent="0.35">
      <c r="E1004" s="2"/>
      <c r="F1004" s="2">
        <f>_xlfn.XLOOKUP(D1004,TIPOS_CAMBIO!A:A,TIPOS_CAMBIO!B:B,"",0)</f>
        <v>0</v>
      </c>
      <c r="G1004" s="3">
        <f t="shared" si="30"/>
        <v>0</v>
      </c>
      <c r="H1004" s="3"/>
      <c r="I1004" s="3">
        <f ca="1">IFERROR(_xludf.XLOOKUP("Seguro",PARAMETROS_IMPORTACION!$A:$A,PARAMETROS_IMPORTACION!$C:$C,0),0)</f>
        <v>0</v>
      </c>
      <c r="J1004" s="3">
        <f ca="1">IFERROR(_xludf.XLOOKUP("Arancel",PARAMETROS_IMPORTACION!$A:$A,PARAMETROS_IMPORTACION!$C:$C,0),0)</f>
        <v>0</v>
      </c>
      <c r="K1004" s="2">
        <f ca="1">IFERROR(_xludf.XLOOKUP("Gastos_Aduana",PARAMETROS_IMPORTACION!$A:$A,PARAMETROS_IMPORTACION!$C:$C,0),0)</f>
        <v>0</v>
      </c>
      <c r="L1004" s="2">
        <f t="shared" si="31"/>
        <v>0</v>
      </c>
    </row>
    <row r="1005" spans="5:12" x14ac:dyDescent="0.35">
      <c r="E1005" s="2"/>
      <c r="F1005" s="2">
        <f>_xlfn.XLOOKUP(D1005,TIPOS_CAMBIO!A:A,TIPOS_CAMBIO!B:B,"",0)</f>
        <v>0</v>
      </c>
      <c r="G1005" s="3">
        <f t="shared" si="30"/>
        <v>0</v>
      </c>
      <c r="H1005" s="3"/>
      <c r="I1005" s="3">
        <f ca="1">IFERROR(_xludf.XLOOKUP("Seguro",PARAMETROS_IMPORTACION!$A:$A,PARAMETROS_IMPORTACION!$C:$C,0),0)</f>
        <v>0</v>
      </c>
      <c r="J1005" s="3">
        <f ca="1">IFERROR(_xludf.XLOOKUP("Arancel",PARAMETROS_IMPORTACION!$A:$A,PARAMETROS_IMPORTACION!$C:$C,0),0)</f>
        <v>0</v>
      </c>
      <c r="K1005" s="2">
        <f ca="1">IFERROR(_xludf.XLOOKUP("Gastos_Aduana",PARAMETROS_IMPORTACION!$A:$A,PARAMETROS_IMPORTACION!$C:$C,0),0)</f>
        <v>0</v>
      </c>
      <c r="L1005" s="2">
        <f t="shared" si="31"/>
        <v>0</v>
      </c>
    </row>
    <row r="1006" spans="5:12" x14ac:dyDescent="0.35">
      <c r="E1006" s="2"/>
      <c r="F1006" s="2">
        <f>_xlfn.XLOOKUP(D1006,TIPOS_CAMBIO!A:A,TIPOS_CAMBIO!B:B,"",0)</f>
        <v>0</v>
      </c>
      <c r="G1006" s="3">
        <f t="shared" si="30"/>
        <v>0</v>
      </c>
      <c r="H1006" s="3"/>
      <c r="I1006" s="3">
        <f ca="1">IFERROR(_xludf.XLOOKUP("Seguro",PARAMETROS_IMPORTACION!$A:$A,PARAMETROS_IMPORTACION!$C:$C,0),0)</f>
        <v>0</v>
      </c>
      <c r="J1006" s="3">
        <f ca="1">IFERROR(_xludf.XLOOKUP("Arancel",PARAMETROS_IMPORTACION!$A:$A,PARAMETROS_IMPORTACION!$C:$C,0),0)</f>
        <v>0</v>
      </c>
      <c r="K1006" s="2">
        <f ca="1">IFERROR(_xludf.XLOOKUP("Gastos_Aduana",PARAMETROS_IMPORTACION!$A:$A,PARAMETROS_IMPORTACION!$C:$C,0),0)</f>
        <v>0</v>
      </c>
      <c r="L1006" s="2">
        <f t="shared" si="31"/>
        <v>0</v>
      </c>
    </row>
    <row r="1007" spans="5:12" x14ac:dyDescent="0.35">
      <c r="E1007" s="2"/>
      <c r="F1007" s="2">
        <f>_xlfn.XLOOKUP(D1007,TIPOS_CAMBIO!A:A,TIPOS_CAMBIO!B:B,"",0)</f>
        <v>0</v>
      </c>
      <c r="G1007" s="3">
        <f t="shared" si="30"/>
        <v>0</v>
      </c>
      <c r="H1007" s="3"/>
      <c r="I1007" s="3">
        <f ca="1">IFERROR(_xludf.XLOOKUP("Seguro",PARAMETROS_IMPORTACION!$A:$A,PARAMETROS_IMPORTACION!$C:$C,0),0)</f>
        <v>0</v>
      </c>
      <c r="J1007" s="3">
        <f ca="1">IFERROR(_xludf.XLOOKUP("Arancel",PARAMETROS_IMPORTACION!$A:$A,PARAMETROS_IMPORTACION!$C:$C,0),0)</f>
        <v>0</v>
      </c>
      <c r="K1007" s="2">
        <f ca="1">IFERROR(_xludf.XLOOKUP("Gastos_Aduana",PARAMETROS_IMPORTACION!$A:$A,PARAMETROS_IMPORTACION!$C:$C,0),0)</f>
        <v>0</v>
      </c>
      <c r="L1007" s="2">
        <f t="shared" si="31"/>
        <v>0</v>
      </c>
    </row>
    <row r="1008" spans="5:12" x14ac:dyDescent="0.35">
      <c r="E1008" s="2"/>
      <c r="F1008" s="2">
        <f>_xlfn.XLOOKUP(D1008,TIPOS_CAMBIO!A:A,TIPOS_CAMBIO!B:B,"",0)</f>
        <v>0</v>
      </c>
      <c r="G1008" s="3">
        <f t="shared" si="30"/>
        <v>0</v>
      </c>
      <c r="H1008" s="3"/>
      <c r="I1008" s="3">
        <f ca="1">IFERROR(_xludf.XLOOKUP("Seguro",PARAMETROS_IMPORTACION!$A:$A,PARAMETROS_IMPORTACION!$C:$C,0),0)</f>
        <v>0</v>
      </c>
      <c r="J1008" s="3">
        <f ca="1">IFERROR(_xludf.XLOOKUP("Arancel",PARAMETROS_IMPORTACION!$A:$A,PARAMETROS_IMPORTACION!$C:$C,0),0)</f>
        <v>0</v>
      </c>
      <c r="K1008" s="2">
        <f ca="1">IFERROR(_xludf.XLOOKUP("Gastos_Aduana",PARAMETROS_IMPORTACION!$A:$A,PARAMETROS_IMPORTACION!$C:$C,0),0)</f>
        <v>0</v>
      </c>
      <c r="L1008" s="2">
        <f t="shared" si="31"/>
        <v>0</v>
      </c>
    </row>
    <row r="1009" spans="5:12" x14ac:dyDescent="0.35">
      <c r="E1009" s="2"/>
      <c r="F1009" s="2">
        <f>_xlfn.XLOOKUP(D1009,TIPOS_CAMBIO!A:A,TIPOS_CAMBIO!B:B,"",0)</f>
        <v>0</v>
      </c>
      <c r="G1009" s="3">
        <f t="shared" si="30"/>
        <v>0</v>
      </c>
      <c r="H1009" s="3"/>
      <c r="I1009" s="3">
        <f ca="1">IFERROR(_xludf.XLOOKUP("Seguro",PARAMETROS_IMPORTACION!$A:$A,PARAMETROS_IMPORTACION!$C:$C,0),0)</f>
        <v>0</v>
      </c>
      <c r="J1009" s="3">
        <f ca="1">IFERROR(_xludf.XLOOKUP("Arancel",PARAMETROS_IMPORTACION!$A:$A,PARAMETROS_IMPORTACION!$C:$C,0),0)</f>
        <v>0</v>
      </c>
      <c r="K1009" s="2">
        <f ca="1">IFERROR(_xludf.XLOOKUP("Gastos_Aduana",PARAMETROS_IMPORTACION!$A:$A,PARAMETROS_IMPORTACION!$C:$C,0),0)</f>
        <v>0</v>
      </c>
      <c r="L1009" s="2">
        <f t="shared" si="31"/>
        <v>0</v>
      </c>
    </row>
    <row r="1010" spans="5:12" x14ac:dyDescent="0.35">
      <c r="E1010" s="2"/>
      <c r="F1010" s="2">
        <f>_xlfn.XLOOKUP(D1010,TIPOS_CAMBIO!A:A,TIPOS_CAMBIO!B:B,"",0)</f>
        <v>0</v>
      </c>
      <c r="G1010" s="3">
        <f t="shared" si="30"/>
        <v>0</v>
      </c>
      <c r="H1010" s="3"/>
      <c r="I1010" s="3">
        <f ca="1">IFERROR(_xludf.XLOOKUP("Seguro",PARAMETROS_IMPORTACION!$A:$A,PARAMETROS_IMPORTACION!$C:$C,0),0)</f>
        <v>0</v>
      </c>
      <c r="J1010" s="3">
        <f ca="1">IFERROR(_xludf.XLOOKUP("Arancel",PARAMETROS_IMPORTACION!$A:$A,PARAMETROS_IMPORTACION!$C:$C,0),0)</f>
        <v>0</v>
      </c>
      <c r="K1010" s="2">
        <f ca="1">IFERROR(_xludf.XLOOKUP("Gastos_Aduana",PARAMETROS_IMPORTACION!$A:$A,PARAMETROS_IMPORTACION!$C:$C,0),0)</f>
        <v>0</v>
      </c>
      <c r="L1010" s="2">
        <f t="shared" si="31"/>
        <v>0</v>
      </c>
    </row>
    <row r="1011" spans="5:12" x14ac:dyDescent="0.35">
      <c r="E1011" s="2"/>
      <c r="F1011" s="2">
        <f>_xlfn.XLOOKUP(D1011,TIPOS_CAMBIO!A:A,TIPOS_CAMBIO!B:B,"",0)</f>
        <v>0</v>
      </c>
      <c r="G1011" s="3">
        <f t="shared" si="30"/>
        <v>0</v>
      </c>
      <c r="H1011" s="3"/>
      <c r="I1011" s="3">
        <f ca="1">IFERROR(_xludf.XLOOKUP("Seguro",PARAMETROS_IMPORTACION!$A:$A,PARAMETROS_IMPORTACION!$C:$C,0),0)</f>
        <v>0</v>
      </c>
      <c r="J1011" s="3">
        <f ca="1">IFERROR(_xludf.XLOOKUP("Arancel",PARAMETROS_IMPORTACION!$A:$A,PARAMETROS_IMPORTACION!$C:$C,0),0)</f>
        <v>0</v>
      </c>
      <c r="K1011" s="2">
        <f ca="1">IFERROR(_xludf.XLOOKUP("Gastos_Aduana",PARAMETROS_IMPORTACION!$A:$A,PARAMETROS_IMPORTACION!$C:$C,0),0)</f>
        <v>0</v>
      </c>
      <c r="L1011" s="2">
        <f t="shared" si="31"/>
        <v>0</v>
      </c>
    </row>
    <row r="1012" spans="5:12" x14ac:dyDescent="0.35">
      <c r="E1012" s="2"/>
      <c r="F1012" s="2">
        <f>_xlfn.XLOOKUP(D1012,TIPOS_CAMBIO!A:A,TIPOS_CAMBIO!B:B,"",0)</f>
        <v>0</v>
      </c>
      <c r="G1012" s="3">
        <f t="shared" si="30"/>
        <v>0</v>
      </c>
      <c r="H1012" s="3"/>
      <c r="I1012" s="3">
        <f ca="1">IFERROR(_xludf.XLOOKUP("Seguro",PARAMETROS_IMPORTACION!$A:$A,PARAMETROS_IMPORTACION!$C:$C,0),0)</f>
        <v>0</v>
      </c>
      <c r="J1012" s="3">
        <f ca="1">IFERROR(_xludf.XLOOKUP("Arancel",PARAMETROS_IMPORTACION!$A:$A,PARAMETROS_IMPORTACION!$C:$C,0),0)</f>
        <v>0</v>
      </c>
      <c r="K1012" s="2">
        <f ca="1">IFERROR(_xludf.XLOOKUP("Gastos_Aduana",PARAMETROS_IMPORTACION!$A:$A,PARAMETROS_IMPORTACION!$C:$C,0),0)</f>
        <v>0</v>
      </c>
      <c r="L1012" s="2">
        <f t="shared" si="31"/>
        <v>0</v>
      </c>
    </row>
    <row r="1013" spans="5:12" x14ac:dyDescent="0.35">
      <c r="E1013" s="2"/>
      <c r="F1013" s="2">
        <f>_xlfn.XLOOKUP(D1013,TIPOS_CAMBIO!A:A,TIPOS_CAMBIO!B:B,"",0)</f>
        <v>0</v>
      </c>
      <c r="G1013" s="3">
        <f t="shared" si="30"/>
        <v>0</v>
      </c>
      <c r="H1013" s="3"/>
      <c r="I1013" s="3">
        <f ca="1">IFERROR(_xludf.XLOOKUP("Seguro",PARAMETROS_IMPORTACION!$A:$A,PARAMETROS_IMPORTACION!$C:$C,0),0)</f>
        <v>0</v>
      </c>
      <c r="J1013" s="3">
        <f ca="1">IFERROR(_xludf.XLOOKUP("Arancel",PARAMETROS_IMPORTACION!$A:$A,PARAMETROS_IMPORTACION!$C:$C,0),0)</f>
        <v>0</v>
      </c>
      <c r="K1013" s="2">
        <f ca="1">IFERROR(_xludf.XLOOKUP("Gastos_Aduana",PARAMETROS_IMPORTACION!$A:$A,PARAMETROS_IMPORTACION!$C:$C,0),0)</f>
        <v>0</v>
      </c>
      <c r="L1013" s="2">
        <f t="shared" si="31"/>
        <v>0</v>
      </c>
    </row>
    <row r="1014" spans="5:12" x14ac:dyDescent="0.35">
      <c r="E1014" s="2"/>
      <c r="F1014" s="2">
        <f>_xlfn.XLOOKUP(D1014,TIPOS_CAMBIO!A:A,TIPOS_CAMBIO!B:B,"",0)</f>
        <v>0</v>
      </c>
      <c r="G1014" s="3">
        <f t="shared" si="30"/>
        <v>0</v>
      </c>
      <c r="H1014" s="3"/>
      <c r="I1014" s="3">
        <f ca="1">IFERROR(_xludf.XLOOKUP("Seguro",PARAMETROS_IMPORTACION!$A:$A,PARAMETROS_IMPORTACION!$C:$C,0),0)</f>
        <v>0</v>
      </c>
      <c r="J1014" s="3">
        <f ca="1">IFERROR(_xludf.XLOOKUP("Arancel",PARAMETROS_IMPORTACION!$A:$A,PARAMETROS_IMPORTACION!$C:$C,0),0)</f>
        <v>0</v>
      </c>
      <c r="K1014" s="2">
        <f ca="1">IFERROR(_xludf.XLOOKUP("Gastos_Aduana",PARAMETROS_IMPORTACION!$A:$A,PARAMETROS_IMPORTACION!$C:$C,0),0)</f>
        <v>0</v>
      </c>
      <c r="L1014" s="2">
        <f t="shared" si="31"/>
        <v>0</v>
      </c>
    </row>
    <row r="1015" spans="5:12" x14ac:dyDescent="0.35">
      <c r="E1015" s="2"/>
      <c r="F1015" s="2">
        <f>_xlfn.XLOOKUP(D1015,TIPOS_CAMBIO!A:A,TIPOS_CAMBIO!B:B,"",0)</f>
        <v>0</v>
      </c>
      <c r="G1015" s="3">
        <f t="shared" si="30"/>
        <v>0</v>
      </c>
      <c r="H1015" s="3"/>
      <c r="I1015" s="3">
        <f ca="1">IFERROR(_xludf.XLOOKUP("Seguro",PARAMETROS_IMPORTACION!$A:$A,PARAMETROS_IMPORTACION!$C:$C,0),0)</f>
        <v>0</v>
      </c>
      <c r="J1015" s="3">
        <f ca="1">IFERROR(_xludf.XLOOKUP("Arancel",PARAMETROS_IMPORTACION!$A:$A,PARAMETROS_IMPORTACION!$C:$C,0),0)</f>
        <v>0</v>
      </c>
      <c r="K1015" s="2">
        <f ca="1">IFERROR(_xludf.XLOOKUP("Gastos_Aduana",PARAMETROS_IMPORTACION!$A:$A,PARAMETROS_IMPORTACION!$C:$C,0),0)</f>
        <v>0</v>
      </c>
      <c r="L1015" s="2">
        <f t="shared" si="31"/>
        <v>0</v>
      </c>
    </row>
    <row r="1016" spans="5:12" x14ac:dyDescent="0.35">
      <c r="E1016" s="2"/>
      <c r="F1016" s="2">
        <f>_xlfn.XLOOKUP(D1016,TIPOS_CAMBIO!A:A,TIPOS_CAMBIO!B:B,"",0)</f>
        <v>0</v>
      </c>
      <c r="G1016" s="3">
        <f t="shared" si="30"/>
        <v>0</v>
      </c>
      <c r="H1016" s="3"/>
      <c r="I1016" s="3">
        <f ca="1">IFERROR(_xludf.XLOOKUP("Seguro",PARAMETROS_IMPORTACION!$A:$A,PARAMETROS_IMPORTACION!$C:$C,0),0)</f>
        <v>0</v>
      </c>
      <c r="J1016" s="3">
        <f ca="1">IFERROR(_xludf.XLOOKUP("Arancel",PARAMETROS_IMPORTACION!$A:$A,PARAMETROS_IMPORTACION!$C:$C,0),0)</f>
        <v>0</v>
      </c>
      <c r="K1016" s="2">
        <f ca="1">IFERROR(_xludf.XLOOKUP("Gastos_Aduana",PARAMETROS_IMPORTACION!$A:$A,PARAMETROS_IMPORTACION!$C:$C,0),0)</f>
        <v>0</v>
      </c>
      <c r="L1016" s="2">
        <f t="shared" si="31"/>
        <v>0</v>
      </c>
    </row>
    <row r="1017" spans="5:12" x14ac:dyDescent="0.35">
      <c r="E1017" s="2"/>
      <c r="F1017" s="2">
        <f>_xlfn.XLOOKUP(D1017,TIPOS_CAMBIO!A:A,TIPOS_CAMBIO!B:B,"",0)</f>
        <v>0</v>
      </c>
      <c r="G1017" s="3">
        <f t="shared" si="30"/>
        <v>0</v>
      </c>
      <c r="H1017" s="3"/>
      <c r="I1017" s="3">
        <f ca="1">IFERROR(_xludf.XLOOKUP("Seguro",PARAMETROS_IMPORTACION!$A:$A,PARAMETROS_IMPORTACION!$C:$C,0),0)</f>
        <v>0</v>
      </c>
      <c r="J1017" s="3">
        <f ca="1">IFERROR(_xludf.XLOOKUP("Arancel",PARAMETROS_IMPORTACION!$A:$A,PARAMETROS_IMPORTACION!$C:$C,0),0)</f>
        <v>0</v>
      </c>
      <c r="K1017" s="2">
        <f ca="1">IFERROR(_xludf.XLOOKUP("Gastos_Aduana",PARAMETROS_IMPORTACION!$A:$A,PARAMETROS_IMPORTACION!$C:$C,0),0)</f>
        <v>0</v>
      </c>
      <c r="L1017" s="2">
        <f t="shared" si="31"/>
        <v>0</v>
      </c>
    </row>
    <row r="1018" spans="5:12" x14ac:dyDescent="0.35">
      <c r="E1018" s="2"/>
      <c r="F1018" s="2">
        <f>_xlfn.XLOOKUP(D1018,TIPOS_CAMBIO!A:A,TIPOS_CAMBIO!B:B,"",0)</f>
        <v>0</v>
      </c>
      <c r="G1018" s="3">
        <f t="shared" si="30"/>
        <v>0</v>
      </c>
      <c r="H1018" s="3"/>
      <c r="I1018" s="3">
        <f ca="1">IFERROR(_xludf.XLOOKUP("Seguro",PARAMETROS_IMPORTACION!$A:$A,PARAMETROS_IMPORTACION!$C:$C,0),0)</f>
        <v>0</v>
      </c>
      <c r="J1018" s="3">
        <f ca="1">IFERROR(_xludf.XLOOKUP("Arancel",PARAMETROS_IMPORTACION!$A:$A,PARAMETROS_IMPORTACION!$C:$C,0),0)</f>
        <v>0</v>
      </c>
      <c r="K1018" s="2">
        <f ca="1">IFERROR(_xludf.XLOOKUP("Gastos_Aduana",PARAMETROS_IMPORTACION!$A:$A,PARAMETROS_IMPORTACION!$C:$C,0),0)</f>
        <v>0</v>
      </c>
      <c r="L1018" s="2">
        <f t="shared" si="31"/>
        <v>0</v>
      </c>
    </row>
    <row r="1019" spans="5:12" x14ac:dyDescent="0.35">
      <c r="E1019" s="2"/>
      <c r="F1019" s="2">
        <f>_xlfn.XLOOKUP(D1019,TIPOS_CAMBIO!A:A,TIPOS_CAMBIO!B:B,"",0)</f>
        <v>0</v>
      </c>
      <c r="G1019" s="3">
        <f t="shared" si="30"/>
        <v>0</v>
      </c>
      <c r="H1019" s="3"/>
      <c r="I1019" s="3">
        <f ca="1">IFERROR(_xludf.XLOOKUP("Seguro",PARAMETROS_IMPORTACION!$A:$A,PARAMETROS_IMPORTACION!$C:$C,0),0)</f>
        <v>0</v>
      </c>
      <c r="J1019" s="3">
        <f ca="1">IFERROR(_xludf.XLOOKUP("Arancel",PARAMETROS_IMPORTACION!$A:$A,PARAMETROS_IMPORTACION!$C:$C,0),0)</f>
        <v>0</v>
      </c>
      <c r="K1019" s="2">
        <f ca="1">IFERROR(_xludf.XLOOKUP("Gastos_Aduana",PARAMETROS_IMPORTACION!$A:$A,PARAMETROS_IMPORTACION!$C:$C,0),0)</f>
        <v>0</v>
      </c>
      <c r="L1019" s="2">
        <f t="shared" si="31"/>
        <v>0</v>
      </c>
    </row>
    <row r="1020" spans="5:12" x14ac:dyDescent="0.35">
      <c r="E1020" s="2"/>
      <c r="F1020" s="2">
        <f>_xlfn.XLOOKUP(D1020,TIPOS_CAMBIO!A:A,TIPOS_CAMBIO!B:B,"",0)</f>
        <v>0</v>
      </c>
      <c r="G1020" s="3">
        <f t="shared" si="30"/>
        <v>0</v>
      </c>
      <c r="H1020" s="3"/>
      <c r="I1020" s="3">
        <f ca="1">IFERROR(_xludf.XLOOKUP("Seguro",PARAMETROS_IMPORTACION!$A:$A,PARAMETROS_IMPORTACION!$C:$C,0),0)</f>
        <v>0</v>
      </c>
      <c r="J1020" s="3">
        <f ca="1">IFERROR(_xludf.XLOOKUP("Arancel",PARAMETROS_IMPORTACION!$A:$A,PARAMETROS_IMPORTACION!$C:$C,0),0)</f>
        <v>0</v>
      </c>
      <c r="K1020" s="2">
        <f ca="1">IFERROR(_xludf.XLOOKUP("Gastos_Aduana",PARAMETROS_IMPORTACION!$A:$A,PARAMETROS_IMPORTACION!$C:$C,0),0)</f>
        <v>0</v>
      </c>
      <c r="L1020" s="2">
        <f t="shared" si="31"/>
        <v>0</v>
      </c>
    </row>
    <row r="1021" spans="5:12" x14ac:dyDescent="0.35">
      <c r="E1021" s="2"/>
      <c r="F1021" s="2">
        <f>_xlfn.XLOOKUP(D1021,TIPOS_CAMBIO!A:A,TIPOS_CAMBIO!B:B,"",0)</f>
        <v>0</v>
      </c>
      <c r="G1021" s="3">
        <f t="shared" si="30"/>
        <v>0</v>
      </c>
      <c r="H1021" s="3"/>
      <c r="I1021" s="3">
        <f ca="1">IFERROR(_xludf.XLOOKUP("Seguro",PARAMETROS_IMPORTACION!$A:$A,PARAMETROS_IMPORTACION!$C:$C,0),0)</f>
        <v>0</v>
      </c>
      <c r="J1021" s="3">
        <f ca="1">IFERROR(_xludf.XLOOKUP("Arancel",PARAMETROS_IMPORTACION!$A:$A,PARAMETROS_IMPORTACION!$C:$C,0),0)</f>
        <v>0</v>
      </c>
      <c r="K1021" s="2">
        <f ca="1">IFERROR(_xludf.XLOOKUP("Gastos_Aduana",PARAMETROS_IMPORTACION!$A:$A,PARAMETROS_IMPORTACION!$C:$C,0),0)</f>
        <v>0</v>
      </c>
      <c r="L1021" s="2">
        <f t="shared" si="31"/>
        <v>0</v>
      </c>
    </row>
    <row r="1022" spans="5:12" x14ac:dyDescent="0.35">
      <c r="E1022" s="2"/>
      <c r="F1022" s="2">
        <f>_xlfn.XLOOKUP(D1022,TIPOS_CAMBIO!A:A,TIPOS_CAMBIO!B:B,"",0)</f>
        <v>0</v>
      </c>
      <c r="G1022" s="3">
        <f t="shared" si="30"/>
        <v>0</v>
      </c>
      <c r="H1022" s="3"/>
      <c r="I1022" s="3">
        <f ca="1">IFERROR(_xludf.XLOOKUP("Seguro",PARAMETROS_IMPORTACION!$A:$A,PARAMETROS_IMPORTACION!$C:$C,0),0)</f>
        <v>0</v>
      </c>
      <c r="J1022" s="3">
        <f ca="1">IFERROR(_xludf.XLOOKUP("Arancel",PARAMETROS_IMPORTACION!$A:$A,PARAMETROS_IMPORTACION!$C:$C,0),0)</f>
        <v>0</v>
      </c>
      <c r="K1022" s="2">
        <f ca="1">IFERROR(_xludf.XLOOKUP("Gastos_Aduana",PARAMETROS_IMPORTACION!$A:$A,PARAMETROS_IMPORTACION!$C:$C,0),0)</f>
        <v>0</v>
      </c>
      <c r="L1022" s="2">
        <f t="shared" si="31"/>
        <v>0</v>
      </c>
    </row>
    <row r="1023" spans="5:12" x14ac:dyDescent="0.35">
      <c r="E1023" s="2"/>
      <c r="F1023" s="2">
        <f>_xlfn.XLOOKUP(D1023,TIPOS_CAMBIO!A:A,TIPOS_CAMBIO!B:B,"",0)</f>
        <v>0</v>
      </c>
      <c r="G1023" s="3">
        <f t="shared" si="30"/>
        <v>0</v>
      </c>
      <c r="H1023" s="3"/>
      <c r="I1023" s="3">
        <f ca="1">IFERROR(_xludf.XLOOKUP("Seguro",PARAMETROS_IMPORTACION!$A:$A,PARAMETROS_IMPORTACION!$C:$C,0),0)</f>
        <v>0</v>
      </c>
      <c r="J1023" s="3">
        <f ca="1">IFERROR(_xludf.XLOOKUP("Arancel",PARAMETROS_IMPORTACION!$A:$A,PARAMETROS_IMPORTACION!$C:$C,0),0)</f>
        <v>0</v>
      </c>
      <c r="K1023" s="2">
        <f ca="1">IFERROR(_xludf.XLOOKUP("Gastos_Aduana",PARAMETROS_IMPORTACION!$A:$A,PARAMETROS_IMPORTACION!$C:$C,0),0)</f>
        <v>0</v>
      </c>
      <c r="L1023" s="2">
        <f t="shared" si="31"/>
        <v>0</v>
      </c>
    </row>
    <row r="1024" spans="5:12" x14ac:dyDescent="0.35">
      <c r="E1024" s="2"/>
      <c r="F1024" s="2">
        <f>_xlfn.XLOOKUP(D1024,TIPOS_CAMBIO!A:A,TIPOS_CAMBIO!B:B,"",0)</f>
        <v>0</v>
      </c>
      <c r="G1024" s="3">
        <f t="shared" si="30"/>
        <v>0</v>
      </c>
      <c r="H1024" s="3"/>
      <c r="I1024" s="3">
        <f ca="1">IFERROR(_xludf.XLOOKUP("Seguro",PARAMETROS_IMPORTACION!$A:$A,PARAMETROS_IMPORTACION!$C:$C,0),0)</f>
        <v>0</v>
      </c>
      <c r="J1024" s="3">
        <f ca="1">IFERROR(_xludf.XLOOKUP("Arancel",PARAMETROS_IMPORTACION!$A:$A,PARAMETROS_IMPORTACION!$C:$C,0),0)</f>
        <v>0</v>
      </c>
      <c r="K1024" s="2">
        <f ca="1">IFERROR(_xludf.XLOOKUP("Gastos_Aduana",PARAMETROS_IMPORTACION!$A:$A,PARAMETROS_IMPORTACION!$C:$C,0),0)</f>
        <v>0</v>
      </c>
      <c r="L1024" s="2">
        <f t="shared" si="31"/>
        <v>0</v>
      </c>
    </row>
    <row r="1025" spans="5:12" x14ac:dyDescent="0.35">
      <c r="E1025" s="2"/>
      <c r="F1025" s="2">
        <f>_xlfn.XLOOKUP(D1025,TIPOS_CAMBIO!A:A,TIPOS_CAMBIO!B:B,"",0)</f>
        <v>0</v>
      </c>
      <c r="G1025" s="3">
        <f t="shared" si="30"/>
        <v>0</v>
      </c>
      <c r="H1025" s="3"/>
      <c r="I1025" s="3">
        <f ca="1">IFERROR(_xludf.XLOOKUP("Seguro",PARAMETROS_IMPORTACION!$A:$A,PARAMETROS_IMPORTACION!$C:$C,0),0)</f>
        <v>0</v>
      </c>
      <c r="J1025" s="3">
        <f ca="1">IFERROR(_xludf.XLOOKUP("Arancel",PARAMETROS_IMPORTACION!$A:$A,PARAMETROS_IMPORTACION!$C:$C,0),0)</f>
        <v>0</v>
      </c>
      <c r="K1025" s="2">
        <f ca="1">IFERROR(_xludf.XLOOKUP("Gastos_Aduana",PARAMETROS_IMPORTACION!$A:$A,PARAMETROS_IMPORTACION!$C:$C,0),0)</f>
        <v>0</v>
      </c>
      <c r="L1025" s="2">
        <f t="shared" si="31"/>
        <v>0</v>
      </c>
    </row>
    <row r="1026" spans="5:12" x14ac:dyDescent="0.35">
      <c r="E1026" s="2"/>
      <c r="F1026" s="2">
        <f>_xlfn.XLOOKUP(D1026,TIPOS_CAMBIO!A:A,TIPOS_CAMBIO!B:B,"",0)</f>
        <v>0</v>
      </c>
      <c r="G1026" s="3">
        <f t="shared" ref="G1026:G1089" si="32">$E1026*$F1026</f>
        <v>0</v>
      </c>
      <c r="H1026" s="3"/>
      <c r="I1026" s="3">
        <f ca="1">IFERROR(_xludf.XLOOKUP("Seguro",PARAMETROS_IMPORTACION!$A:$A,PARAMETROS_IMPORTACION!$C:$C,0),0)</f>
        <v>0</v>
      </c>
      <c r="J1026" s="3">
        <f ca="1">IFERROR(_xludf.XLOOKUP("Arancel",PARAMETROS_IMPORTACION!$A:$A,PARAMETROS_IMPORTACION!$C:$C,0),0)</f>
        <v>0</v>
      </c>
      <c r="K1026" s="2">
        <f ca="1">IFERROR(_xludf.XLOOKUP("Gastos_Aduana",PARAMETROS_IMPORTACION!$A:$A,PARAMETROS_IMPORTACION!$C:$C,0),0)</f>
        <v>0</v>
      </c>
      <c r="L1026" s="2">
        <f t="shared" si="31"/>
        <v>0</v>
      </c>
    </row>
    <row r="1027" spans="5:12" x14ac:dyDescent="0.35">
      <c r="E1027" s="2"/>
      <c r="F1027" s="2">
        <f>_xlfn.XLOOKUP(D1027,TIPOS_CAMBIO!A:A,TIPOS_CAMBIO!B:B,"",0)</f>
        <v>0</v>
      </c>
      <c r="G1027" s="3">
        <f t="shared" si="32"/>
        <v>0</v>
      </c>
      <c r="H1027" s="3"/>
      <c r="I1027" s="3">
        <f ca="1">IFERROR(_xludf.XLOOKUP("Seguro",PARAMETROS_IMPORTACION!$A:$A,PARAMETROS_IMPORTACION!$C:$C,0),0)</f>
        <v>0</v>
      </c>
      <c r="J1027" s="3">
        <f ca="1">IFERROR(_xludf.XLOOKUP("Arancel",PARAMETROS_IMPORTACION!$A:$A,PARAMETROS_IMPORTACION!$C:$C,0),0)</f>
        <v>0</v>
      </c>
      <c r="K1027" s="2">
        <f ca="1">IFERROR(_xludf.XLOOKUP("Gastos_Aduana",PARAMETROS_IMPORTACION!$A:$A,PARAMETROS_IMPORTACION!$C:$C,0),0)</f>
        <v>0</v>
      </c>
      <c r="L1027" s="2">
        <f t="shared" ref="L1027:L1090" si="33">IF($C1027="Importado",$G1027*(1+$H1027+$I1027+$J1027)+$K1027,$G1027)</f>
        <v>0</v>
      </c>
    </row>
    <row r="1028" spans="5:12" x14ac:dyDescent="0.35">
      <c r="E1028" s="2"/>
      <c r="F1028" s="2">
        <f>_xlfn.XLOOKUP(D1028,TIPOS_CAMBIO!A:A,TIPOS_CAMBIO!B:B,"",0)</f>
        <v>0</v>
      </c>
      <c r="G1028" s="3">
        <f t="shared" si="32"/>
        <v>0</v>
      </c>
      <c r="H1028" s="3"/>
      <c r="I1028" s="3">
        <f ca="1">IFERROR(_xludf.XLOOKUP("Seguro",PARAMETROS_IMPORTACION!$A:$A,PARAMETROS_IMPORTACION!$C:$C,0),0)</f>
        <v>0</v>
      </c>
      <c r="J1028" s="3">
        <f ca="1">IFERROR(_xludf.XLOOKUP("Arancel",PARAMETROS_IMPORTACION!$A:$A,PARAMETROS_IMPORTACION!$C:$C,0),0)</f>
        <v>0</v>
      </c>
      <c r="K1028" s="2">
        <f ca="1">IFERROR(_xludf.XLOOKUP("Gastos_Aduana",PARAMETROS_IMPORTACION!$A:$A,PARAMETROS_IMPORTACION!$C:$C,0),0)</f>
        <v>0</v>
      </c>
      <c r="L1028" s="2">
        <f t="shared" si="33"/>
        <v>0</v>
      </c>
    </row>
    <row r="1029" spans="5:12" x14ac:dyDescent="0.35">
      <c r="E1029" s="2"/>
      <c r="F1029" s="2">
        <f>_xlfn.XLOOKUP(D1029,TIPOS_CAMBIO!A:A,TIPOS_CAMBIO!B:B,"",0)</f>
        <v>0</v>
      </c>
      <c r="G1029" s="3">
        <f t="shared" si="32"/>
        <v>0</v>
      </c>
      <c r="H1029" s="3"/>
      <c r="I1029" s="3">
        <f ca="1">IFERROR(_xludf.XLOOKUP("Seguro",PARAMETROS_IMPORTACION!$A:$A,PARAMETROS_IMPORTACION!$C:$C,0),0)</f>
        <v>0</v>
      </c>
      <c r="J1029" s="3">
        <f ca="1">IFERROR(_xludf.XLOOKUP("Arancel",PARAMETROS_IMPORTACION!$A:$A,PARAMETROS_IMPORTACION!$C:$C,0),0)</f>
        <v>0</v>
      </c>
      <c r="K1029" s="2">
        <f ca="1">IFERROR(_xludf.XLOOKUP("Gastos_Aduana",PARAMETROS_IMPORTACION!$A:$A,PARAMETROS_IMPORTACION!$C:$C,0),0)</f>
        <v>0</v>
      </c>
      <c r="L1029" s="2">
        <f t="shared" si="33"/>
        <v>0</v>
      </c>
    </row>
    <row r="1030" spans="5:12" x14ac:dyDescent="0.35">
      <c r="E1030" s="2"/>
      <c r="F1030" s="2">
        <f>_xlfn.XLOOKUP(D1030,TIPOS_CAMBIO!A:A,TIPOS_CAMBIO!B:B,"",0)</f>
        <v>0</v>
      </c>
      <c r="G1030" s="3">
        <f t="shared" si="32"/>
        <v>0</v>
      </c>
      <c r="H1030" s="3"/>
      <c r="I1030" s="3">
        <f ca="1">IFERROR(_xludf.XLOOKUP("Seguro",PARAMETROS_IMPORTACION!$A:$A,PARAMETROS_IMPORTACION!$C:$C,0),0)</f>
        <v>0</v>
      </c>
      <c r="J1030" s="3">
        <f ca="1">IFERROR(_xludf.XLOOKUP("Arancel",PARAMETROS_IMPORTACION!$A:$A,PARAMETROS_IMPORTACION!$C:$C,0),0)</f>
        <v>0</v>
      </c>
      <c r="K1030" s="2">
        <f ca="1">IFERROR(_xludf.XLOOKUP("Gastos_Aduana",PARAMETROS_IMPORTACION!$A:$A,PARAMETROS_IMPORTACION!$C:$C,0),0)</f>
        <v>0</v>
      </c>
      <c r="L1030" s="2">
        <f t="shared" si="33"/>
        <v>0</v>
      </c>
    </row>
    <row r="1031" spans="5:12" x14ac:dyDescent="0.35">
      <c r="E1031" s="2"/>
      <c r="F1031" s="2">
        <f>_xlfn.XLOOKUP(D1031,TIPOS_CAMBIO!A:A,TIPOS_CAMBIO!B:B,"",0)</f>
        <v>0</v>
      </c>
      <c r="G1031" s="3">
        <f t="shared" si="32"/>
        <v>0</v>
      </c>
      <c r="H1031" s="3"/>
      <c r="I1031" s="3">
        <f ca="1">IFERROR(_xludf.XLOOKUP("Seguro",PARAMETROS_IMPORTACION!$A:$A,PARAMETROS_IMPORTACION!$C:$C,0),0)</f>
        <v>0</v>
      </c>
      <c r="J1031" s="3">
        <f ca="1">IFERROR(_xludf.XLOOKUP("Arancel",PARAMETROS_IMPORTACION!$A:$A,PARAMETROS_IMPORTACION!$C:$C,0),0)</f>
        <v>0</v>
      </c>
      <c r="K1031" s="2">
        <f ca="1">IFERROR(_xludf.XLOOKUP("Gastos_Aduana",PARAMETROS_IMPORTACION!$A:$A,PARAMETROS_IMPORTACION!$C:$C,0),0)</f>
        <v>0</v>
      </c>
      <c r="L1031" s="2">
        <f t="shared" si="33"/>
        <v>0</v>
      </c>
    </row>
    <row r="1032" spans="5:12" x14ac:dyDescent="0.35">
      <c r="E1032" s="2"/>
      <c r="F1032" s="2">
        <f>_xlfn.XLOOKUP(D1032,TIPOS_CAMBIO!A:A,TIPOS_CAMBIO!B:B,"",0)</f>
        <v>0</v>
      </c>
      <c r="G1032" s="3">
        <f t="shared" si="32"/>
        <v>0</v>
      </c>
      <c r="H1032" s="3"/>
      <c r="I1032" s="3">
        <f ca="1">IFERROR(_xludf.XLOOKUP("Seguro",PARAMETROS_IMPORTACION!$A:$A,PARAMETROS_IMPORTACION!$C:$C,0),0)</f>
        <v>0</v>
      </c>
      <c r="J1032" s="3">
        <f ca="1">IFERROR(_xludf.XLOOKUP("Arancel",PARAMETROS_IMPORTACION!$A:$A,PARAMETROS_IMPORTACION!$C:$C,0),0)</f>
        <v>0</v>
      </c>
      <c r="K1032" s="2">
        <f ca="1">IFERROR(_xludf.XLOOKUP("Gastos_Aduana",PARAMETROS_IMPORTACION!$A:$A,PARAMETROS_IMPORTACION!$C:$C,0),0)</f>
        <v>0</v>
      </c>
      <c r="L1032" s="2">
        <f t="shared" si="33"/>
        <v>0</v>
      </c>
    </row>
    <row r="1033" spans="5:12" x14ac:dyDescent="0.35">
      <c r="E1033" s="2"/>
      <c r="F1033" s="2">
        <f>_xlfn.XLOOKUP(D1033,TIPOS_CAMBIO!A:A,TIPOS_CAMBIO!B:B,"",0)</f>
        <v>0</v>
      </c>
      <c r="G1033" s="3">
        <f t="shared" si="32"/>
        <v>0</v>
      </c>
      <c r="H1033" s="3"/>
      <c r="I1033" s="3">
        <f ca="1">IFERROR(_xludf.XLOOKUP("Seguro",PARAMETROS_IMPORTACION!$A:$A,PARAMETROS_IMPORTACION!$C:$C,0),0)</f>
        <v>0</v>
      </c>
      <c r="J1033" s="3">
        <f ca="1">IFERROR(_xludf.XLOOKUP("Arancel",PARAMETROS_IMPORTACION!$A:$A,PARAMETROS_IMPORTACION!$C:$C,0),0)</f>
        <v>0</v>
      </c>
      <c r="K1033" s="2">
        <f ca="1">IFERROR(_xludf.XLOOKUP("Gastos_Aduana",PARAMETROS_IMPORTACION!$A:$A,PARAMETROS_IMPORTACION!$C:$C,0),0)</f>
        <v>0</v>
      </c>
      <c r="L1033" s="2">
        <f t="shared" si="33"/>
        <v>0</v>
      </c>
    </row>
    <row r="1034" spans="5:12" x14ac:dyDescent="0.35">
      <c r="E1034" s="2"/>
      <c r="F1034" s="2">
        <f>_xlfn.XLOOKUP(D1034,TIPOS_CAMBIO!A:A,TIPOS_CAMBIO!B:B,"",0)</f>
        <v>0</v>
      </c>
      <c r="G1034" s="3">
        <f t="shared" si="32"/>
        <v>0</v>
      </c>
      <c r="H1034" s="3"/>
      <c r="I1034" s="3">
        <f ca="1">IFERROR(_xludf.XLOOKUP("Seguro",PARAMETROS_IMPORTACION!$A:$A,PARAMETROS_IMPORTACION!$C:$C,0),0)</f>
        <v>0</v>
      </c>
      <c r="J1034" s="3">
        <f ca="1">IFERROR(_xludf.XLOOKUP("Arancel",PARAMETROS_IMPORTACION!$A:$A,PARAMETROS_IMPORTACION!$C:$C,0),0)</f>
        <v>0</v>
      </c>
      <c r="K1034" s="2">
        <f ca="1">IFERROR(_xludf.XLOOKUP("Gastos_Aduana",PARAMETROS_IMPORTACION!$A:$A,PARAMETROS_IMPORTACION!$C:$C,0),0)</f>
        <v>0</v>
      </c>
      <c r="L1034" s="2">
        <f t="shared" si="33"/>
        <v>0</v>
      </c>
    </row>
    <row r="1035" spans="5:12" x14ac:dyDescent="0.35">
      <c r="E1035" s="2"/>
      <c r="F1035" s="2">
        <f>_xlfn.XLOOKUP(D1035,TIPOS_CAMBIO!A:A,TIPOS_CAMBIO!B:B,"",0)</f>
        <v>0</v>
      </c>
      <c r="G1035" s="3">
        <f t="shared" si="32"/>
        <v>0</v>
      </c>
      <c r="H1035" s="3"/>
      <c r="I1035" s="3">
        <f ca="1">IFERROR(_xludf.XLOOKUP("Seguro",PARAMETROS_IMPORTACION!$A:$A,PARAMETROS_IMPORTACION!$C:$C,0),0)</f>
        <v>0</v>
      </c>
      <c r="J1035" s="3">
        <f ca="1">IFERROR(_xludf.XLOOKUP("Arancel",PARAMETROS_IMPORTACION!$A:$A,PARAMETROS_IMPORTACION!$C:$C,0),0)</f>
        <v>0</v>
      </c>
      <c r="K1035" s="2">
        <f ca="1">IFERROR(_xludf.XLOOKUP("Gastos_Aduana",PARAMETROS_IMPORTACION!$A:$A,PARAMETROS_IMPORTACION!$C:$C,0),0)</f>
        <v>0</v>
      </c>
      <c r="L1035" s="2">
        <f t="shared" si="33"/>
        <v>0</v>
      </c>
    </row>
    <row r="1036" spans="5:12" x14ac:dyDescent="0.35">
      <c r="E1036" s="2"/>
      <c r="F1036" s="2">
        <f>_xlfn.XLOOKUP(D1036,TIPOS_CAMBIO!A:A,TIPOS_CAMBIO!B:B,"",0)</f>
        <v>0</v>
      </c>
      <c r="G1036" s="3">
        <f t="shared" si="32"/>
        <v>0</v>
      </c>
      <c r="H1036" s="3"/>
      <c r="I1036" s="3">
        <f ca="1">IFERROR(_xludf.XLOOKUP("Seguro",PARAMETROS_IMPORTACION!$A:$A,PARAMETROS_IMPORTACION!$C:$C,0),0)</f>
        <v>0</v>
      </c>
      <c r="J1036" s="3">
        <f ca="1">IFERROR(_xludf.XLOOKUP("Arancel",PARAMETROS_IMPORTACION!$A:$A,PARAMETROS_IMPORTACION!$C:$C,0),0)</f>
        <v>0</v>
      </c>
      <c r="K1036" s="2">
        <f ca="1">IFERROR(_xludf.XLOOKUP("Gastos_Aduana",PARAMETROS_IMPORTACION!$A:$A,PARAMETROS_IMPORTACION!$C:$C,0),0)</f>
        <v>0</v>
      </c>
      <c r="L1036" s="2">
        <f t="shared" si="33"/>
        <v>0</v>
      </c>
    </row>
    <row r="1037" spans="5:12" x14ac:dyDescent="0.35">
      <c r="E1037" s="2"/>
      <c r="F1037" s="2">
        <f>_xlfn.XLOOKUP(D1037,TIPOS_CAMBIO!A:A,TIPOS_CAMBIO!B:B,"",0)</f>
        <v>0</v>
      </c>
      <c r="G1037" s="3">
        <f t="shared" si="32"/>
        <v>0</v>
      </c>
      <c r="H1037" s="3"/>
      <c r="I1037" s="3">
        <f ca="1">IFERROR(_xludf.XLOOKUP("Seguro",PARAMETROS_IMPORTACION!$A:$A,PARAMETROS_IMPORTACION!$C:$C,0),0)</f>
        <v>0</v>
      </c>
      <c r="J1037" s="3">
        <f ca="1">IFERROR(_xludf.XLOOKUP("Arancel",PARAMETROS_IMPORTACION!$A:$A,PARAMETROS_IMPORTACION!$C:$C,0),0)</f>
        <v>0</v>
      </c>
      <c r="K1037" s="2">
        <f ca="1">IFERROR(_xludf.XLOOKUP("Gastos_Aduana",PARAMETROS_IMPORTACION!$A:$A,PARAMETROS_IMPORTACION!$C:$C,0),0)</f>
        <v>0</v>
      </c>
      <c r="L1037" s="2">
        <f t="shared" si="33"/>
        <v>0</v>
      </c>
    </row>
    <row r="1038" spans="5:12" x14ac:dyDescent="0.35">
      <c r="E1038" s="2"/>
      <c r="F1038" s="2">
        <f>_xlfn.XLOOKUP(D1038,TIPOS_CAMBIO!A:A,TIPOS_CAMBIO!B:B,"",0)</f>
        <v>0</v>
      </c>
      <c r="G1038" s="3">
        <f t="shared" si="32"/>
        <v>0</v>
      </c>
      <c r="H1038" s="3"/>
      <c r="I1038" s="3">
        <f ca="1">IFERROR(_xludf.XLOOKUP("Seguro",PARAMETROS_IMPORTACION!$A:$A,PARAMETROS_IMPORTACION!$C:$C,0),0)</f>
        <v>0</v>
      </c>
      <c r="J1038" s="3">
        <f ca="1">IFERROR(_xludf.XLOOKUP("Arancel",PARAMETROS_IMPORTACION!$A:$A,PARAMETROS_IMPORTACION!$C:$C,0),0)</f>
        <v>0</v>
      </c>
      <c r="K1038" s="2">
        <f ca="1">IFERROR(_xludf.XLOOKUP("Gastos_Aduana",PARAMETROS_IMPORTACION!$A:$A,PARAMETROS_IMPORTACION!$C:$C,0),0)</f>
        <v>0</v>
      </c>
      <c r="L1038" s="2">
        <f t="shared" si="33"/>
        <v>0</v>
      </c>
    </row>
    <row r="1039" spans="5:12" x14ac:dyDescent="0.35">
      <c r="E1039" s="2"/>
      <c r="F1039" s="2">
        <f>_xlfn.XLOOKUP(D1039,TIPOS_CAMBIO!A:A,TIPOS_CAMBIO!B:B,"",0)</f>
        <v>0</v>
      </c>
      <c r="G1039" s="3">
        <f t="shared" si="32"/>
        <v>0</v>
      </c>
      <c r="H1039" s="3"/>
      <c r="I1039" s="3">
        <f ca="1">IFERROR(_xludf.XLOOKUP("Seguro",PARAMETROS_IMPORTACION!$A:$A,PARAMETROS_IMPORTACION!$C:$C,0),0)</f>
        <v>0</v>
      </c>
      <c r="J1039" s="3">
        <f ca="1">IFERROR(_xludf.XLOOKUP("Arancel",PARAMETROS_IMPORTACION!$A:$A,PARAMETROS_IMPORTACION!$C:$C,0),0)</f>
        <v>0</v>
      </c>
      <c r="K1039" s="2">
        <f ca="1">IFERROR(_xludf.XLOOKUP("Gastos_Aduana",PARAMETROS_IMPORTACION!$A:$A,PARAMETROS_IMPORTACION!$C:$C,0),0)</f>
        <v>0</v>
      </c>
      <c r="L1039" s="2">
        <f t="shared" si="33"/>
        <v>0</v>
      </c>
    </row>
    <row r="1040" spans="5:12" x14ac:dyDescent="0.35">
      <c r="E1040" s="2"/>
      <c r="F1040" s="2">
        <f>_xlfn.XLOOKUP(D1040,TIPOS_CAMBIO!A:A,TIPOS_CAMBIO!B:B,"",0)</f>
        <v>0</v>
      </c>
      <c r="G1040" s="3">
        <f t="shared" si="32"/>
        <v>0</v>
      </c>
      <c r="H1040" s="3"/>
      <c r="I1040" s="3">
        <f ca="1">IFERROR(_xludf.XLOOKUP("Seguro",PARAMETROS_IMPORTACION!$A:$A,PARAMETROS_IMPORTACION!$C:$C,0),0)</f>
        <v>0</v>
      </c>
      <c r="J1040" s="3">
        <f ca="1">IFERROR(_xludf.XLOOKUP("Arancel",PARAMETROS_IMPORTACION!$A:$A,PARAMETROS_IMPORTACION!$C:$C,0),0)</f>
        <v>0</v>
      </c>
      <c r="K1040" s="2">
        <f ca="1">IFERROR(_xludf.XLOOKUP("Gastos_Aduana",PARAMETROS_IMPORTACION!$A:$A,PARAMETROS_IMPORTACION!$C:$C,0),0)</f>
        <v>0</v>
      </c>
      <c r="L1040" s="2">
        <f t="shared" si="33"/>
        <v>0</v>
      </c>
    </row>
    <row r="1041" spans="5:12" x14ac:dyDescent="0.35">
      <c r="E1041" s="2"/>
      <c r="F1041" s="2">
        <f>_xlfn.XLOOKUP(D1041,TIPOS_CAMBIO!A:A,TIPOS_CAMBIO!B:B,"",0)</f>
        <v>0</v>
      </c>
      <c r="G1041" s="3">
        <f t="shared" si="32"/>
        <v>0</v>
      </c>
      <c r="H1041" s="3"/>
      <c r="I1041" s="3">
        <f ca="1">IFERROR(_xludf.XLOOKUP("Seguro",PARAMETROS_IMPORTACION!$A:$A,PARAMETROS_IMPORTACION!$C:$C,0),0)</f>
        <v>0</v>
      </c>
      <c r="J1041" s="3">
        <f ca="1">IFERROR(_xludf.XLOOKUP("Arancel",PARAMETROS_IMPORTACION!$A:$A,PARAMETROS_IMPORTACION!$C:$C,0),0)</f>
        <v>0</v>
      </c>
      <c r="K1041" s="2">
        <f ca="1">IFERROR(_xludf.XLOOKUP("Gastos_Aduana",PARAMETROS_IMPORTACION!$A:$A,PARAMETROS_IMPORTACION!$C:$C,0),0)</f>
        <v>0</v>
      </c>
      <c r="L1041" s="2">
        <f t="shared" si="33"/>
        <v>0</v>
      </c>
    </row>
    <row r="1042" spans="5:12" x14ac:dyDescent="0.35">
      <c r="E1042" s="2"/>
      <c r="F1042" s="2">
        <f>_xlfn.XLOOKUP(D1042,TIPOS_CAMBIO!A:A,TIPOS_CAMBIO!B:B,"",0)</f>
        <v>0</v>
      </c>
      <c r="G1042" s="3">
        <f t="shared" si="32"/>
        <v>0</v>
      </c>
      <c r="H1042" s="3"/>
      <c r="I1042" s="3">
        <f ca="1">IFERROR(_xludf.XLOOKUP("Seguro",PARAMETROS_IMPORTACION!$A:$A,PARAMETROS_IMPORTACION!$C:$C,0),0)</f>
        <v>0</v>
      </c>
      <c r="J1042" s="3">
        <f ca="1">IFERROR(_xludf.XLOOKUP("Arancel",PARAMETROS_IMPORTACION!$A:$A,PARAMETROS_IMPORTACION!$C:$C,0),0)</f>
        <v>0</v>
      </c>
      <c r="K1042" s="2">
        <f ca="1">IFERROR(_xludf.XLOOKUP("Gastos_Aduana",PARAMETROS_IMPORTACION!$A:$A,PARAMETROS_IMPORTACION!$C:$C,0),0)</f>
        <v>0</v>
      </c>
      <c r="L1042" s="2">
        <f t="shared" si="33"/>
        <v>0</v>
      </c>
    </row>
    <row r="1043" spans="5:12" x14ac:dyDescent="0.35">
      <c r="E1043" s="2"/>
      <c r="F1043" s="2">
        <f>_xlfn.XLOOKUP(D1043,TIPOS_CAMBIO!A:A,TIPOS_CAMBIO!B:B,"",0)</f>
        <v>0</v>
      </c>
      <c r="G1043" s="3">
        <f t="shared" si="32"/>
        <v>0</v>
      </c>
      <c r="H1043" s="3"/>
      <c r="I1043" s="3">
        <f ca="1">IFERROR(_xludf.XLOOKUP("Seguro",PARAMETROS_IMPORTACION!$A:$A,PARAMETROS_IMPORTACION!$C:$C,0),0)</f>
        <v>0</v>
      </c>
      <c r="J1043" s="3">
        <f ca="1">IFERROR(_xludf.XLOOKUP("Arancel",PARAMETROS_IMPORTACION!$A:$A,PARAMETROS_IMPORTACION!$C:$C,0),0)</f>
        <v>0</v>
      </c>
      <c r="K1043" s="2">
        <f ca="1">IFERROR(_xludf.XLOOKUP("Gastos_Aduana",PARAMETROS_IMPORTACION!$A:$A,PARAMETROS_IMPORTACION!$C:$C,0),0)</f>
        <v>0</v>
      </c>
      <c r="L1043" s="2">
        <f t="shared" si="33"/>
        <v>0</v>
      </c>
    </row>
    <row r="1044" spans="5:12" x14ac:dyDescent="0.35">
      <c r="E1044" s="2"/>
      <c r="F1044" s="2">
        <f>_xlfn.XLOOKUP(D1044,TIPOS_CAMBIO!A:A,TIPOS_CAMBIO!B:B,"",0)</f>
        <v>0</v>
      </c>
      <c r="G1044" s="3">
        <f t="shared" si="32"/>
        <v>0</v>
      </c>
      <c r="H1044" s="3"/>
      <c r="I1044" s="3">
        <f ca="1">IFERROR(_xludf.XLOOKUP("Seguro",PARAMETROS_IMPORTACION!$A:$A,PARAMETROS_IMPORTACION!$C:$C,0),0)</f>
        <v>0</v>
      </c>
      <c r="J1044" s="3">
        <f ca="1">IFERROR(_xludf.XLOOKUP("Arancel",PARAMETROS_IMPORTACION!$A:$A,PARAMETROS_IMPORTACION!$C:$C,0),0)</f>
        <v>0</v>
      </c>
      <c r="K1044" s="2">
        <f ca="1">IFERROR(_xludf.XLOOKUP("Gastos_Aduana",PARAMETROS_IMPORTACION!$A:$A,PARAMETROS_IMPORTACION!$C:$C,0),0)</f>
        <v>0</v>
      </c>
      <c r="L1044" s="2">
        <f t="shared" si="33"/>
        <v>0</v>
      </c>
    </row>
    <row r="1045" spans="5:12" x14ac:dyDescent="0.35">
      <c r="E1045" s="2"/>
      <c r="F1045" s="2">
        <f>_xlfn.XLOOKUP(D1045,TIPOS_CAMBIO!A:A,TIPOS_CAMBIO!B:B,"",0)</f>
        <v>0</v>
      </c>
      <c r="G1045" s="3">
        <f t="shared" si="32"/>
        <v>0</v>
      </c>
      <c r="H1045" s="3"/>
      <c r="I1045" s="3">
        <f ca="1">IFERROR(_xludf.XLOOKUP("Seguro",PARAMETROS_IMPORTACION!$A:$A,PARAMETROS_IMPORTACION!$C:$C,0),0)</f>
        <v>0</v>
      </c>
      <c r="J1045" s="3">
        <f ca="1">IFERROR(_xludf.XLOOKUP("Arancel",PARAMETROS_IMPORTACION!$A:$A,PARAMETROS_IMPORTACION!$C:$C,0),0)</f>
        <v>0</v>
      </c>
      <c r="K1045" s="2">
        <f ca="1">IFERROR(_xludf.XLOOKUP("Gastos_Aduana",PARAMETROS_IMPORTACION!$A:$A,PARAMETROS_IMPORTACION!$C:$C,0),0)</f>
        <v>0</v>
      </c>
      <c r="L1045" s="2">
        <f t="shared" si="33"/>
        <v>0</v>
      </c>
    </row>
    <row r="1046" spans="5:12" x14ac:dyDescent="0.35">
      <c r="E1046" s="2"/>
      <c r="F1046" s="2">
        <f>_xlfn.XLOOKUP(D1046,TIPOS_CAMBIO!A:A,TIPOS_CAMBIO!B:B,"",0)</f>
        <v>0</v>
      </c>
      <c r="G1046" s="3">
        <f t="shared" si="32"/>
        <v>0</v>
      </c>
      <c r="H1046" s="3"/>
      <c r="I1046" s="3">
        <f ca="1">IFERROR(_xludf.XLOOKUP("Seguro",PARAMETROS_IMPORTACION!$A:$A,PARAMETROS_IMPORTACION!$C:$C,0),0)</f>
        <v>0</v>
      </c>
      <c r="J1046" s="3">
        <f ca="1">IFERROR(_xludf.XLOOKUP("Arancel",PARAMETROS_IMPORTACION!$A:$A,PARAMETROS_IMPORTACION!$C:$C,0),0)</f>
        <v>0</v>
      </c>
      <c r="K1046" s="2">
        <f ca="1">IFERROR(_xludf.XLOOKUP("Gastos_Aduana",PARAMETROS_IMPORTACION!$A:$A,PARAMETROS_IMPORTACION!$C:$C,0),0)</f>
        <v>0</v>
      </c>
      <c r="L1046" s="2">
        <f t="shared" si="33"/>
        <v>0</v>
      </c>
    </row>
    <row r="1047" spans="5:12" x14ac:dyDescent="0.35">
      <c r="E1047" s="2"/>
      <c r="F1047" s="2">
        <f>_xlfn.XLOOKUP(D1047,TIPOS_CAMBIO!A:A,TIPOS_CAMBIO!B:B,"",0)</f>
        <v>0</v>
      </c>
      <c r="G1047" s="3">
        <f t="shared" si="32"/>
        <v>0</v>
      </c>
      <c r="H1047" s="3"/>
      <c r="I1047" s="3">
        <f ca="1">IFERROR(_xludf.XLOOKUP("Seguro",PARAMETROS_IMPORTACION!$A:$A,PARAMETROS_IMPORTACION!$C:$C,0),0)</f>
        <v>0</v>
      </c>
      <c r="J1047" s="3">
        <f ca="1">IFERROR(_xludf.XLOOKUP("Arancel",PARAMETROS_IMPORTACION!$A:$A,PARAMETROS_IMPORTACION!$C:$C,0),0)</f>
        <v>0</v>
      </c>
      <c r="K1047" s="2">
        <f ca="1">IFERROR(_xludf.XLOOKUP("Gastos_Aduana",PARAMETROS_IMPORTACION!$A:$A,PARAMETROS_IMPORTACION!$C:$C,0),0)</f>
        <v>0</v>
      </c>
      <c r="L1047" s="2">
        <f t="shared" si="33"/>
        <v>0</v>
      </c>
    </row>
    <row r="1048" spans="5:12" x14ac:dyDescent="0.35">
      <c r="E1048" s="2"/>
      <c r="F1048" s="2">
        <f>_xlfn.XLOOKUP(D1048,TIPOS_CAMBIO!A:A,TIPOS_CAMBIO!B:B,"",0)</f>
        <v>0</v>
      </c>
      <c r="G1048" s="3">
        <f t="shared" si="32"/>
        <v>0</v>
      </c>
      <c r="H1048" s="3"/>
      <c r="I1048" s="3">
        <f ca="1">IFERROR(_xludf.XLOOKUP("Seguro",PARAMETROS_IMPORTACION!$A:$A,PARAMETROS_IMPORTACION!$C:$C,0),0)</f>
        <v>0</v>
      </c>
      <c r="J1048" s="3">
        <f ca="1">IFERROR(_xludf.XLOOKUP("Arancel",PARAMETROS_IMPORTACION!$A:$A,PARAMETROS_IMPORTACION!$C:$C,0),0)</f>
        <v>0</v>
      </c>
      <c r="K1048" s="2">
        <f ca="1">IFERROR(_xludf.XLOOKUP("Gastos_Aduana",PARAMETROS_IMPORTACION!$A:$A,PARAMETROS_IMPORTACION!$C:$C,0),0)</f>
        <v>0</v>
      </c>
      <c r="L1048" s="2">
        <f t="shared" si="33"/>
        <v>0</v>
      </c>
    </row>
    <row r="1049" spans="5:12" x14ac:dyDescent="0.35">
      <c r="E1049" s="2"/>
      <c r="F1049" s="2">
        <f>_xlfn.XLOOKUP(D1049,TIPOS_CAMBIO!A:A,TIPOS_CAMBIO!B:B,"",0)</f>
        <v>0</v>
      </c>
      <c r="G1049" s="3">
        <f t="shared" si="32"/>
        <v>0</v>
      </c>
      <c r="H1049" s="3"/>
      <c r="I1049" s="3">
        <f ca="1">IFERROR(_xludf.XLOOKUP("Seguro",PARAMETROS_IMPORTACION!$A:$A,PARAMETROS_IMPORTACION!$C:$C,0),0)</f>
        <v>0</v>
      </c>
      <c r="J1049" s="3">
        <f ca="1">IFERROR(_xludf.XLOOKUP("Arancel",PARAMETROS_IMPORTACION!$A:$A,PARAMETROS_IMPORTACION!$C:$C,0),0)</f>
        <v>0</v>
      </c>
      <c r="K1049" s="2">
        <f ca="1">IFERROR(_xludf.XLOOKUP("Gastos_Aduana",PARAMETROS_IMPORTACION!$A:$A,PARAMETROS_IMPORTACION!$C:$C,0),0)</f>
        <v>0</v>
      </c>
      <c r="L1049" s="2">
        <f t="shared" si="33"/>
        <v>0</v>
      </c>
    </row>
    <row r="1050" spans="5:12" x14ac:dyDescent="0.35">
      <c r="E1050" s="2"/>
      <c r="F1050" s="2">
        <f>_xlfn.XLOOKUP(D1050,TIPOS_CAMBIO!A:A,TIPOS_CAMBIO!B:B,"",0)</f>
        <v>0</v>
      </c>
      <c r="G1050" s="3">
        <f t="shared" si="32"/>
        <v>0</v>
      </c>
      <c r="H1050" s="3"/>
      <c r="I1050" s="3">
        <f ca="1">IFERROR(_xludf.XLOOKUP("Seguro",PARAMETROS_IMPORTACION!$A:$A,PARAMETROS_IMPORTACION!$C:$C,0),0)</f>
        <v>0</v>
      </c>
      <c r="J1050" s="3">
        <f ca="1">IFERROR(_xludf.XLOOKUP("Arancel",PARAMETROS_IMPORTACION!$A:$A,PARAMETROS_IMPORTACION!$C:$C,0),0)</f>
        <v>0</v>
      </c>
      <c r="K1050" s="2">
        <f ca="1">IFERROR(_xludf.XLOOKUP("Gastos_Aduana",PARAMETROS_IMPORTACION!$A:$A,PARAMETROS_IMPORTACION!$C:$C,0),0)</f>
        <v>0</v>
      </c>
      <c r="L1050" s="2">
        <f t="shared" si="33"/>
        <v>0</v>
      </c>
    </row>
    <row r="1051" spans="5:12" x14ac:dyDescent="0.35">
      <c r="E1051" s="2"/>
      <c r="F1051" s="2">
        <f>_xlfn.XLOOKUP(D1051,TIPOS_CAMBIO!A:A,TIPOS_CAMBIO!B:B,"",0)</f>
        <v>0</v>
      </c>
      <c r="G1051" s="3">
        <f t="shared" si="32"/>
        <v>0</v>
      </c>
      <c r="H1051" s="3"/>
      <c r="I1051" s="3">
        <f ca="1">IFERROR(_xludf.XLOOKUP("Seguro",PARAMETROS_IMPORTACION!$A:$A,PARAMETROS_IMPORTACION!$C:$C,0),0)</f>
        <v>0</v>
      </c>
      <c r="J1051" s="3">
        <f ca="1">IFERROR(_xludf.XLOOKUP("Arancel",PARAMETROS_IMPORTACION!$A:$A,PARAMETROS_IMPORTACION!$C:$C,0),0)</f>
        <v>0</v>
      </c>
      <c r="K1051" s="2">
        <f ca="1">IFERROR(_xludf.XLOOKUP("Gastos_Aduana",PARAMETROS_IMPORTACION!$A:$A,PARAMETROS_IMPORTACION!$C:$C,0),0)</f>
        <v>0</v>
      </c>
      <c r="L1051" s="2">
        <f t="shared" si="33"/>
        <v>0</v>
      </c>
    </row>
    <row r="1052" spans="5:12" x14ac:dyDescent="0.35">
      <c r="E1052" s="2"/>
      <c r="F1052" s="2">
        <f>_xlfn.XLOOKUP(D1052,TIPOS_CAMBIO!A:A,TIPOS_CAMBIO!B:B,"",0)</f>
        <v>0</v>
      </c>
      <c r="G1052" s="3">
        <f t="shared" si="32"/>
        <v>0</v>
      </c>
      <c r="H1052" s="3"/>
      <c r="I1052" s="3">
        <f ca="1">IFERROR(_xludf.XLOOKUP("Seguro",PARAMETROS_IMPORTACION!$A:$A,PARAMETROS_IMPORTACION!$C:$C,0),0)</f>
        <v>0</v>
      </c>
      <c r="J1052" s="3">
        <f ca="1">IFERROR(_xludf.XLOOKUP("Arancel",PARAMETROS_IMPORTACION!$A:$A,PARAMETROS_IMPORTACION!$C:$C,0),0)</f>
        <v>0</v>
      </c>
      <c r="K1052" s="2">
        <f ca="1">IFERROR(_xludf.XLOOKUP("Gastos_Aduana",PARAMETROS_IMPORTACION!$A:$A,PARAMETROS_IMPORTACION!$C:$C,0),0)</f>
        <v>0</v>
      </c>
      <c r="L1052" s="2">
        <f t="shared" si="33"/>
        <v>0</v>
      </c>
    </row>
    <row r="1053" spans="5:12" x14ac:dyDescent="0.35">
      <c r="E1053" s="2"/>
      <c r="F1053" s="2">
        <f>_xlfn.XLOOKUP(D1053,TIPOS_CAMBIO!A:A,TIPOS_CAMBIO!B:B,"",0)</f>
        <v>0</v>
      </c>
      <c r="G1053" s="3">
        <f t="shared" si="32"/>
        <v>0</v>
      </c>
      <c r="H1053" s="3"/>
      <c r="I1053" s="3">
        <f ca="1">IFERROR(_xludf.XLOOKUP("Seguro",PARAMETROS_IMPORTACION!$A:$A,PARAMETROS_IMPORTACION!$C:$C,0),0)</f>
        <v>0</v>
      </c>
      <c r="J1053" s="3">
        <f ca="1">IFERROR(_xludf.XLOOKUP("Arancel",PARAMETROS_IMPORTACION!$A:$A,PARAMETROS_IMPORTACION!$C:$C,0),0)</f>
        <v>0</v>
      </c>
      <c r="K1053" s="2">
        <f ca="1">IFERROR(_xludf.XLOOKUP("Gastos_Aduana",PARAMETROS_IMPORTACION!$A:$A,PARAMETROS_IMPORTACION!$C:$C,0),0)</f>
        <v>0</v>
      </c>
      <c r="L1053" s="2">
        <f t="shared" si="33"/>
        <v>0</v>
      </c>
    </row>
    <row r="1054" spans="5:12" x14ac:dyDescent="0.35">
      <c r="E1054" s="2"/>
      <c r="F1054" s="2">
        <f>_xlfn.XLOOKUP(D1054,TIPOS_CAMBIO!A:A,TIPOS_CAMBIO!B:B,"",0)</f>
        <v>0</v>
      </c>
      <c r="G1054" s="3">
        <f t="shared" si="32"/>
        <v>0</v>
      </c>
      <c r="H1054" s="3"/>
      <c r="I1054" s="3">
        <f ca="1">IFERROR(_xludf.XLOOKUP("Seguro",PARAMETROS_IMPORTACION!$A:$A,PARAMETROS_IMPORTACION!$C:$C,0),0)</f>
        <v>0</v>
      </c>
      <c r="J1054" s="3">
        <f ca="1">IFERROR(_xludf.XLOOKUP("Arancel",PARAMETROS_IMPORTACION!$A:$A,PARAMETROS_IMPORTACION!$C:$C,0),0)</f>
        <v>0</v>
      </c>
      <c r="K1054" s="2">
        <f ca="1">IFERROR(_xludf.XLOOKUP("Gastos_Aduana",PARAMETROS_IMPORTACION!$A:$A,PARAMETROS_IMPORTACION!$C:$C,0),0)</f>
        <v>0</v>
      </c>
      <c r="L1054" s="2">
        <f t="shared" si="33"/>
        <v>0</v>
      </c>
    </row>
    <row r="1055" spans="5:12" x14ac:dyDescent="0.35">
      <c r="E1055" s="2"/>
      <c r="F1055" s="2">
        <f>_xlfn.XLOOKUP(D1055,TIPOS_CAMBIO!A:A,TIPOS_CAMBIO!B:B,"",0)</f>
        <v>0</v>
      </c>
      <c r="G1055" s="3">
        <f t="shared" si="32"/>
        <v>0</v>
      </c>
      <c r="H1055" s="3"/>
      <c r="I1055" s="3">
        <f ca="1">IFERROR(_xludf.XLOOKUP("Seguro",PARAMETROS_IMPORTACION!$A:$A,PARAMETROS_IMPORTACION!$C:$C,0),0)</f>
        <v>0</v>
      </c>
      <c r="J1055" s="3">
        <f ca="1">IFERROR(_xludf.XLOOKUP("Arancel",PARAMETROS_IMPORTACION!$A:$A,PARAMETROS_IMPORTACION!$C:$C,0),0)</f>
        <v>0</v>
      </c>
      <c r="K1055" s="2">
        <f ca="1">IFERROR(_xludf.XLOOKUP("Gastos_Aduana",PARAMETROS_IMPORTACION!$A:$A,PARAMETROS_IMPORTACION!$C:$C,0),0)</f>
        <v>0</v>
      </c>
      <c r="L1055" s="2">
        <f t="shared" si="33"/>
        <v>0</v>
      </c>
    </row>
    <row r="1056" spans="5:12" x14ac:dyDescent="0.35">
      <c r="E1056" s="2"/>
      <c r="F1056" s="2">
        <f>_xlfn.XLOOKUP(D1056,TIPOS_CAMBIO!A:A,TIPOS_CAMBIO!B:B,"",0)</f>
        <v>0</v>
      </c>
      <c r="G1056" s="3">
        <f t="shared" si="32"/>
        <v>0</v>
      </c>
      <c r="H1056" s="3"/>
      <c r="I1056" s="3">
        <f ca="1">IFERROR(_xludf.XLOOKUP("Seguro",PARAMETROS_IMPORTACION!$A:$A,PARAMETROS_IMPORTACION!$C:$C,0),0)</f>
        <v>0</v>
      </c>
      <c r="J1056" s="3">
        <f ca="1">IFERROR(_xludf.XLOOKUP("Arancel",PARAMETROS_IMPORTACION!$A:$A,PARAMETROS_IMPORTACION!$C:$C,0),0)</f>
        <v>0</v>
      </c>
      <c r="K1056" s="2">
        <f ca="1">IFERROR(_xludf.XLOOKUP("Gastos_Aduana",PARAMETROS_IMPORTACION!$A:$A,PARAMETROS_IMPORTACION!$C:$C,0),0)</f>
        <v>0</v>
      </c>
      <c r="L1056" s="2">
        <f t="shared" si="33"/>
        <v>0</v>
      </c>
    </row>
    <row r="1057" spans="5:12" x14ac:dyDescent="0.35">
      <c r="E1057" s="2"/>
      <c r="F1057" s="2">
        <f>_xlfn.XLOOKUP(D1057,TIPOS_CAMBIO!A:A,TIPOS_CAMBIO!B:B,"",0)</f>
        <v>0</v>
      </c>
      <c r="G1057" s="3">
        <f t="shared" si="32"/>
        <v>0</v>
      </c>
      <c r="H1057" s="3"/>
      <c r="I1057" s="3">
        <f ca="1">IFERROR(_xludf.XLOOKUP("Seguro",PARAMETROS_IMPORTACION!$A:$A,PARAMETROS_IMPORTACION!$C:$C,0),0)</f>
        <v>0</v>
      </c>
      <c r="J1057" s="3">
        <f ca="1">IFERROR(_xludf.XLOOKUP("Arancel",PARAMETROS_IMPORTACION!$A:$A,PARAMETROS_IMPORTACION!$C:$C,0),0)</f>
        <v>0</v>
      </c>
      <c r="K1057" s="2">
        <f ca="1">IFERROR(_xludf.XLOOKUP("Gastos_Aduana",PARAMETROS_IMPORTACION!$A:$A,PARAMETROS_IMPORTACION!$C:$C,0),0)</f>
        <v>0</v>
      </c>
      <c r="L1057" s="2">
        <f t="shared" si="33"/>
        <v>0</v>
      </c>
    </row>
    <row r="1058" spans="5:12" x14ac:dyDescent="0.35">
      <c r="E1058" s="2"/>
      <c r="F1058" s="2">
        <f>_xlfn.XLOOKUP(D1058,TIPOS_CAMBIO!A:A,TIPOS_CAMBIO!B:B,"",0)</f>
        <v>0</v>
      </c>
      <c r="G1058" s="3">
        <f t="shared" si="32"/>
        <v>0</v>
      </c>
      <c r="H1058" s="3"/>
      <c r="I1058" s="3">
        <f ca="1">IFERROR(_xludf.XLOOKUP("Seguro",PARAMETROS_IMPORTACION!$A:$A,PARAMETROS_IMPORTACION!$C:$C,0),0)</f>
        <v>0</v>
      </c>
      <c r="J1058" s="3">
        <f ca="1">IFERROR(_xludf.XLOOKUP("Arancel",PARAMETROS_IMPORTACION!$A:$A,PARAMETROS_IMPORTACION!$C:$C,0),0)</f>
        <v>0</v>
      </c>
      <c r="K1058" s="2">
        <f ca="1">IFERROR(_xludf.XLOOKUP("Gastos_Aduana",PARAMETROS_IMPORTACION!$A:$A,PARAMETROS_IMPORTACION!$C:$C,0),0)</f>
        <v>0</v>
      </c>
      <c r="L1058" s="2">
        <f t="shared" si="33"/>
        <v>0</v>
      </c>
    </row>
    <row r="1059" spans="5:12" x14ac:dyDescent="0.35">
      <c r="E1059" s="2"/>
      <c r="F1059" s="2">
        <f>_xlfn.XLOOKUP(D1059,TIPOS_CAMBIO!A:A,TIPOS_CAMBIO!B:B,"",0)</f>
        <v>0</v>
      </c>
      <c r="G1059" s="3">
        <f t="shared" si="32"/>
        <v>0</v>
      </c>
      <c r="H1059" s="3"/>
      <c r="I1059" s="3">
        <f ca="1">IFERROR(_xludf.XLOOKUP("Seguro",PARAMETROS_IMPORTACION!$A:$A,PARAMETROS_IMPORTACION!$C:$C,0),0)</f>
        <v>0</v>
      </c>
      <c r="J1059" s="3">
        <f ca="1">IFERROR(_xludf.XLOOKUP("Arancel",PARAMETROS_IMPORTACION!$A:$A,PARAMETROS_IMPORTACION!$C:$C,0),0)</f>
        <v>0</v>
      </c>
      <c r="K1059" s="2">
        <f ca="1">IFERROR(_xludf.XLOOKUP("Gastos_Aduana",PARAMETROS_IMPORTACION!$A:$A,PARAMETROS_IMPORTACION!$C:$C,0),0)</f>
        <v>0</v>
      </c>
      <c r="L1059" s="2">
        <f t="shared" si="33"/>
        <v>0</v>
      </c>
    </row>
    <row r="1060" spans="5:12" x14ac:dyDescent="0.35">
      <c r="E1060" s="2"/>
      <c r="F1060" s="2">
        <f>_xlfn.XLOOKUP(D1060,TIPOS_CAMBIO!A:A,TIPOS_CAMBIO!B:B,"",0)</f>
        <v>0</v>
      </c>
      <c r="G1060" s="3">
        <f t="shared" si="32"/>
        <v>0</v>
      </c>
      <c r="H1060" s="3"/>
      <c r="I1060" s="3">
        <f ca="1">IFERROR(_xludf.XLOOKUP("Seguro",PARAMETROS_IMPORTACION!$A:$A,PARAMETROS_IMPORTACION!$C:$C,0),0)</f>
        <v>0</v>
      </c>
      <c r="J1060" s="3">
        <f ca="1">IFERROR(_xludf.XLOOKUP("Arancel",PARAMETROS_IMPORTACION!$A:$A,PARAMETROS_IMPORTACION!$C:$C,0),0)</f>
        <v>0</v>
      </c>
      <c r="K1060" s="2">
        <f ca="1">IFERROR(_xludf.XLOOKUP("Gastos_Aduana",PARAMETROS_IMPORTACION!$A:$A,PARAMETROS_IMPORTACION!$C:$C,0),0)</f>
        <v>0</v>
      </c>
      <c r="L1060" s="2">
        <f t="shared" si="33"/>
        <v>0</v>
      </c>
    </row>
    <row r="1061" spans="5:12" x14ac:dyDescent="0.35">
      <c r="E1061" s="2"/>
      <c r="F1061" s="2">
        <f>_xlfn.XLOOKUP(D1061,TIPOS_CAMBIO!A:A,TIPOS_CAMBIO!B:B,"",0)</f>
        <v>0</v>
      </c>
      <c r="G1061" s="3">
        <f t="shared" si="32"/>
        <v>0</v>
      </c>
      <c r="H1061" s="3"/>
      <c r="I1061" s="3">
        <f ca="1">IFERROR(_xludf.XLOOKUP("Seguro",PARAMETROS_IMPORTACION!$A:$A,PARAMETROS_IMPORTACION!$C:$C,0),0)</f>
        <v>0</v>
      </c>
      <c r="J1061" s="3">
        <f ca="1">IFERROR(_xludf.XLOOKUP("Arancel",PARAMETROS_IMPORTACION!$A:$A,PARAMETROS_IMPORTACION!$C:$C,0),0)</f>
        <v>0</v>
      </c>
      <c r="K1061" s="2">
        <f ca="1">IFERROR(_xludf.XLOOKUP("Gastos_Aduana",PARAMETROS_IMPORTACION!$A:$A,PARAMETROS_IMPORTACION!$C:$C,0),0)</f>
        <v>0</v>
      </c>
      <c r="L1061" s="2">
        <f t="shared" si="33"/>
        <v>0</v>
      </c>
    </row>
    <row r="1062" spans="5:12" x14ac:dyDescent="0.35">
      <c r="E1062" s="2"/>
      <c r="F1062" s="2">
        <f>_xlfn.XLOOKUP(D1062,TIPOS_CAMBIO!A:A,TIPOS_CAMBIO!B:B,"",0)</f>
        <v>0</v>
      </c>
      <c r="G1062" s="3">
        <f t="shared" si="32"/>
        <v>0</v>
      </c>
      <c r="H1062" s="3"/>
      <c r="I1062" s="3">
        <f ca="1">IFERROR(_xludf.XLOOKUP("Seguro",PARAMETROS_IMPORTACION!$A:$A,PARAMETROS_IMPORTACION!$C:$C,0),0)</f>
        <v>0</v>
      </c>
      <c r="J1062" s="3">
        <f ca="1">IFERROR(_xludf.XLOOKUP("Arancel",PARAMETROS_IMPORTACION!$A:$A,PARAMETROS_IMPORTACION!$C:$C,0),0)</f>
        <v>0</v>
      </c>
      <c r="K1062" s="2">
        <f ca="1">IFERROR(_xludf.XLOOKUP("Gastos_Aduana",PARAMETROS_IMPORTACION!$A:$A,PARAMETROS_IMPORTACION!$C:$C,0),0)</f>
        <v>0</v>
      </c>
      <c r="L1062" s="2">
        <f t="shared" si="33"/>
        <v>0</v>
      </c>
    </row>
    <row r="1063" spans="5:12" x14ac:dyDescent="0.35">
      <c r="E1063" s="2"/>
      <c r="F1063" s="2">
        <f>_xlfn.XLOOKUP(D1063,TIPOS_CAMBIO!A:A,TIPOS_CAMBIO!B:B,"",0)</f>
        <v>0</v>
      </c>
      <c r="G1063" s="3">
        <f t="shared" si="32"/>
        <v>0</v>
      </c>
      <c r="H1063" s="3"/>
      <c r="I1063" s="3">
        <f ca="1">IFERROR(_xludf.XLOOKUP("Seguro",PARAMETROS_IMPORTACION!$A:$A,PARAMETROS_IMPORTACION!$C:$C,0),0)</f>
        <v>0</v>
      </c>
      <c r="J1063" s="3">
        <f ca="1">IFERROR(_xludf.XLOOKUP("Arancel",PARAMETROS_IMPORTACION!$A:$A,PARAMETROS_IMPORTACION!$C:$C,0),0)</f>
        <v>0</v>
      </c>
      <c r="K1063" s="2">
        <f ca="1">IFERROR(_xludf.XLOOKUP("Gastos_Aduana",PARAMETROS_IMPORTACION!$A:$A,PARAMETROS_IMPORTACION!$C:$C,0),0)</f>
        <v>0</v>
      </c>
      <c r="L1063" s="2">
        <f t="shared" si="33"/>
        <v>0</v>
      </c>
    </row>
    <row r="1064" spans="5:12" x14ac:dyDescent="0.35">
      <c r="E1064" s="2"/>
      <c r="F1064" s="2">
        <f>_xlfn.XLOOKUP(D1064,TIPOS_CAMBIO!A:A,TIPOS_CAMBIO!B:B,"",0)</f>
        <v>0</v>
      </c>
      <c r="G1064" s="3">
        <f t="shared" si="32"/>
        <v>0</v>
      </c>
      <c r="H1064" s="3"/>
      <c r="I1064" s="3">
        <f ca="1">IFERROR(_xludf.XLOOKUP("Seguro",PARAMETROS_IMPORTACION!$A:$A,PARAMETROS_IMPORTACION!$C:$C,0),0)</f>
        <v>0</v>
      </c>
      <c r="J1064" s="3">
        <f ca="1">IFERROR(_xludf.XLOOKUP("Arancel",PARAMETROS_IMPORTACION!$A:$A,PARAMETROS_IMPORTACION!$C:$C,0),0)</f>
        <v>0</v>
      </c>
      <c r="K1064" s="2">
        <f ca="1">IFERROR(_xludf.XLOOKUP("Gastos_Aduana",PARAMETROS_IMPORTACION!$A:$A,PARAMETROS_IMPORTACION!$C:$C,0),0)</f>
        <v>0</v>
      </c>
      <c r="L1064" s="2">
        <f t="shared" si="33"/>
        <v>0</v>
      </c>
    </row>
    <row r="1065" spans="5:12" x14ac:dyDescent="0.35">
      <c r="E1065" s="2"/>
      <c r="F1065" s="2">
        <f>_xlfn.XLOOKUP(D1065,TIPOS_CAMBIO!A:A,TIPOS_CAMBIO!B:B,"",0)</f>
        <v>0</v>
      </c>
      <c r="G1065" s="3">
        <f t="shared" si="32"/>
        <v>0</v>
      </c>
      <c r="H1065" s="3"/>
      <c r="I1065" s="3">
        <f ca="1">IFERROR(_xludf.XLOOKUP("Seguro",PARAMETROS_IMPORTACION!$A:$A,PARAMETROS_IMPORTACION!$C:$C,0),0)</f>
        <v>0</v>
      </c>
      <c r="J1065" s="3">
        <f ca="1">IFERROR(_xludf.XLOOKUP("Arancel",PARAMETROS_IMPORTACION!$A:$A,PARAMETROS_IMPORTACION!$C:$C,0),0)</f>
        <v>0</v>
      </c>
      <c r="K1065" s="2">
        <f ca="1">IFERROR(_xludf.XLOOKUP("Gastos_Aduana",PARAMETROS_IMPORTACION!$A:$A,PARAMETROS_IMPORTACION!$C:$C,0),0)</f>
        <v>0</v>
      </c>
      <c r="L1065" s="2">
        <f t="shared" si="33"/>
        <v>0</v>
      </c>
    </row>
    <row r="1066" spans="5:12" x14ac:dyDescent="0.35">
      <c r="E1066" s="2"/>
      <c r="F1066" s="2">
        <f>_xlfn.XLOOKUP(D1066,TIPOS_CAMBIO!A:A,TIPOS_CAMBIO!B:B,"",0)</f>
        <v>0</v>
      </c>
      <c r="G1066" s="3">
        <f t="shared" si="32"/>
        <v>0</v>
      </c>
      <c r="H1066" s="3"/>
      <c r="I1066" s="3">
        <f ca="1">IFERROR(_xludf.XLOOKUP("Seguro",PARAMETROS_IMPORTACION!$A:$A,PARAMETROS_IMPORTACION!$C:$C,0),0)</f>
        <v>0</v>
      </c>
      <c r="J1066" s="3">
        <f ca="1">IFERROR(_xludf.XLOOKUP("Arancel",PARAMETROS_IMPORTACION!$A:$A,PARAMETROS_IMPORTACION!$C:$C,0),0)</f>
        <v>0</v>
      </c>
      <c r="K1066" s="2">
        <f ca="1">IFERROR(_xludf.XLOOKUP("Gastos_Aduana",PARAMETROS_IMPORTACION!$A:$A,PARAMETROS_IMPORTACION!$C:$C,0),0)</f>
        <v>0</v>
      </c>
      <c r="L1066" s="2">
        <f t="shared" si="33"/>
        <v>0</v>
      </c>
    </row>
    <row r="1067" spans="5:12" x14ac:dyDescent="0.35">
      <c r="E1067" s="2"/>
      <c r="F1067" s="2">
        <f>_xlfn.XLOOKUP(D1067,TIPOS_CAMBIO!A:A,TIPOS_CAMBIO!B:B,"",0)</f>
        <v>0</v>
      </c>
      <c r="G1067" s="3">
        <f t="shared" si="32"/>
        <v>0</v>
      </c>
      <c r="H1067" s="3"/>
      <c r="I1067" s="3">
        <f ca="1">IFERROR(_xludf.XLOOKUP("Seguro",PARAMETROS_IMPORTACION!$A:$A,PARAMETROS_IMPORTACION!$C:$C,0),0)</f>
        <v>0</v>
      </c>
      <c r="J1067" s="3">
        <f ca="1">IFERROR(_xludf.XLOOKUP("Arancel",PARAMETROS_IMPORTACION!$A:$A,PARAMETROS_IMPORTACION!$C:$C,0),0)</f>
        <v>0</v>
      </c>
      <c r="K1067" s="2">
        <f ca="1">IFERROR(_xludf.XLOOKUP("Gastos_Aduana",PARAMETROS_IMPORTACION!$A:$A,PARAMETROS_IMPORTACION!$C:$C,0),0)</f>
        <v>0</v>
      </c>
      <c r="L1067" s="2">
        <f t="shared" si="33"/>
        <v>0</v>
      </c>
    </row>
    <row r="1068" spans="5:12" x14ac:dyDescent="0.35">
      <c r="E1068" s="2"/>
      <c r="F1068" s="2">
        <f>_xlfn.XLOOKUP(D1068,TIPOS_CAMBIO!A:A,TIPOS_CAMBIO!B:B,"",0)</f>
        <v>0</v>
      </c>
      <c r="G1068" s="3">
        <f t="shared" si="32"/>
        <v>0</v>
      </c>
      <c r="H1068" s="3"/>
      <c r="I1068" s="3">
        <f ca="1">IFERROR(_xludf.XLOOKUP("Seguro",PARAMETROS_IMPORTACION!$A:$A,PARAMETROS_IMPORTACION!$C:$C,0),0)</f>
        <v>0</v>
      </c>
      <c r="J1068" s="3">
        <f ca="1">IFERROR(_xludf.XLOOKUP("Arancel",PARAMETROS_IMPORTACION!$A:$A,PARAMETROS_IMPORTACION!$C:$C,0),0)</f>
        <v>0</v>
      </c>
      <c r="K1068" s="2">
        <f ca="1">IFERROR(_xludf.XLOOKUP("Gastos_Aduana",PARAMETROS_IMPORTACION!$A:$A,PARAMETROS_IMPORTACION!$C:$C,0),0)</f>
        <v>0</v>
      </c>
      <c r="L1068" s="2">
        <f t="shared" si="33"/>
        <v>0</v>
      </c>
    </row>
    <row r="1069" spans="5:12" x14ac:dyDescent="0.35">
      <c r="E1069" s="2"/>
      <c r="F1069" s="2">
        <f>_xlfn.XLOOKUP(D1069,TIPOS_CAMBIO!A:A,TIPOS_CAMBIO!B:B,"",0)</f>
        <v>0</v>
      </c>
      <c r="G1069" s="3">
        <f t="shared" si="32"/>
        <v>0</v>
      </c>
      <c r="H1069" s="3"/>
      <c r="I1069" s="3">
        <f ca="1">IFERROR(_xludf.XLOOKUP("Seguro",PARAMETROS_IMPORTACION!$A:$A,PARAMETROS_IMPORTACION!$C:$C,0),0)</f>
        <v>0</v>
      </c>
      <c r="J1069" s="3">
        <f ca="1">IFERROR(_xludf.XLOOKUP("Arancel",PARAMETROS_IMPORTACION!$A:$A,PARAMETROS_IMPORTACION!$C:$C,0),0)</f>
        <v>0</v>
      </c>
      <c r="K1069" s="2">
        <f ca="1">IFERROR(_xludf.XLOOKUP("Gastos_Aduana",PARAMETROS_IMPORTACION!$A:$A,PARAMETROS_IMPORTACION!$C:$C,0),0)</f>
        <v>0</v>
      </c>
      <c r="L1069" s="2">
        <f t="shared" si="33"/>
        <v>0</v>
      </c>
    </row>
    <row r="1070" spans="5:12" x14ac:dyDescent="0.35">
      <c r="E1070" s="2"/>
      <c r="F1070" s="2">
        <f>_xlfn.XLOOKUP(D1070,TIPOS_CAMBIO!A:A,TIPOS_CAMBIO!B:B,"",0)</f>
        <v>0</v>
      </c>
      <c r="G1070" s="3">
        <f t="shared" si="32"/>
        <v>0</v>
      </c>
      <c r="H1070" s="3"/>
      <c r="I1070" s="3">
        <f ca="1">IFERROR(_xludf.XLOOKUP("Seguro",PARAMETROS_IMPORTACION!$A:$A,PARAMETROS_IMPORTACION!$C:$C,0),0)</f>
        <v>0</v>
      </c>
      <c r="J1070" s="3">
        <f ca="1">IFERROR(_xludf.XLOOKUP("Arancel",PARAMETROS_IMPORTACION!$A:$A,PARAMETROS_IMPORTACION!$C:$C,0),0)</f>
        <v>0</v>
      </c>
      <c r="K1070" s="2">
        <f ca="1">IFERROR(_xludf.XLOOKUP("Gastos_Aduana",PARAMETROS_IMPORTACION!$A:$A,PARAMETROS_IMPORTACION!$C:$C,0),0)</f>
        <v>0</v>
      </c>
      <c r="L1070" s="2">
        <f t="shared" si="33"/>
        <v>0</v>
      </c>
    </row>
    <row r="1071" spans="5:12" x14ac:dyDescent="0.35">
      <c r="E1071" s="2"/>
      <c r="F1071" s="2">
        <f>_xlfn.XLOOKUP(D1071,TIPOS_CAMBIO!A:A,TIPOS_CAMBIO!B:B,"",0)</f>
        <v>0</v>
      </c>
      <c r="G1071" s="3">
        <f t="shared" si="32"/>
        <v>0</v>
      </c>
      <c r="H1071" s="3"/>
      <c r="I1071" s="3">
        <f ca="1">IFERROR(_xludf.XLOOKUP("Seguro",PARAMETROS_IMPORTACION!$A:$A,PARAMETROS_IMPORTACION!$C:$C,0),0)</f>
        <v>0</v>
      </c>
      <c r="J1071" s="3">
        <f ca="1">IFERROR(_xludf.XLOOKUP("Arancel",PARAMETROS_IMPORTACION!$A:$A,PARAMETROS_IMPORTACION!$C:$C,0),0)</f>
        <v>0</v>
      </c>
      <c r="K1071" s="2">
        <f ca="1">IFERROR(_xludf.XLOOKUP("Gastos_Aduana",PARAMETROS_IMPORTACION!$A:$A,PARAMETROS_IMPORTACION!$C:$C,0),0)</f>
        <v>0</v>
      </c>
      <c r="L1071" s="2">
        <f t="shared" si="33"/>
        <v>0</v>
      </c>
    </row>
    <row r="1072" spans="5:12" x14ac:dyDescent="0.35">
      <c r="E1072" s="2"/>
      <c r="F1072" s="2">
        <f>_xlfn.XLOOKUP(D1072,TIPOS_CAMBIO!A:A,TIPOS_CAMBIO!B:B,"",0)</f>
        <v>0</v>
      </c>
      <c r="G1072" s="3">
        <f t="shared" si="32"/>
        <v>0</v>
      </c>
      <c r="H1072" s="3"/>
      <c r="I1072" s="3">
        <f ca="1">IFERROR(_xludf.XLOOKUP("Seguro",PARAMETROS_IMPORTACION!$A:$A,PARAMETROS_IMPORTACION!$C:$C,0),0)</f>
        <v>0</v>
      </c>
      <c r="J1072" s="3">
        <f ca="1">IFERROR(_xludf.XLOOKUP("Arancel",PARAMETROS_IMPORTACION!$A:$A,PARAMETROS_IMPORTACION!$C:$C,0),0)</f>
        <v>0</v>
      </c>
      <c r="K1072" s="2">
        <f ca="1">IFERROR(_xludf.XLOOKUP("Gastos_Aduana",PARAMETROS_IMPORTACION!$A:$A,PARAMETROS_IMPORTACION!$C:$C,0),0)</f>
        <v>0</v>
      </c>
      <c r="L1072" s="2">
        <f t="shared" si="33"/>
        <v>0</v>
      </c>
    </row>
    <row r="1073" spans="5:12" x14ac:dyDescent="0.35">
      <c r="E1073" s="2"/>
      <c r="F1073" s="2">
        <f>_xlfn.XLOOKUP(D1073,TIPOS_CAMBIO!A:A,TIPOS_CAMBIO!B:B,"",0)</f>
        <v>0</v>
      </c>
      <c r="G1073" s="3">
        <f t="shared" si="32"/>
        <v>0</v>
      </c>
      <c r="H1073" s="3"/>
      <c r="I1073" s="3">
        <f ca="1">IFERROR(_xludf.XLOOKUP("Seguro",PARAMETROS_IMPORTACION!$A:$A,PARAMETROS_IMPORTACION!$C:$C,0),0)</f>
        <v>0</v>
      </c>
      <c r="J1073" s="3">
        <f ca="1">IFERROR(_xludf.XLOOKUP("Arancel",PARAMETROS_IMPORTACION!$A:$A,PARAMETROS_IMPORTACION!$C:$C,0),0)</f>
        <v>0</v>
      </c>
      <c r="K1073" s="2">
        <f ca="1">IFERROR(_xludf.XLOOKUP("Gastos_Aduana",PARAMETROS_IMPORTACION!$A:$A,PARAMETROS_IMPORTACION!$C:$C,0),0)</f>
        <v>0</v>
      </c>
      <c r="L1073" s="2">
        <f t="shared" si="33"/>
        <v>0</v>
      </c>
    </row>
    <row r="1074" spans="5:12" x14ac:dyDescent="0.35">
      <c r="E1074" s="2"/>
      <c r="F1074" s="2">
        <f>_xlfn.XLOOKUP(D1074,TIPOS_CAMBIO!A:A,TIPOS_CAMBIO!B:B,"",0)</f>
        <v>0</v>
      </c>
      <c r="G1074" s="3">
        <f t="shared" si="32"/>
        <v>0</v>
      </c>
      <c r="H1074" s="3"/>
      <c r="I1074" s="3">
        <f ca="1">IFERROR(_xludf.XLOOKUP("Seguro",PARAMETROS_IMPORTACION!$A:$A,PARAMETROS_IMPORTACION!$C:$C,0),0)</f>
        <v>0</v>
      </c>
      <c r="J1074" s="3">
        <f ca="1">IFERROR(_xludf.XLOOKUP("Arancel",PARAMETROS_IMPORTACION!$A:$A,PARAMETROS_IMPORTACION!$C:$C,0),0)</f>
        <v>0</v>
      </c>
      <c r="K1074" s="2">
        <f ca="1">IFERROR(_xludf.XLOOKUP("Gastos_Aduana",PARAMETROS_IMPORTACION!$A:$A,PARAMETROS_IMPORTACION!$C:$C,0),0)</f>
        <v>0</v>
      </c>
      <c r="L1074" s="2">
        <f t="shared" si="33"/>
        <v>0</v>
      </c>
    </row>
    <row r="1075" spans="5:12" x14ac:dyDescent="0.35">
      <c r="E1075" s="2"/>
      <c r="F1075" s="2">
        <f>_xlfn.XLOOKUP(D1075,TIPOS_CAMBIO!A:A,TIPOS_CAMBIO!B:B,"",0)</f>
        <v>0</v>
      </c>
      <c r="G1075" s="3">
        <f t="shared" si="32"/>
        <v>0</v>
      </c>
      <c r="H1075" s="3"/>
      <c r="I1075" s="3">
        <f ca="1">IFERROR(_xludf.XLOOKUP("Seguro",PARAMETROS_IMPORTACION!$A:$A,PARAMETROS_IMPORTACION!$C:$C,0),0)</f>
        <v>0</v>
      </c>
      <c r="J1075" s="3">
        <f ca="1">IFERROR(_xludf.XLOOKUP("Arancel",PARAMETROS_IMPORTACION!$A:$A,PARAMETROS_IMPORTACION!$C:$C,0),0)</f>
        <v>0</v>
      </c>
      <c r="K1075" s="2">
        <f ca="1">IFERROR(_xludf.XLOOKUP("Gastos_Aduana",PARAMETROS_IMPORTACION!$A:$A,PARAMETROS_IMPORTACION!$C:$C,0),0)</f>
        <v>0</v>
      </c>
      <c r="L1075" s="2">
        <f t="shared" si="33"/>
        <v>0</v>
      </c>
    </row>
    <row r="1076" spans="5:12" x14ac:dyDescent="0.35">
      <c r="E1076" s="2"/>
      <c r="F1076" s="2">
        <f>_xlfn.XLOOKUP(D1076,TIPOS_CAMBIO!A:A,TIPOS_CAMBIO!B:B,"",0)</f>
        <v>0</v>
      </c>
      <c r="G1076" s="3">
        <f t="shared" si="32"/>
        <v>0</v>
      </c>
      <c r="H1076" s="3"/>
      <c r="I1076" s="3">
        <f ca="1">IFERROR(_xludf.XLOOKUP("Seguro",PARAMETROS_IMPORTACION!$A:$A,PARAMETROS_IMPORTACION!$C:$C,0),0)</f>
        <v>0</v>
      </c>
      <c r="J1076" s="3">
        <f ca="1">IFERROR(_xludf.XLOOKUP("Arancel",PARAMETROS_IMPORTACION!$A:$A,PARAMETROS_IMPORTACION!$C:$C,0),0)</f>
        <v>0</v>
      </c>
      <c r="K1076" s="2">
        <f ca="1">IFERROR(_xludf.XLOOKUP("Gastos_Aduana",PARAMETROS_IMPORTACION!$A:$A,PARAMETROS_IMPORTACION!$C:$C,0),0)</f>
        <v>0</v>
      </c>
      <c r="L1076" s="2">
        <f t="shared" si="33"/>
        <v>0</v>
      </c>
    </row>
    <row r="1077" spans="5:12" x14ac:dyDescent="0.35">
      <c r="E1077" s="2"/>
      <c r="F1077" s="2">
        <f>_xlfn.XLOOKUP(D1077,TIPOS_CAMBIO!A:A,TIPOS_CAMBIO!B:B,"",0)</f>
        <v>0</v>
      </c>
      <c r="G1077" s="3">
        <f t="shared" si="32"/>
        <v>0</v>
      </c>
      <c r="H1077" s="3"/>
      <c r="I1077" s="3">
        <f ca="1">IFERROR(_xludf.XLOOKUP("Seguro",PARAMETROS_IMPORTACION!$A:$A,PARAMETROS_IMPORTACION!$C:$C,0),0)</f>
        <v>0</v>
      </c>
      <c r="J1077" s="3">
        <f ca="1">IFERROR(_xludf.XLOOKUP("Arancel",PARAMETROS_IMPORTACION!$A:$A,PARAMETROS_IMPORTACION!$C:$C,0),0)</f>
        <v>0</v>
      </c>
      <c r="K1077" s="2">
        <f ca="1">IFERROR(_xludf.XLOOKUP("Gastos_Aduana",PARAMETROS_IMPORTACION!$A:$A,PARAMETROS_IMPORTACION!$C:$C,0),0)</f>
        <v>0</v>
      </c>
      <c r="L1077" s="2">
        <f t="shared" si="33"/>
        <v>0</v>
      </c>
    </row>
    <row r="1078" spans="5:12" x14ac:dyDescent="0.35">
      <c r="E1078" s="2"/>
      <c r="F1078" s="2">
        <f>_xlfn.XLOOKUP(D1078,TIPOS_CAMBIO!A:A,TIPOS_CAMBIO!B:B,"",0)</f>
        <v>0</v>
      </c>
      <c r="G1078" s="3">
        <f t="shared" si="32"/>
        <v>0</v>
      </c>
      <c r="H1078" s="3"/>
      <c r="I1078" s="3">
        <f ca="1">IFERROR(_xludf.XLOOKUP("Seguro",PARAMETROS_IMPORTACION!$A:$A,PARAMETROS_IMPORTACION!$C:$C,0),0)</f>
        <v>0</v>
      </c>
      <c r="J1078" s="3">
        <f ca="1">IFERROR(_xludf.XLOOKUP("Arancel",PARAMETROS_IMPORTACION!$A:$A,PARAMETROS_IMPORTACION!$C:$C,0),0)</f>
        <v>0</v>
      </c>
      <c r="K1078" s="2">
        <f ca="1">IFERROR(_xludf.XLOOKUP("Gastos_Aduana",PARAMETROS_IMPORTACION!$A:$A,PARAMETROS_IMPORTACION!$C:$C,0),0)</f>
        <v>0</v>
      </c>
      <c r="L1078" s="2">
        <f t="shared" si="33"/>
        <v>0</v>
      </c>
    </row>
    <row r="1079" spans="5:12" x14ac:dyDescent="0.35">
      <c r="E1079" s="2"/>
      <c r="F1079" s="2">
        <f>_xlfn.XLOOKUP(D1079,TIPOS_CAMBIO!A:A,TIPOS_CAMBIO!B:B,"",0)</f>
        <v>0</v>
      </c>
      <c r="G1079" s="3">
        <f t="shared" si="32"/>
        <v>0</v>
      </c>
      <c r="H1079" s="3"/>
      <c r="I1079" s="3">
        <f ca="1">IFERROR(_xludf.XLOOKUP("Seguro",PARAMETROS_IMPORTACION!$A:$A,PARAMETROS_IMPORTACION!$C:$C,0),0)</f>
        <v>0</v>
      </c>
      <c r="J1079" s="3">
        <f ca="1">IFERROR(_xludf.XLOOKUP("Arancel",PARAMETROS_IMPORTACION!$A:$A,PARAMETROS_IMPORTACION!$C:$C,0),0)</f>
        <v>0</v>
      </c>
      <c r="K1079" s="2">
        <f ca="1">IFERROR(_xludf.XLOOKUP("Gastos_Aduana",PARAMETROS_IMPORTACION!$A:$A,PARAMETROS_IMPORTACION!$C:$C,0),0)</f>
        <v>0</v>
      </c>
      <c r="L1079" s="2">
        <f t="shared" si="33"/>
        <v>0</v>
      </c>
    </row>
    <row r="1080" spans="5:12" x14ac:dyDescent="0.35">
      <c r="E1080" s="2"/>
      <c r="F1080" s="2">
        <f>_xlfn.XLOOKUP(D1080,TIPOS_CAMBIO!A:A,TIPOS_CAMBIO!B:B,"",0)</f>
        <v>0</v>
      </c>
      <c r="G1080" s="3">
        <f t="shared" si="32"/>
        <v>0</v>
      </c>
      <c r="H1080" s="3"/>
      <c r="I1080" s="3">
        <f ca="1">IFERROR(_xludf.XLOOKUP("Seguro",PARAMETROS_IMPORTACION!$A:$A,PARAMETROS_IMPORTACION!$C:$C,0),0)</f>
        <v>0</v>
      </c>
      <c r="J1080" s="3">
        <f ca="1">IFERROR(_xludf.XLOOKUP("Arancel",PARAMETROS_IMPORTACION!$A:$A,PARAMETROS_IMPORTACION!$C:$C,0),0)</f>
        <v>0</v>
      </c>
      <c r="K1080" s="2">
        <f ca="1">IFERROR(_xludf.XLOOKUP("Gastos_Aduana",PARAMETROS_IMPORTACION!$A:$A,PARAMETROS_IMPORTACION!$C:$C,0),0)</f>
        <v>0</v>
      </c>
      <c r="L1080" s="2">
        <f t="shared" si="33"/>
        <v>0</v>
      </c>
    </row>
    <row r="1081" spans="5:12" x14ac:dyDescent="0.35">
      <c r="E1081" s="2"/>
      <c r="F1081" s="2">
        <f>_xlfn.XLOOKUP(D1081,TIPOS_CAMBIO!A:A,TIPOS_CAMBIO!B:B,"",0)</f>
        <v>0</v>
      </c>
      <c r="G1081" s="3">
        <f t="shared" si="32"/>
        <v>0</v>
      </c>
      <c r="H1081" s="3"/>
      <c r="I1081" s="3">
        <f ca="1">IFERROR(_xludf.XLOOKUP("Seguro",PARAMETROS_IMPORTACION!$A:$A,PARAMETROS_IMPORTACION!$C:$C,0),0)</f>
        <v>0</v>
      </c>
      <c r="J1081" s="3">
        <f ca="1">IFERROR(_xludf.XLOOKUP("Arancel",PARAMETROS_IMPORTACION!$A:$A,PARAMETROS_IMPORTACION!$C:$C,0),0)</f>
        <v>0</v>
      </c>
      <c r="K1081" s="2">
        <f ca="1">IFERROR(_xludf.XLOOKUP("Gastos_Aduana",PARAMETROS_IMPORTACION!$A:$A,PARAMETROS_IMPORTACION!$C:$C,0),0)</f>
        <v>0</v>
      </c>
      <c r="L1081" s="2">
        <f t="shared" si="33"/>
        <v>0</v>
      </c>
    </row>
    <row r="1082" spans="5:12" x14ac:dyDescent="0.35">
      <c r="E1082" s="2"/>
      <c r="F1082" s="2">
        <f>_xlfn.XLOOKUP(D1082,TIPOS_CAMBIO!A:A,TIPOS_CAMBIO!B:B,"",0)</f>
        <v>0</v>
      </c>
      <c r="G1082" s="3">
        <f t="shared" si="32"/>
        <v>0</v>
      </c>
      <c r="H1082" s="3"/>
      <c r="I1082" s="3">
        <f ca="1">IFERROR(_xludf.XLOOKUP("Seguro",PARAMETROS_IMPORTACION!$A:$A,PARAMETROS_IMPORTACION!$C:$C,0),0)</f>
        <v>0</v>
      </c>
      <c r="J1082" s="3">
        <f ca="1">IFERROR(_xludf.XLOOKUP("Arancel",PARAMETROS_IMPORTACION!$A:$A,PARAMETROS_IMPORTACION!$C:$C,0),0)</f>
        <v>0</v>
      </c>
      <c r="K1082" s="2">
        <f ca="1">IFERROR(_xludf.XLOOKUP("Gastos_Aduana",PARAMETROS_IMPORTACION!$A:$A,PARAMETROS_IMPORTACION!$C:$C,0),0)</f>
        <v>0</v>
      </c>
      <c r="L1082" s="2">
        <f t="shared" si="33"/>
        <v>0</v>
      </c>
    </row>
    <row r="1083" spans="5:12" x14ac:dyDescent="0.35">
      <c r="E1083" s="2"/>
      <c r="F1083" s="2">
        <f>_xlfn.XLOOKUP(D1083,TIPOS_CAMBIO!A:A,TIPOS_CAMBIO!B:B,"",0)</f>
        <v>0</v>
      </c>
      <c r="G1083" s="3">
        <f t="shared" si="32"/>
        <v>0</v>
      </c>
      <c r="H1083" s="3"/>
      <c r="I1083" s="3">
        <f ca="1">IFERROR(_xludf.XLOOKUP("Seguro",PARAMETROS_IMPORTACION!$A:$A,PARAMETROS_IMPORTACION!$C:$C,0),0)</f>
        <v>0</v>
      </c>
      <c r="J1083" s="3">
        <f ca="1">IFERROR(_xludf.XLOOKUP("Arancel",PARAMETROS_IMPORTACION!$A:$A,PARAMETROS_IMPORTACION!$C:$C,0),0)</f>
        <v>0</v>
      </c>
      <c r="K1083" s="2">
        <f ca="1">IFERROR(_xludf.XLOOKUP("Gastos_Aduana",PARAMETROS_IMPORTACION!$A:$A,PARAMETROS_IMPORTACION!$C:$C,0),0)</f>
        <v>0</v>
      </c>
      <c r="L1083" s="2">
        <f t="shared" si="33"/>
        <v>0</v>
      </c>
    </row>
    <row r="1084" spans="5:12" x14ac:dyDescent="0.35">
      <c r="E1084" s="2"/>
      <c r="F1084" s="2">
        <f>_xlfn.XLOOKUP(D1084,TIPOS_CAMBIO!A:A,TIPOS_CAMBIO!B:B,"",0)</f>
        <v>0</v>
      </c>
      <c r="G1084" s="3">
        <f t="shared" si="32"/>
        <v>0</v>
      </c>
      <c r="H1084" s="3"/>
      <c r="I1084" s="3">
        <f ca="1">IFERROR(_xludf.XLOOKUP("Seguro",PARAMETROS_IMPORTACION!$A:$A,PARAMETROS_IMPORTACION!$C:$C,0),0)</f>
        <v>0</v>
      </c>
      <c r="J1084" s="3">
        <f ca="1">IFERROR(_xludf.XLOOKUP("Arancel",PARAMETROS_IMPORTACION!$A:$A,PARAMETROS_IMPORTACION!$C:$C,0),0)</f>
        <v>0</v>
      </c>
      <c r="K1084" s="2">
        <f ca="1">IFERROR(_xludf.XLOOKUP("Gastos_Aduana",PARAMETROS_IMPORTACION!$A:$A,PARAMETROS_IMPORTACION!$C:$C,0),0)</f>
        <v>0</v>
      </c>
      <c r="L1084" s="2">
        <f t="shared" si="33"/>
        <v>0</v>
      </c>
    </row>
    <row r="1085" spans="5:12" x14ac:dyDescent="0.35">
      <c r="E1085" s="2"/>
      <c r="F1085" s="2">
        <f>_xlfn.XLOOKUP(D1085,TIPOS_CAMBIO!A:A,TIPOS_CAMBIO!B:B,"",0)</f>
        <v>0</v>
      </c>
      <c r="G1085" s="3">
        <f t="shared" si="32"/>
        <v>0</v>
      </c>
      <c r="H1085" s="3"/>
      <c r="I1085" s="3">
        <f ca="1">IFERROR(_xludf.XLOOKUP("Seguro",PARAMETROS_IMPORTACION!$A:$A,PARAMETROS_IMPORTACION!$C:$C,0),0)</f>
        <v>0</v>
      </c>
      <c r="J1085" s="3">
        <f ca="1">IFERROR(_xludf.XLOOKUP("Arancel",PARAMETROS_IMPORTACION!$A:$A,PARAMETROS_IMPORTACION!$C:$C,0),0)</f>
        <v>0</v>
      </c>
      <c r="K1085" s="2">
        <f ca="1">IFERROR(_xludf.XLOOKUP("Gastos_Aduana",PARAMETROS_IMPORTACION!$A:$A,PARAMETROS_IMPORTACION!$C:$C,0),0)</f>
        <v>0</v>
      </c>
      <c r="L1085" s="2">
        <f t="shared" si="33"/>
        <v>0</v>
      </c>
    </row>
    <row r="1086" spans="5:12" x14ac:dyDescent="0.35">
      <c r="E1086" s="2"/>
      <c r="F1086" s="2">
        <f>_xlfn.XLOOKUP(D1086,TIPOS_CAMBIO!A:A,TIPOS_CAMBIO!B:B,"",0)</f>
        <v>0</v>
      </c>
      <c r="G1086" s="3">
        <f t="shared" si="32"/>
        <v>0</v>
      </c>
      <c r="H1086" s="3"/>
      <c r="I1086" s="3">
        <f ca="1">IFERROR(_xludf.XLOOKUP("Seguro",PARAMETROS_IMPORTACION!$A:$A,PARAMETROS_IMPORTACION!$C:$C,0),0)</f>
        <v>0</v>
      </c>
      <c r="J1086" s="3">
        <f ca="1">IFERROR(_xludf.XLOOKUP("Arancel",PARAMETROS_IMPORTACION!$A:$A,PARAMETROS_IMPORTACION!$C:$C,0),0)</f>
        <v>0</v>
      </c>
      <c r="K1086" s="2">
        <f ca="1">IFERROR(_xludf.XLOOKUP("Gastos_Aduana",PARAMETROS_IMPORTACION!$A:$A,PARAMETROS_IMPORTACION!$C:$C,0),0)</f>
        <v>0</v>
      </c>
      <c r="L1086" s="2">
        <f t="shared" si="33"/>
        <v>0</v>
      </c>
    </row>
    <row r="1087" spans="5:12" x14ac:dyDescent="0.35">
      <c r="E1087" s="2"/>
      <c r="F1087" s="2">
        <f>_xlfn.XLOOKUP(D1087,TIPOS_CAMBIO!A:A,TIPOS_CAMBIO!B:B,"",0)</f>
        <v>0</v>
      </c>
      <c r="G1087" s="3">
        <f t="shared" si="32"/>
        <v>0</v>
      </c>
      <c r="H1087" s="3"/>
      <c r="I1087" s="3">
        <f ca="1">IFERROR(_xludf.XLOOKUP("Seguro",PARAMETROS_IMPORTACION!$A:$A,PARAMETROS_IMPORTACION!$C:$C,0),0)</f>
        <v>0</v>
      </c>
      <c r="J1087" s="3">
        <f ca="1">IFERROR(_xludf.XLOOKUP("Arancel",PARAMETROS_IMPORTACION!$A:$A,PARAMETROS_IMPORTACION!$C:$C,0),0)</f>
        <v>0</v>
      </c>
      <c r="K1087" s="2">
        <f ca="1">IFERROR(_xludf.XLOOKUP("Gastos_Aduana",PARAMETROS_IMPORTACION!$A:$A,PARAMETROS_IMPORTACION!$C:$C,0),0)</f>
        <v>0</v>
      </c>
      <c r="L1087" s="2">
        <f t="shared" si="33"/>
        <v>0</v>
      </c>
    </row>
    <row r="1088" spans="5:12" x14ac:dyDescent="0.35">
      <c r="E1088" s="2"/>
      <c r="F1088" s="2">
        <f>_xlfn.XLOOKUP(D1088,TIPOS_CAMBIO!A:A,TIPOS_CAMBIO!B:B,"",0)</f>
        <v>0</v>
      </c>
      <c r="G1088" s="3">
        <f t="shared" si="32"/>
        <v>0</v>
      </c>
      <c r="H1088" s="3"/>
      <c r="I1088" s="3">
        <f ca="1">IFERROR(_xludf.XLOOKUP("Seguro",PARAMETROS_IMPORTACION!$A:$A,PARAMETROS_IMPORTACION!$C:$C,0),0)</f>
        <v>0</v>
      </c>
      <c r="J1088" s="3">
        <f ca="1">IFERROR(_xludf.XLOOKUP("Arancel",PARAMETROS_IMPORTACION!$A:$A,PARAMETROS_IMPORTACION!$C:$C,0),0)</f>
        <v>0</v>
      </c>
      <c r="K1088" s="2">
        <f ca="1">IFERROR(_xludf.XLOOKUP("Gastos_Aduana",PARAMETROS_IMPORTACION!$A:$A,PARAMETROS_IMPORTACION!$C:$C,0),0)</f>
        <v>0</v>
      </c>
      <c r="L1088" s="2">
        <f t="shared" si="33"/>
        <v>0</v>
      </c>
    </row>
    <row r="1089" spans="5:12" x14ac:dyDescent="0.35">
      <c r="E1089" s="2"/>
      <c r="F1089" s="2">
        <f>_xlfn.XLOOKUP(D1089,TIPOS_CAMBIO!A:A,TIPOS_CAMBIO!B:B,"",0)</f>
        <v>0</v>
      </c>
      <c r="G1089" s="3">
        <f t="shared" si="32"/>
        <v>0</v>
      </c>
      <c r="H1089" s="3"/>
      <c r="I1089" s="3">
        <f ca="1">IFERROR(_xludf.XLOOKUP("Seguro",PARAMETROS_IMPORTACION!$A:$A,PARAMETROS_IMPORTACION!$C:$C,0),0)</f>
        <v>0</v>
      </c>
      <c r="J1089" s="3">
        <f ca="1">IFERROR(_xludf.XLOOKUP("Arancel",PARAMETROS_IMPORTACION!$A:$A,PARAMETROS_IMPORTACION!$C:$C,0),0)</f>
        <v>0</v>
      </c>
      <c r="K1089" s="2">
        <f ca="1">IFERROR(_xludf.XLOOKUP("Gastos_Aduana",PARAMETROS_IMPORTACION!$A:$A,PARAMETROS_IMPORTACION!$C:$C,0),0)</f>
        <v>0</v>
      </c>
      <c r="L1089" s="2">
        <f t="shared" si="33"/>
        <v>0</v>
      </c>
    </row>
    <row r="1090" spans="5:12" x14ac:dyDescent="0.35">
      <c r="E1090" s="2"/>
      <c r="F1090" s="2">
        <f>_xlfn.XLOOKUP(D1090,TIPOS_CAMBIO!A:A,TIPOS_CAMBIO!B:B,"",0)</f>
        <v>0</v>
      </c>
      <c r="G1090" s="3">
        <f t="shared" ref="G1090:G1153" si="34">$E1090*$F1090</f>
        <v>0</v>
      </c>
      <c r="H1090" s="3"/>
      <c r="I1090" s="3">
        <f ca="1">IFERROR(_xludf.XLOOKUP("Seguro",PARAMETROS_IMPORTACION!$A:$A,PARAMETROS_IMPORTACION!$C:$C,0),0)</f>
        <v>0</v>
      </c>
      <c r="J1090" s="3">
        <f ca="1">IFERROR(_xludf.XLOOKUP("Arancel",PARAMETROS_IMPORTACION!$A:$A,PARAMETROS_IMPORTACION!$C:$C,0),0)</f>
        <v>0</v>
      </c>
      <c r="K1090" s="2">
        <f ca="1">IFERROR(_xludf.XLOOKUP("Gastos_Aduana",PARAMETROS_IMPORTACION!$A:$A,PARAMETROS_IMPORTACION!$C:$C,0),0)</f>
        <v>0</v>
      </c>
      <c r="L1090" s="2">
        <f t="shared" si="33"/>
        <v>0</v>
      </c>
    </row>
    <row r="1091" spans="5:12" x14ac:dyDescent="0.35">
      <c r="E1091" s="2"/>
      <c r="F1091" s="2">
        <f>_xlfn.XLOOKUP(D1091,TIPOS_CAMBIO!A:A,TIPOS_CAMBIO!B:B,"",0)</f>
        <v>0</v>
      </c>
      <c r="G1091" s="3">
        <f t="shared" si="34"/>
        <v>0</v>
      </c>
      <c r="H1091" s="3"/>
      <c r="I1091" s="3">
        <f ca="1">IFERROR(_xludf.XLOOKUP("Seguro",PARAMETROS_IMPORTACION!$A:$A,PARAMETROS_IMPORTACION!$C:$C,0),0)</f>
        <v>0</v>
      </c>
      <c r="J1091" s="3">
        <f ca="1">IFERROR(_xludf.XLOOKUP("Arancel",PARAMETROS_IMPORTACION!$A:$A,PARAMETROS_IMPORTACION!$C:$C,0),0)</f>
        <v>0</v>
      </c>
      <c r="K1091" s="2">
        <f ca="1">IFERROR(_xludf.XLOOKUP("Gastos_Aduana",PARAMETROS_IMPORTACION!$A:$A,PARAMETROS_IMPORTACION!$C:$C,0),0)</f>
        <v>0</v>
      </c>
      <c r="L1091" s="2">
        <f t="shared" ref="L1091:L1154" si="35">IF($C1091="Importado",$G1091*(1+$H1091+$I1091+$J1091)+$K1091,$G1091)</f>
        <v>0</v>
      </c>
    </row>
    <row r="1092" spans="5:12" x14ac:dyDescent="0.35">
      <c r="E1092" s="2"/>
      <c r="F1092" s="2">
        <f>_xlfn.XLOOKUP(D1092,TIPOS_CAMBIO!A:A,TIPOS_CAMBIO!B:B,"",0)</f>
        <v>0</v>
      </c>
      <c r="G1092" s="3">
        <f t="shared" si="34"/>
        <v>0</v>
      </c>
      <c r="H1092" s="3"/>
      <c r="I1092" s="3">
        <f ca="1">IFERROR(_xludf.XLOOKUP("Seguro",PARAMETROS_IMPORTACION!$A:$A,PARAMETROS_IMPORTACION!$C:$C,0),0)</f>
        <v>0</v>
      </c>
      <c r="J1092" s="3">
        <f ca="1">IFERROR(_xludf.XLOOKUP("Arancel",PARAMETROS_IMPORTACION!$A:$A,PARAMETROS_IMPORTACION!$C:$C,0),0)</f>
        <v>0</v>
      </c>
      <c r="K1092" s="2">
        <f ca="1">IFERROR(_xludf.XLOOKUP("Gastos_Aduana",PARAMETROS_IMPORTACION!$A:$A,PARAMETROS_IMPORTACION!$C:$C,0),0)</f>
        <v>0</v>
      </c>
      <c r="L1092" s="2">
        <f t="shared" si="35"/>
        <v>0</v>
      </c>
    </row>
    <row r="1093" spans="5:12" x14ac:dyDescent="0.35">
      <c r="E1093" s="2"/>
      <c r="F1093" s="2">
        <f>_xlfn.XLOOKUP(D1093,TIPOS_CAMBIO!A:A,TIPOS_CAMBIO!B:B,"",0)</f>
        <v>0</v>
      </c>
      <c r="G1093" s="3">
        <f t="shared" si="34"/>
        <v>0</v>
      </c>
      <c r="H1093" s="3"/>
      <c r="I1093" s="3">
        <f ca="1">IFERROR(_xludf.XLOOKUP("Seguro",PARAMETROS_IMPORTACION!$A:$A,PARAMETROS_IMPORTACION!$C:$C,0),0)</f>
        <v>0</v>
      </c>
      <c r="J1093" s="3">
        <f ca="1">IFERROR(_xludf.XLOOKUP("Arancel",PARAMETROS_IMPORTACION!$A:$A,PARAMETROS_IMPORTACION!$C:$C,0),0)</f>
        <v>0</v>
      </c>
      <c r="K1093" s="2">
        <f ca="1">IFERROR(_xludf.XLOOKUP("Gastos_Aduana",PARAMETROS_IMPORTACION!$A:$A,PARAMETROS_IMPORTACION!$C:$C,0),0)</f>
        <v>0</v>
      </c>
      <c r="L1093" s="2">
        <f t="shared" si="35"/>
        <v>0</v>
      </c>
    </row>
    <row r="1094" spans="5:12" x14ac:dyDescent="0.35">
      <c r="E1094" s="2"/>
      <c r="F1094" s="2">
        <f>_xlfn.XLOOKUP(D1094,TIPOS_CAMBIO!A:A,TIPOS_CAMBIO!B:B,"",0)</f>
        <v>0</v>
      </c>
      <c r="G1094" s="3">
        <f t="shared" si="34"/>
        <v>0</v>
      </c>
      <c r="H1094" s="3"/>
      <c r="I1094" s="3">
        <f ca="1">IFERROR(_xludf.XLOOKUP("Seguro",PARAMETROS_IMPORTACION!$A:$A,PARAMETROS_IMPORTACION!$C:$C,0),0)</f>
        <v>0</v>
      </c>
      <c r="J1094" s="3">
        <f ca="1">IFERROR(_xludf.XLOOKUP("Arancel",PARAMETROS_IMPORTACION!$A:$A,PARAMETROS_IMPORTACION!$C:$C,0),0)</f>
        <v>0</v>
      </c>
      <c r="K1094" s="2">
        <f ca="1">IFERROR(_xludf.XLOOKUP("Gastos_Aduana",PARAMETROS_IMPORTACION!$A:$A,PARAMETROS_IMPORTACION!$C:$C,0),0)</f>
        <v>0</v>
      </c>
      <c r="L1094" s="2">
        <f t="shared" si="35"/>
        <v>0</v>
      </c>
    </row>
    <row r="1095" spans="5:12" x14ac:dyDescent="0.35">
      <c r="E1095" s="2"/>
      <c r="F1095" s="2">
        <f>_xlfn.XLOOKUP(D1095,TIPOS_CAMBIO!A:A,TIPOS_CAMBIO!B:B,"",0)</f>
        <v>0</v>
      </c>
      <c r="G1095" s="3">
        <f t="shared" si="34"/>
        <v>0</v>
      </c>
      <c r="H1095" s="3"/>
      <c r="I1095" s="3">
        <f ca="1">IFERROR(_xludf.XLOOKUP("Seguro",PARAMETROS_IMPORTACION!$A:$A,PARAMETROS_IMPORTACION!$C:$C,0),0)</f>
        <v>0</v>
      </c>
      <c r="J1095" s="3">
        <f ca="1">IFERROR(_xludf.XLOOKUP("Arancel",PARAMETROS_IMPORTACION!$A:$A,PARAMETROS_IMPORTACION!$C:$C,0),0)</f>
        <v>0</v>
      </c>
      <c r="K1095" s="2">
        <f ca="1">IFERROR(_xludf.XLOOKUP("Gastos_Aduana",PARAMETROS_IMPORTACION!$A:$A,PARAMETROS_IMPORTACION!$C:$C,0),0)</f>
        <v>0</v>
      </c>
      <c r="L1095" s="2">
        <f t="shared" si="35"/>
        <v>0</v>
      </c>
    </row>
    <row r="1096" spans="5:12" x14ac:dyDescent="0.35">
      <c r="E1096" s="2"/>
      <c r="F1096" s="2">
        <f>_xlfn.XLOOKUP(D1096,TIPOS_CAMBIO!A:A,TIPOS_CAMBIO!B:B,"",0)</f>
        <v>0</v>
      </c>
      <c r="G1096" s="3">
        <f t="shared" si="34"/>
        <v>0</v>
      </c>
      <c r="H1096" s="3"/>
      <c r="I1096" s="3">
        <f ca="1">IFERROR(_xludf.XLOOKUP("Seguro",PARAMETROS_IMPORTACION!$A:$A,PARAMETROS_IMPORTACION!$C:$C,0),0)</f>
        <v>0</v>
      </c>
      <c r="J1096" s="3">
        <f ca="1">IFERROR(_xludf.XLOOKUP("Arancel",PARAMETROS_IMPORTACION!$A:$A,PARAMETROS_IMPORTACION!$C:$C,0),0)</f>
        <v>0</v>
      </c>
      <c r="K1096" s="2">
        <f ca="1">IFERROR(_xludf.XLOOKUP("Gastos_Aduana",PARAMETROS_IMPORTACION!$A:$A,PARAMETROS_IMPORTACION!$C:$C,0),0)</f>
        <v>0</v>
      </c>
      <c r="L1096" s="2">
        <f t="shared" si="35"/>
        <v>0</v>
      </c>
    </row>
    <row r="1097" spans="5:12" x14ac:dyDescent="0.35">
      <c r="E1097" s="2"/>
      <c r="F1097" s="2">
        <f>_xlfn.XLOOKUP(D1097,TIPOS_CAMBIO!A:A,TIPOS_CAMBIO!B:B,"",0)</f>
        <v>0</v>
      </c>
      <c r="G1097" s="3">
        <f t="shared" si="34"/>
        <v>0</v>
      </c>
      <c r="H1097" s="3"/>
      <c r="I1097" s="3">
        <f ca="1">IFERROR(_xludf.XLOOKUP("Seguro",PARAMETROS_IMPORTACION!$A:$A,PARAMETROS_IMPORTACION!$C:$C,0),0)</f>
        <v>0</v>
      </c>
      <c r="J1097" s="3">
        <f ca="1">IFERROR(_xludf.XLOOKUP("Arancel",PARAMETROS_IMPORTACION!$A:$A,PARAMETROS_IMPORTACION!$C:$C,0),0)</f>
        <v>0</v>
      </c>
      <c r="K1097" s="2">
        <f ca="1">IFERROR(_xludf.XLOOKUP("Gastos_Aduana",PARAMETROS_IMPORTACION!$A:$A,PARAMETROS_IMPORTACION!$C:$C,0),0)</f>
        <v>0</v>
      </c>
      <c r="L1097" s="2">
        <f t="shared" si="35"/>
        <v>0</v>
      </c>
    </row>
    <row r="1098" spans="5:12" x14ac:dyDescent="0.35">
      <c r="E1098" s="2"/>
      <c r="F1098" s="2">
        <f>_xlfn.XLOOKUP(D1098,TIPOS_CAMBIO!A:A,TIPOS_CAMBIO!B:B,"",0)</f>
        <v>0</v>
      </c>
      <c r="G1098" s="3">
        <f t="shared" si="34"/>
        <v>0</v>
      </c>
      <c r="H1098" s="3"/>
      <c r="I1098" s="3">
        <f ca="1">IFERROR(_xludf.XLOOKUP("Seguro",PARAMETROS_IMPORTACION!$A:$A,PARAMETROS_IMPORTACION!$C:$C,0),0)</f>
        <v>0</v>
      </c>
      <c r="J1098" s="3">
        <f ca="1">IFERROR(_xludf.XLOOKUP("Arancel",PARAMETROS_IMPORTACION!$A:$A,PARAMETROS_IMPORTACION!$C:$C,0),0)</f>
        <v>0</v>
      </c>
      <c r="K1098" s="2">
        <f ca="1">IFERROR(_xludf.XLOOKUP("Gastos_Aduana",PARAMETROS_IMPORTACION!$A:$A,PARAMETROS_IMPORTACION!$C:$C,0),0)</f>
        <v>0</v>
      </c>
      <c r="L1098" s="2">
        <f t="shared" si="35"/>
        <v>0</v>
      </c>
    </row>
    <row r="1099" spans="5:12" x14ac:dyDescent="0.35">
      <c r="E1099" s="2"/>
      <c r="F1099" s="2">
        <f>_xlfn.XLOOKUP(D1099,TIPOS_CAMBIO!A:A,TIPOS_CAMBIO!B:B,"",0)</f>
        <v>0</v>
      </c>
      <c r="G1099" s="3">
        <f t="shared" si="34"/>
        <v>0</v>
      </c>
      <c r="H1099" s="3"/>
      <c r="I1099" s="3">
        <f ca="1">IFERROR(_xludf.XLOOKUP("Seguro",PARAMETROS_IMPORTACION!$A:$A,PARAMETROS_IMPORTACION!$C:$C,0),0)</f>
        <v>0</v>
      </c>
      <c r="J1099" s="3">
        <f ca="1">IFERROR(_xludf.XLOOKUP("Arancel",PARAMETROS_IMPORTACION!$A:$A,PARAMETROS_IMPORTACION!$C:$C,0),0)</f>
        <v>0</v>
      </c>
      <c r="K1099" s="2">
        <f ca="1">IFERROR(_xludf.XLOOKUP("Gastos_Aduana",PARAMETROS_IMPORTACION!$A:$A,PARAMETROS_IMPORTACION!$C:$C,0),0)</f>
        <v>0</v>
      </c>
      <c r="L1099" s="2">
        <f t="shared" si="35"/>
        <v>0</v>
      </c>
    </row>
    <row r="1100" spans="5:12" x14ac:dyDescent="0.35">
      <c r="E1100" s="2"/>
      <c r="F1100" s="2">
        <f>_xlfn.XLOOKUP(D1100,TIPOS_CAMBIO!A:A,TIPOS_CAMBIO!B:B,"",0)</f>
        <v>0</v>
      </c>
      <c r="G1100" s="3">
        <f t="shared" si="34"/>
        <v>0</v>
      </c>
      <c r="H1100" s="3"/>
      <c r="I1100" s="3">
        <f ca="1">IFERROR(_xludf.XLOOKUP("Seguro",PARAMETROS_IMPORTACION!$A:$A,PARAMETROS_IMPORTACION!$C:$C,0),0)</f>
        <v>0</v>
      </c>
      <c r="J1100" s="3">
        <f ca="1">IFERROR(_xludf.XLOOKUP("Arancel",PARAMETROS_IMPORTACION!$A:$A,PARAMETROS_IMPORTACION!$C:$C,0),0)</f>
        <v>0</v>
      </c>
      <c r="K1100" s="2">
        <f ca="1">IFERROR(_xludf.XLOOKUP("Gastos_Aduana",PARAMETROS_IMPORTACION!$A:$A,PARAMETROS_IMPORTACION!$C:$C,0),0)</f>
        <v>0</v>
      </c>
      <c r="L1100" s="2">
        <f t="shared" si="35"/>
        <v>0</v>
      </c>
    </row>
    <row r="1101" spans="5:12" x14ac:dyDescent="0.35">
      <c r="E1101" s="2"/>
      <c r="F1101" s="2">
        <f>_xlfn.XLOOKUP(D1101,TIPOS_CAMBIO!A:A,TIPOS_CAMBIO!B:B,"",0)</f>
        <v>0</v>
      </c>
      <c r="G1101" s="3">
        <f t="shared" si="34"/>
        <v>0</v>
      </c>
      <c r="H1101" s="3"/>
      <c r="I1101" s="3">
        <f ca="1">IFERROR(_xludf.XLOOKUP("Seguro",PARAMETROS_IMPORTACION!$A:$A,PARAMETROS_IMPORTACION!$C:$C,0),0)</f>
        <v>0</v>
      </c>
      <c r="J1101" s="3">
        <f ca="1">IFERROR(_xludf.XLOOKUP("Arancel",PARAMETROS_IMPORTACION!$A:$A,PARAMETROS_IMPORTACION!$C:$C,0),0)</f>
        <v>0</v>
      </c>
      <c r="K1101" s="2">
        <f ca="1">IFERROR(_xludf.XLOOKUP("Gastos_Aduana",PARAMETROS_IMPORTACION!$A:$A,PARAMETROS_IMPORTACION!$C:$C,0),0)</f>
        <v>0</v>
      </c>
      <c r="L1101" s="2">
        <f t="shared" si="35"/>
        <v>0</v>
      </c>
    </row>
    <row r="1102" spans="5:12" x14ac:dyDescent="0.35">
      <c r="E1102" s="2"/>
      <c r="F1102" s="2">
        <f>_xlfn.XLOOKUP(D1102,TIPOS_CAMBIO!A:A,TIPOS_CAMBIO!B:B,"",0)</f>
        <v>0</v>
      </c>
      <c r="G1102" s="3">
        <f t="shared" si="34"/>
        <v>0</v>
      </c>
      <c r="H1102" s="3"/>
      <c r="I1102" s="3">
        <f ca="1">IFERROR(_xludf.XLOOKUP("Seguro",PARAMETROS_IMPORTACION!$A:$A,PARAMETROS_IMPORTACION!$C:$C,0),0)</f>
        <v>0</v>
      </c>
      <c r="J1102" s="3">
        <f ca="1">IFERROR(_xludf.XLOOKUP("Arancel",PARAMETROS_IMPORTACION!$A:$A,PARAMETROS_IMPORTACION!$C:$C,0),0)</f>
        <v>0</v>
      </c>
      <c r="K1102" s="2">
        <f ca="1">IFERROR(_xludf.XLOOKUP("Gastos_Aduana",PARAMETROS_IMPORTACION!$A:$A,PARAMETROS_IMPORTACION!$C:$C,0),0)</f>
        <v>0</v>
      </c>
      <c r="L1102" s="2">
        <f t="shared" si="35"/>
        <v>0</v>
      </c>
    </row>
    <row r="1103" spans="5:12" x14ac:dyDescent="0.35">
      <c r="E1103" s="2"/>
      <c r="F1103" s="2">
        <f>_xlfn.XLOOKUP(D1103,TIPOS_CAMBIO!A:A,TIPOS_CAMBIO!B:B,"",0)</f>
        <v>0</v>
      </c>
      <c r="G1103" s="3">
        <f t="shared" si="34"/>
        <v>0</v>
      </c>
      <c r="H1103" s="3"/>
      <c r="I1103" s="3">
        <f ca="1">IFERROR(_xludf.XLOOKUP("Seguro",PARAMETROS_IMPORTACION!$A:$A,PARAMETROS_IMPORTACION!$C:$C,0),0)</f>
        <v>0</v>
      </c>
      <c r="J1103" s="3">
        <f ca="1">IFERROR(_xludf.XLOOKUP("Arancel",PARAMETROS_IMPORTACION!$A:$A,PARAMETROS_IMPORTACION!$C:$C,0),0)</f>
        <v>0</v>
      </c>
      <c r="K1103" s="2">
        <f ca="1">IFERROR(_xludf.XLOOKUP("Gastos_Aduana",PARAMETROS_IMPORTACION!$A:$A,PARAMETROS_IMPORTACION!$C:$C,0),0)</f>
        <v>0</v>
      </c>
      <c r="L1103" s="2">
        <f t="shared" si="35"/>
        <v>0</v>
      </c>
    </row>
    <row r="1104" spans="5:12" x14ac:dyDescent="0.35">
      <c r="E1104" s="2"/>
      <c r="F1104" s="2">
        <f>_xlfn.XLOOKUP(D1104,TIPOS_CAMBIO!A:A,TIPOS_CAMBIO!B:B,"",0)</f>
        <v>0</v>
      </c>
      <c r="G1104" s="3">
        <f t="shared" si="34"/>
        <v>0</v>
      </c>
      <c r="H1104" s="3"/>
      <c r="I1104" s="3">
        <f ca="1">IFERROR(_xludf.XLOOKUP("Seguro",PARAMETROS_IMPORTACION!$A:$A,PARAMETROS_IMPORTACION!$C:$C,0),0)</f>
        <v>0</v>
      </c>
      <c r="J1104" s="3">
        <f ca="1">IFERROR(_xludf.XLOOKUP("Arancel",PARAMETROS_IMPORTACION!$A:$A,PARAMETROS_IMPORTACION!$C:$C,0),0)</f>
        <v>0</v>
      </c>
      <c r="K1104" s="2">
        <f ca="1">IFERROR(_xludf.XLOOKUP("Gastos_Aduana",PARAMETROS_IMPORTACION!$A:$A,PARAMETROS_IMPORTACION!$C:$C,0),0)</f>
        <v>0</v>
      </c>
      <c r="L1104" s="2">
        <f t="shared" si="35"/>
        <v>0</v>
      </c>
    </row>
    <row r="1105" spans="5:12" x14ac:dyDescent="0.35">
      <c r="E1105" s="2"/>
      <c r="F1105" s="2">
        <f>_xlfn.XLOOKUP(D1105,TIPOS_CAMBIO!A:A,TIPOS_CAMBIO!B:B,"",0)</f>
        <v>0</v>
      </c>
      <c r="G1105" s="3">
        <f t="shared" si="34"/>
        <v>0</v>
      </c>
      <c r="H1105" s="3"/>
      <c r="I1105" s="3">
        <f ca="1">IFERROR(_xludf.XLOOKUP("Seguro",PARAMETROS_IMPORTACION!$A:$A,PARAMETROS_IMPORTACION!$C:$C,0),0)</f>
        <v>0</v>
      </c>
      <c r="J1105" s="3">
        <f ca="1">IFERROR(_xludf.XLOOKUP("Arancel",PARAMETROS_IMPORTACION!$A:$A,PARAMETROS_IMPORTACION!$C:$C,0),0)</f>
        <v>0</v>
      </c>
      <c r="K1105" s="2">
        <f ca="1">IFERROR(_xludf.XLOOKUP("Gastos_Aduana",PARAMETROS_IMPORTACION!$A:$A,PARAMETROS_IMPORTACION!$C:$C,0),0)</f>
        <v>0</v>
      </c>
      <c r="L1105" s="2">
        <f t="shared" si="35"/>
        <v>0</v>
      </c>
    </row>
    <row r="1106" spans="5:12" x14ac:dyDescent="0.35">
      <c r="E1106" s="2"/>
      <c r="F1106" s="2">
        <f>_xlfn.XLOOKUP(D1106,TIPOS_CAMBIO!A:A,TIPOS_CAMBIO!B:B,"",0)</f>
        <v>0</v>
      </c>
      <c r="G1106" s="3">
        <f t="shared" si="34"/>
        <v>0</v>
      </c>
      <c r="H1106" s="3"/>
      <c r="I1106" s="3">
        <f ca="1">IFERROR(_xludf.XLOOKUP("Seguro",PARAMETROS_IMPORTACION!$A:$A,PARAMETROS_IMPORTACION!$C:$C,0),0)</f>
        <v>0</v>
      </c>
      <c r="J1106" s="3">
        <f ca="1">IFERROR(_xludf.XLOOKUP("Arancel",PARAMETROS_IMPORTACION!$A:$A,PARAMETROS_IMPORTACION!$C:$C,0),0)</f>
        <v>0</v>
      </c>
      <c r="K1106" s="2">
        <f ca="1">IFERROR(_xludf.XLOOKUP("Gastos_Aduana",PARAMETROS_IMPORTACION!$A:$A,PARAMETROS_IMPORTACION!$C:$C,0),0)</f>
        <v>0</v>
      </c>
      <c r="L1106" s="2">
        <f t="shared" si="35"/>
        <v>0</v>
      </c>
    </row>
    <row r="1107" spans="5:12" x14ac:dyDescent="0.35">
      <c r="E1107" s="2"/>
      <c r="F1107" s="2">
        <f>_xlfn.XLOOKUP(D1107,TIPOS_CAMBIO!A:A,TIPOS_CAMBIO!B:B,"",0)</f>
        <v>0</v>
      </c>
      <c r="G1107" s="3">
        <f t="shared" si="34"/>
        <v>0</v>
      </c>
      <c r="H1107" s="3"/>
      <c r="I1107" s="3">
        <f ca="1">IFERROR(_xludf.XLOOKUP("Seguro",PARAMETROS_IMPORTACION!$A:$A,PARAMETROS_IMPORTACION!$C:$C,0),0)</f>
        <v>0</v>
      </c>
      <c r="J1107" s="3">
        <f ca="1">IFERROR(_xludf.XLOOKUP("Arancel",PARAMETROS_IMPORTACION!$A:$A,PARAMETROS_IMPORTACION!$C:$C,0),0)</f>
        <v>0</v>
      </c>
      <c r="K1107" s="2">
        <f ca="1">IFERROR(_xludf.XLOOKUP("Gastos_Aduana",PARAMETROS_IMPORTACION!$A:$A,PARAMETROS_IMPORTACION!$C:$C,0),0)</f>
        <v>0</v>
      </c>
      <c r="L1107" s="2">
        <f t="shared" si="35"/>
        <v>0</v>
      </c>
    </row>
    <row r="1108" spans="5:12" x14ac:dyDescent="0.35">
      <c r="E1108" s="2"/>
      <c r="F1108" s="2">
        <f>_xlfn.XLOOKUP(D1108,TIPOS_CAMBIO!A:A,TIPOS_CAMBIO!B:B,"",0)</f>
        <v>0</v>
      </c>
      <c r="G1108" s="3">
        <f t="shared" si="34"/>
        <v>0</v>
      </c>
      <c r="H1108" s="3"/>
      <c r="I1108" s="3">
        <f ca="1">IFERROR(_xludf.XLOOKUP("Seguro",PARAMETROS_IMPORTACION!$A:$A,PARAMETROS_IMPORTACION!$C:$C,0),0)</f>
        <v>0</v>
      </c>
      <c r="J1108" s="3">
        <f ca="1">IFERROR(_xludf.XLOOKUP("Arancel",PARAMETROS_IMPORTACION!$A:$A,PARAMETROS_IMPORTACION!$C:$C,0),0)</f>
        <v>0</v>
      </c>
      <c r="K1108" s="2">
        <f ca="1">IFERROR(_xludf.XLOOKUP("Gastos_Aduana",PARAMETROS_IMPORTACION!$A:$A,PARAMETROS_IMPORTACION!$C:$C,0),0)</f>
        <v>0</v>
      </c>
      <c r="L1108" s="2">
        <f t="shared" si="35"/>
        <v>0</v>
      </c>
    </row>
    <row r="1109" spans="5:12" x14ac:dyDescent="0.35">
      <c r="E1109" s="2"/>
      <c r="F1109" s="2">
        <f>_xlfn.XLOOKUP(D1109,TIPOS_CAMBIO!A:A,TIPOS_CAMBIO!B:B,"",0)</f>
        <v>0</v>
      </c>
      <c r="G1109" s="3">
        <f t="shared" si="34"/>
        <v>0</v>
      </c>
      <c r="H1109" s="3"/>
      <c r="I1109" s="3">
        <f ca="1">IFERROR(_xludf.XLOOKUP("Seguro",PARAMETROS_IMPORTACION!$A:$A,PARAMETROS_IMPORTACION!$C:$C,0),0)</f>
        <v>0</v>
      </c>
      <c r="J1109" s="3">
        <f ca="1">IFERROR(_xludf.XLOOKUP("Arancel",PARAMETROS_IMPORTACION!$A:$A,PARAMETROS_IMPORTACION!$C:$C,0),0)</f>
        <v>0</v>
      </c>
      <c r="K1109" s="2">
        <f ca="1">IFERROR(_xludf.XLOOKUP("Gastos_Aduana",PARAMETROS_IMPORTACION!$A:$A,PARAMETROS_IMPORTACION!$C:$C,0),0)</f>
        <v>0</v>
      </c>
      <c r="L1109" s="2">
        <f t="shared" si="35"/>
        <v>0</v>
      </c>
    </row>
    <row r="1110" spans="5:12" x14ac:dyDescent="0.35">
      <c r="E1110" s="2"/>
      <c r="F1110" s="2">
        <f>_xlfn.XLOOKUP(D1110,TIPOS_CAMBIO!A:A,TIPOS_CAMBIO!B:B,"",0)</f>
        <v>0</v>
      </c>
      <c r="G1110" s="3">
        <f t="shared" si="34"/>
        <v>0</v>
      </c>
      <c r="H1110" s="3"/>
      <c r="I1110" s="3">
        <f ca="1">IFERROR(_xludf.XLOOKUP("Seguro",PARAMETROS_IMPORTACION!$A:$A,PARAMETROS_IMPORTACION!$C:$C,0),0)</f>
        <v>0</v>
      </c>
      <c r="J1110" s="3">
        <f ca="1">IFERROR(_xludf.XLOOKUP("Arancel",PARAMETROS_IMPORTACION!$A:$A,PARAMETROS_IMPORTACION!$C:$C,0),0)</f>
        <v>0</v>
      </c>
      <c r="K1110" s="2">
        <f ca="1">IFERROR(_xludf.XLOOKUP("Gastos_Aduana",PARAMETROS_IMPORTACION!$A:$A,PARAMETROS_IMPORTACION!$C:$C,0),0)</f>
        <v>0</v>
      </c>
      <c r="L1110" s="2">
        <f t="shared" si="35"/>
        <v>0</v>
      </c>
    </row>
    <row r="1111" spans="5:12" x14ac:dyDescent="0.35">
      <c r="E1111" s="2"/>
      <c r="F1111" s="2">
        <f>_xlfn.XLOOKUP(D1111,TIPOS_CAMBIO!A:A,TIPOS_CAMBIO!B:B,"",0)</f>
        <v>0</v>
      </c>
      <c r="G1111" s="3">
        <f t="shared" si="34"/>
        <v>0</v>
      </c>
      <c r="H1111" s="3"/>
      <c r="I1111" s="3">
        <f ca="1">IFERROR(_xludf.XLOOKUP("Seguro",PARAMETROS_IMPORTACION!$A:$A,PARAMETROS_IMPORTACION!$C:$C,0),0)</f>
        <v>0</v>
      </c>
      <c r="J1111" s="3">
        <f ca="1">IFERROR(_xludf.XLOOKUP("Arancel",PARAMETROS_IMPORTACION!$A:$A,PARAMETROS_IMPORTACION!$C:$C,0),0)</f>
        <v>0</v>
      </c>
      <c r="K1111" s="2">
        <f ca="1">IFERROR(_xludf.XLOOKUP("Gastos_Aduana",PARAMETROS_IMPORTACION!$A:$A,PARAMETROS_IMPORTACION!$C:$C,0),0)</f>
        <v>0</v>
      </c>
      <c r="L1111" s="2">
        <f t="shared" si="35"/>
        <v>0</v>
      </c>
    </row>
    <row r="1112" spans="5:12" x14ac:dyDescent="0.35">
      <c r="E1112" s="2"/>
      <c r="F1112" s="2">
        <f>_xlfn.XLOOKUP(D1112,TIPOS_CAMBIO!A:A,TIPOS_CAMBIO!B:B,"",0)</f>
        <v>0</v>
      </c>
      <c r="G1112" s="3">
        <f t="shared" si="34"/>
        <v>0</v>
      </c>
      <c r="H1112" s="3"/>
      <c r="I1112" s="3">
        <f ca="1">IFERROR(_xludf.XLOOKUP("Seguro",PARAMETROS_IMPORTACION!$A:$A,PARAMETROS_IMPORTACION!$C:$C,0),0)</f>
        <v>0</v>
      </c>
      <c r="J1112" s="3">
        <f ca="1">IFERROR(_xludf.XLOOKUP("Arancel",PARAMETROS_IMPORTACION!$A:$A,PARAMETROS_IMPORTACION!$C:$C,0),0)</f>
        <v>0</v>
      </c>
      <c r="K1112" s="2">
        <f ca="1">IFERROR(_xludf.XLOOKUP("Gastos_Aduana",PARAMETROS_IMPORTACION!$A:$A,PARAMETROS_IMPORTACION!$C:$C,0),0)</f>
        <v>0</v>
      </c>
      <c r="L1112" s="2">
        <f t="shared" si="35"/>
        <v>0</v>
      </c>
    </row>
    <row r="1113" spans="5:12" x14ac:dyDescent="0.35">
      <c r="E1113" s="2"/>
      <c r="F1113" s="2">
        <f>_xlfn.XLOOKUP(D1113,TIPOS_CAMBIO!A:A,TIPOS_CAMBIO!B:B,"",0)</f>
        <v>0</v>
      </c>
      <c r="G1113" s="3">
        <f t="shared" si="34"/>
        <v>0</v>
      </c>
      <c r="H1113" s="3"/>
      <c r="I1113" s="3">
        <f ca="1">IFERROR(_xludf.XLOOKUP("Seguro",PARAMETROS_IMPORTACION!$A:$A,PARAMETROS_IMPORTACION!$C:$C,0),0)</f>
        <v>0</v>
      </c>
      <c r="J1113" s="3">
        <f ca="1">IFERROR(_xludf.XLOOKUP("Arancel",PARAMETROS_IMPORTACION!$A:$A,PARAMETROS_IMPORTACION!$C:$C,0),0)</f>
        <v>0</v>
      </c>
      <c r="K1113" s="2">
        <f ca="1">IFERROR(_xludf.XLOOKUP("Gastos_Aduana",PARAMETROS_IMPORTACION!$A:$A,PARAMETROS_IMPORTACION!$C:$C,0),0)</f>
        <v>0</v>
      </c>
      <c r="L1113" s="2">
        <f t="shared" si="35"/>
        <v>0</v>
      </c>
    </row>
    <row r="1114" spans="5:12" x14ac:dyDescent="0.35">
      <c r="E1114" s="2"/>
      <c r="F1114" s="2">
        <f>_xlfn.XLOOKUP(D1114,TIPOS_CAMBIO!A:A,TIPOS_CAMBIO!B:B,"",0)</f>
        <v>0</v>
      </c>
      <c r="G1114" s="3">
        <f t="shared" si="34"/>
        <v>0</v>
      </c>
      <c r="H1114" s="3"/>
      <c r="I1114" s="3">
        <f ca="1">IFERROR(_xludf.XLOOKUP("Seguro",PARAMETROS_IMPORTACION!$A:$A,PARAMETROS_IMPORTACION!$C:$C,0),0)</f>
        <v>0</v>
      </c>
      <c r="J1114" s="3">
        <f ca="1">IFERROR(_xludf.XLOOKUP("Arancel",PARAMETROS_IMPORTACION!$A:$A,PARAMETROS_IMPORTACION!$C:$C,0),0)</f>
        <v>0</v>
      </c>
      <c r="K1114" s="2">
        <f ca="1">IFERROR(_xludf.XLOOKUP("Gastos_Aduana",PARAMETROS_IMPORTACION!$A:$A,PARAMETROS_IMPORTACION!$C:$C,0),0)</f>
        <v>0</v>
      </c>
      <c r="L1114" s="2">
        <f t="shared" si="35"/>
        <v>0</v>
      </c>
    </row>
    <row r="1115" spans="5:12" x14ac:dyDescent="0.35">
      <c r="E1115" s="2"/>
      <c r="F1115" s="2">
        <f>_xlfn.XLOOKUP(D1115,TIPOS_CAMBIO!A:A,TIPOS_CAMBIO!B:B,"",0)</f>
        <v>0</v>
      </c>
      <c r="G1115" s="3">
        <f t="shared" si="34"/>
        <v>0</v>
      </c>
      <c r="H1115" s="3"/>
      <c r="I1115" s="3">
        <f ca="1">IFERROR(_xludf.XLOOKUP("Seguro",PARAMETROS_IMPORTACION!$A:$A,PARAMETROS_IMPORTACION!$C:$C,0),0)</f>
        <v>0</v>
      </c>
      <c r="J1115" s="3">
        <f ca="1">IFERROR(_xludf.XLOOKUP("Arancel",PARAMETROS_IMPORTACION!$A:$A,PARAMETROS_IMPORTACION!$C:$C,0),0)</f>
        <v>0</v>
      </c>
      <c r="K1115" s="2">
        <f ca="1">IFERROR(_xludf.XLOOKUP("Gastos_Aduana",PARAMETROS_IMPORTACION!$A:$A,PARAMETROS_IMPORTACION!$C:$C,0),0)</f>
        <v>0</v>
      </c>
      <c r="L1115" s="2">
        <f t="shared" si="35"/>
        <v>0</v>
      </c>
    </row>
    <row r="1116" spans="5:12" x14ac:dyDescent="0.35">
      <c r="E1116" s="2"/>
      <c r="F1116" s="2">
        <f>_xlfn.XLOOKUP(D1116,TIPOS_CAMBIO!A:A,TIPOS_CAMBIO!B:B,"",0)</f>
        <v>0</v>
      </c>
      <c r="G1116" s="3">
        <f t="shared" si="34"/>
        <v>0</v>
      </c>
      <c r="H1116" s="3"/>
      <c r="I1116" s="3">
        <f ca="1">IFERROR(_xludf.XLOOKUP("Seguro",PARAMETROS_IMPORTACION!$A:$A,PARAMETROS_IMPORTACION!$C:$C,0),0)</f>
        <v>0</v>
      </c>
      <c r="J1116" s="3">
        <f ca="1">IFERROR(_xludf.XLOOKUP("Arancel",PARAMETROS_IMPORTACION!$A:$A,PARAMETROS_IMPORTACION!$C:$C,0),0)</f>
        <v>0</v>
      </c>
      <c r="K1116" s="2">
        <f ca="1">IFERROR(_xludf.XLOOKUP("Gastos_Aduana",PARAMETROS_IMPORTACION!$A:$A,PARAMETROS_IMPORTACION!$C:$C,0),0)</f>
        <v>0</v>
      </c>
      <c r="L1116" s="2">
        <f t="shared" si="35"/>
        <v>0</v>
      </c>
    </row>
    <row r="1117" spans="5:12" x14ac:dyDescent="0.35">
      <c r="E1117" s="2"/>
      <c r="F1117" s="2">
        <f>_xlfn.XLOOKUP(D1117,TIPOS_CAMBIO!A:A,TIPOS_CAMBIO!B:B,"",0)</f>
        <v>0</v>
      </c>
      <c r="G1117" s="3">
        <f t="shared" si="34"/>
        <v>0</v>
      </c>
      <c r="H1117" s="3"/>
      <c r="I1117" s="3">
        <f ca="1">IFERROR(_xludf.XLOOKUP("Seguro",PARAMETROS_IMPORTACION!$A:$A,PARAMETROS_IMPORTACION!$C:$C,0),0)</f>
        <v>0</v>
      </c>
      <c r="J1117" s="3">
        <f ca="1">IFERROR(_xludf.XLOOKUP("Arancel",PARAMETROS_IMPORTACION!$A:$A,PARAMETROS_IMPORTACION!$C:$C,0),0)</f>
        <v>0</v>
      </c>
      <c r="K1117" s="2">
        <f ca="1">IFERROR(_xludf.XLOOKUP("Gastos_Aduana",PARAMETROS_IMPORTACION!$A:$A,PARAMETROS_IMPORTACION!$C:$C,0),0)</f>
        <v>0</v>
      </c>
      <c r="L1117" s="2">
        <f t="shared" si="35"/>
        <v>0</v>
      </c>
    </row>
    <row r="1118" spans="5:12" x14ac:dyDescent="0.35">
      <c r="E1118" s="2"/>
      <c r="F1118" s="2">
        <f>_xlfn.XLOOKUP(D1118,TIPOS_CAMBIO!A:A,TIPOS_CAMBIO!B:B,"",0)</f>
        <v>0</v>
      </c>
      <c r="G1118" s="3">
        <f t="shared" si="34"/>
        <v>0</v>
      </c>
      <c r="H1118" s="3"/>
      <c r="I1118" s="3">
        <f ca="1">IFERROR(_xludf.XLOOKUP("Seguro",PARAMETROS_IMPORTACION!$A:$A,PARAMETROS_IMPORTACION!$C:$C,0),0)</f>
        <v>0</v>
      </c>
      <c r="J1118" s="3">
        <f ca="1">IFERROR(_xludf.XLOOKUP("Arancel",PARAMETROS_IMPORTACION!$A:$A,PARAMETROS_IMPORTACION!$C:$C,0),0)</f>
        <v>0</v>
      </c>
      <c r="K1118" s="2">
        <f ca="1">IFERROR(_xludf.XLOOKUP("Gastos_Aduana",PARAMETROS_IMPORTACION!$A:$A,PARAMETROS_IMPORTACION!$C:$C,0),0)</f>
        <v>0</v>
      </c>
      <c r="L1118" s="2">
        <f t="shared" si="35"/>
        <v>0</v>
      </c>
    </row>
    <row r="1119" spans="5:12" x14ac:dyDescent="0.35">
      <c r="E1119" s="2"/>
      <c r="F1119" s="2">
        <f>_xlfn.XLOOKUP(D1119,TIPOS_CAMBIO!A:A,TIPOS_CAMBIO!B:B,"",0)</f>
        <v>0</v>
      </c>
      <c r="G1119" s="3">
        <f t="shared" si="34"/>
        <v>0</v>
      </c>
      <c r="H1119" s="3"/>
      <c r="I1119" s="3">
        <f ca="1">IFERROR(_xludf.XLOOKUP("Seguro",PARAMETROS_IMPORTACION!$A:$A,PARAMETROS_IMPORTACION!$C:$C,0),0)</f>
        <v>0</v>
      </c>
      <c r="J1119" s="3">
        <f ca="1">IFERROR(_xludf.XLOOKUP("Arancel",PARAMETROS_IMPORTACION!$A:$A,PARAMETROS_IMPORTACION!$C:$C,0),0)</f>
        <v>0</v>
      </c>
      <c r="K1119" s="2">
        <f ca="1">IFERROR(_xludf.XLOOKUP("Gastos_Aduana",PARAMETROS_IMPORTACION!$A:$A,PARAMETROS_IMPORTACION!$C:$C,0),0)</f>
        <v>0</v>
      </c>
      <c r="L1119" s="2">
        <f t="shared" si="35"/>
        <v>0</v>
      </c>
    </row>
    <row r="1120" spans="5:12" x14ac:dyDescent="0.35">
      <c r="E1120" s="2"/>
      <c r="F1120" s="2">
        <f>_xlfn.XLOOKUP(D1120,TIPOS_CAMBIO!A:A,TIPOS_CAMBIO!B:B,"",0)</f>
        <v>0</v>
      </c>
      <c r="G1120" s="3">
        <f t="shared" si="34"/>
        <v>0</v>
      </c>
      <c r="H1120" s="3"/>
      <c r="I1120" s="3">
        <f ca="1">IFERROR(_xludf.XLOOKUP("Seguro",PARAMETROS_IMPORTACION!$A:$A,PARAMETROS_IMPORTACION!$C:$C,0),0)</f>
        <v>0</v>
      </c>
      <c r="J1120" s="3">
        <f ca="1">IFERROR(_xludf.XLOOKUP("Arancel",PARAMETROS_IMPORTACION!$A:$A,PARAMETROS_IMPORTACION!$C:$C,0),0)</f>
        <v>0</v>
      </c>
      <c r="K1120" s="2">
        <f ca="1">IFERROR(_xludf.XLOOKUP("Gastos_Aduana",PARAMETROS_IMPORTACION!$A:$A,PARAMETROS_IMPORTACION!$C:$C,0),0)</f>
        <v>0</v>
      </c>
      <c r="L1120" s="2">
        <f t="shared" si="35"/>
        <v>0</v>
      </c>
    </row>
    <row r="1121" spans="5:12" x14ac:dyDescent="0.35">
      <c r="E1121" s="2"/>
      <c r="F1121" s="2">
        <f>_xlfn.XLOOKUP(D1121,TIPOS_CAMBIO!A:A,TIPOS_CAMBIO!B:B,"",0)</f>
        <v>0</v>
      </c>
      <c r="G1121" s="3">
        <f t="shared" si="34"/>
        <v>0</v>
      </c>
      <c r="H1121" s="3"/>
      <c r="I1121" s="3">
        <f ca="1">IFERROR(_xludf.XLOOKUP("Seguro",PARAMETROS_IMPORTACION!$A:$A,PARAMETROS_IMPORTACION!$C:$C,0),0)</f>
        <v>0</v>
      </c>
      <c r="J1121" s="3">
        <f ca="1">IFERROR(_xludf.XLOOKUP("Arancel",PARAMETROS_IMPORTACION!$A:$A,PARAMETROS_IMPORTACION!$C:$C,0),0)</f>
        <v>0</v>
      </c>
      <c r="K1121" s="2">
        <f ca="1">IFERROR(_xludf.XLOOKUP("Gastos_Aduana",PARAMETROS_IMPORTACION!$A:$A,PARAMETROS_IMPORTACION!$C:$C,0),0)</f>
        <v>0</v>
      </c>
      <c r="L1121" s="2">
        <f t="shared" si="35"/>
        <v>0</v>
      </c>
    </row>
    <row r="1122" spans="5:12" x14ac:dyDescent="0.35">
      <c r="E1122" s="2"/>
      <c r="F1122" s="2">
        <f>_xlfn.XLOOKUP(D1122,TIPOS_CAMBIO!A:A,TIPOS_CAMBIO!B:B,"",0)</f>
        <v>0</v>
      </c>
      <c r="G1122" s="3">
        <f t="shared" si="34"/>
        <v>0</v>
      </c>
      <c r="H1122" s="3"/>
      <c r="I1122" s="3">
        <f ca="1">IFERROR(_xludf.XLOOKUP("Seguro",PARAMETROS_IMPORTACION!$A:$A,PARAMETROS_IMPORTACION!$C:$C,0),0)</f>
        <v>0</v>
      </c>
      <c r="J1122" s="3">
        <f ca="1">IFERROR(_xludf.XLOOKUP("Arancel",PARAMETROS_IMPORTACION!$A:$A,PARAMETROS_IMPORTACION!$C:$C,0),0)</f>
        <v>0</v>
      </c>
      <c r="K1122" s="2">
        <f ca="1">IFERROR(_xludf.XLOOKUP("Gastos_Aduana",PARAMETROS_IMPORTACION!$A:$A,PARAMETROS_IMPORTACION!$C:$C,0),0)</f>
        <v>0</v>
      </c>
      <c r="L1122" s="2">
        <f t="shared" si="35"/>
        <v>0</v>
      </c>
    </row>
    <row r="1123" spans="5:12" x14ac:dyDescent="0.35">
      <c r="E1123" s="2"/>
      <c r="F1123" s="2">
        <f>_xlfn.XLOOKUP(D1123,TIPOS_CAMBIO!A:A,TIPOS_CAMBIO!B:B,"",0)</f>
        <v>0</v>
      </c>
      <c r="G1123" s="3">
        <f t="shared" si="34"/>
        <v>0</v>
      </c>
      <c r="H1123" s="3"/>
      <c r="I1123" s="3">
        <f ca="1">IFERROR(_xludf.XLOOKUP("Seguro",PARAMETROS_IMPORTACION!$A:$A,PARAMETROS_IMPORTACION!$C:$C,0),0)</f>
        <v>0</v>
      </c>
      <c r="J1123" s="3">
        <f ca="1">IFERROR(_xludf.XLOOKUP("Arancel",PARAMETROS_IMPORTACION!$A:$A,PARAMETROS_IMPORTACION!$C:$C,0),0)</f>
        <v>0</v>
      </c>
      <c r="K1123" s="2">
        <f ca="1">IFERROR(_xludf.XLOOKUP("Gastos_Aduana",PARAMETROS_IMPORTACION!$A:$A,PARAMETROS_IMPORTACION!$C:$C,0),0)</f>
        <v>0</v>
      </c>
      <c r="L1123" s="2">
        <f t="shared" si="35"/>
        <v>0</v>
      </c>
    </row>
    <row r="1124" spans="5:12" x14ac:dyDescent="0.35">
      <c r="E1124" s="2"/>
      <c r="F1124" s="2">
        <f>_xlfn.XLOOKUP(D1124,TIPOS_CAMBIO!A:A,TIPOS_CAMBIO!B:B,"",0)</f>
        <v>0</v>
      </c>
      <c r="G1124" s="3">
        <f t="shared" si="34"/>
        <v>0</v>
      </c>
      <c r="H1124" s="3"/>
      <c r="I1124" s="3">
        <f ca="1">IFERROR(_xludf.XLOOKUP("Seguro",PARAMETROS_IMPORTACION!$A:$A,PARAMETROS_IMPORTACION!$C:$C,0),0)</f>
        <v>0</v>
      </c>
      <c r="J1124" s="3">
        <f ca="1">IFERROR(_xludf.XLOOKUP("Arancel",PARAMETROS_IMPORTACION!$A:$A,PARAMETROS_IMPORTACION!$C:$C,0),0)</f>
        <v>0</v>
      </c>
      <c r="K1124" s="2">
        <f ca="1">IFERROR(_xludf.XLOOKUP("Gastos_Aduana",PARAMETROS_IMPORTACION!$A:$A,PARAMETROS_IMPORTACION!$C:$C,0),0)</f>
        <v>0</v>
      </c>
      <c r="L1124" s="2">
        <f t="shared" si="35"/>
        <v>0</v>
      </c>
    </row>
    <row r="1125" spans="5:12" x14ac:dyDescent="0.35">
      <c r="E1125" s="2"/>
      <c r="F1125" s="2">
        <f>_xlfn.XLOOKUP(D1125,TIPOS_CAMBIO!A:A,TIPOS_CAMBIO!B:B,"",0)</f>
        <v>0</v>
      </c>
      <c r="G1125" s="3">
        <f t="shared" si="34"/>
        <v>0</v>
      </c>
      <c r="H1125" s="3"/>
      <c r="I1125" s="3">
        <f ca="1">IFERROR(_xludf.XLOOKUP("Seguro",PARAMETROS_IMPORTACION!$A:$A,PARAMETROS_IMPORTACION!$C:$C,0),0)</f>
        <v>0</v>
      </c>
      <c r="J1125" s="3">
        <f ca="1">IFERROR(_xludf.XLOOKUP("Arancel",PARAMETROS_IMPORTACION!$A:$A,PARAMETROS_IMPORTACION!$C:$C,0),0)</f>
        <v>0</v>
      </c>
      <c r="K1125" s="2">
        <f ca="1">IFERROR(_xludf.XLOOKUP("Gastos_Aduana",PARAMETROS_IMPORTACION!$A:$A,PARAMETROS_IMPORTACION!$C:$C,0),0)</f>
        <v>0</v>
      </c>
      <c r="L1125" s="2">
        <f t="shared" si="35"/>
        <v>0</v>
      </c>
    </row>
    <row r="1126" spans="5:12" x14ac:dyDescent="0.35">
      <c r="E1126" s="2"/>
      <c r="F1126" s="2">
        <f>_xlfn.XLOOKUP(D1126,TIPOS_CAMBIO!A:A,TIPOS_CAMBIO!B:B,"",0)</f>
        <v>0</v>
      </c>
      <c r="G1126" s="3">
        <f t="shared" si="34"/>
        <v>0</v>
      </c>
      <c r="H1126" s="3"/>
      <c r="I1126" s="3">
        <f ca="1">IFERROR(_xludf.XLOOKUP("Seguro",PARAMETROS_IMPORTACION!$A:$A,PARAMETROS_IMPORTACION!$C:$C,0),0)</f>
        <v>0</v>
      </c>
      <c r="J1126" s="3">
        <f ca="1">IFERROR(_xludf.XLOOKUP("Arancel",PARAMETROS_IMPORTACION!$A:$A,PARAMETROS_IMPORTACION!$C:$C,0),0)</f>
        <v>0</v>
      </c>
      <c r="K1126" s="2">
        <f ca="1">IFERROR(_xludf.XLOOKUP("Gastos_Aduana",PARAMETROS_IMPORTACION!$A:$A,PARAMETROS_IMPORTACION!$C:$C,0),0)</f>
        <v>0</v>
      </c>
      <c r="L1126" s="2">
        <f t="shared" si="35"/>
        <v>0</v>
      </c>
    </row>
    <row r="1127" spans="5:12" x14ac:dyDescent="0.35">
      <c r="E1127" s="2"/>
      <c r="F1127" s="2">
        <f>_xlfn.XLOOKUP(D1127,TIPOS_CAMBIO!A:A,TIPOS_CAMBIO!B:B,"",0)</f>
        <v>0</v>
      </c>
      <c r="G1127" s="3">
        <f t="shared" si="34"/>
        <v>0</v>
      </c>
      <c r="H1127" s="3"/>
      <c r="I1127" s="3">
        <f ca="1">IFERROR(_xludf.XLOOKUP("Seguro",PARAMETROS_IMPORTACION!$A:$A,PARAMETROS_IMPORTACION!$C:$C,0),0)</f>
        <v>0</v>
      </c>
      <c r="J1127" s="3">
        <f ca="1">IFERROR(_xludf.XLOOKUP("Arancel",PARAMETROS_IMPORTACION!$A:$A,PARAMETROS_IMPORTACION!$C:$C,0),0)</f>
        <v>0</v>
      </c>
      <c r="K1127" s="2">
        <f ca="1">IFERROR(_xludf.XLOOKUP("Gastos_Aduana",PARAMETROS_IMPORTACION!$A:$A,PARAMETROS_IMPORTACION!$C:$C,0),0)</f>
        <v>0</v>
      </c>
      <c r="L1127" s="2">
        <f t="shared" si="35"/>
        <v>0</v>
      </c>
    </row>
    <row r="1128" spans="5:12" x14ac:dyDescent="0.35">
      <c r="E1128" s="2"/>
      <c r="F1128" s="2">
        <f>_xlfn.XLOOKUP(D1128,TIPOS_CAMBIO!A:A,TIPOS_CAMBIO!B:B,"",0)</f>
        <v>0</v>
      </c>
      <c r="G1128" s="3">
        <f t="shared" si="34"/>
        <v>0</v>
      </c>
      <c r="H1128" s="3"/>
      <c r="I1128" s="3">
        <f ca="1">IFERROR(_xludf.XLOOKUP("Seguro",PARAMETROS_IMPORTACION!$A:$A,PARAMETROS_IMPORTACION!$C:$C,0),0)</f>
        <v>0</v>
      </c>
      <c r="J1128" s="3">
        <f ca="1">IFERROR(_xludf.XLOOKUP("Arancel",PARAMETROS_IMPORTACION!$A:$A,PARAMETROS_IMPORTACION!$C:$C,0),0)</f>
        <v>0</v>
      </c>
      <c r="K1128" s="2">
        <f ca="1">IFERROR(_xludf.XLOOKUP("Gastos_Aduana",PARAMETROS_IMPORTACION!$A:$A,PARAMETROS_IMPORTACION!$C:$C,0),0)</f>
        <v>0</v>
      </c>
      <c r="L1128" s="2">
        <f t="shared" si="35"/>
        <v>0</v>
      </c>
    </row>
    <row r="1129" spans="5:12" x14ac:dyDescent="0.35">
      <c r="E1129" s="2"/>
      <c r="F1129" s="2">
        <f>_xlfn.XLOOKUP(D1129,TIPOS_CAMBIO!A:A,TIPOS_CAMBIO!B:B,"",0)</f>
        <v>0</v>
      </c>
      <c r="G1129" s="3">
        <f t="shared" si="34"/>
        <v>0</v>
      </c>
      <c r="H1129" s="3"/>
      <c r="I1129" s="3">
        <f ca="1">IFERROR(_xludf.XLOOKUP("Seguro",PARAMETROS_IMPORTACION!$A:$A,PARAMETROS_IMPORTACION!$C:$C,0),0)</f>
        <v>0</v>
      </c>
      <c r="J1129" s="3">
        <f ca="1">IFERROR(_xludf.XLOOKUP("Arancel",PARAMETROS_IMPORTACION!$A:$A,PARAMETROS_IMPORTACION!$C:$C,0),0)</f>
        <v>0</v>
      </c>
      <c r="K1129" s="2">
        <f ca="1">IFERROR(_xludf.XLOOKUP("Gastos_Aduana",PARAMETROS_IMPORTACION!$A:$A,PARAMETROS_IMPORTACION!$C:$C,0),0)</f>
        <v>0</v>
      </c>
      <c r="L1129" s="2">
        <f t="shared" si="35"/>
        <v>0</v>
      </c>
    </row>
    <row r="1130" spans="5:12" x14ac:dyDescent="0.35">
      <c r="E1130" s="2"/>
      <c r="F1130" s="2">
        <f>_xlfn.XLOOKUP(D1130,TIPOS_CAMBIO!A:A,TIPOS_CAMBIO!B:B,"",0)</f>
        <v>0</v>
      </c>
      <c r="G1130" s="3">
        <f t="shared" si="34"/>
        <v>0</v>
      </c>
      <c r="H1130" s="3"/>
      <c r="I1130" s="3">
        <f ca="1">IFERROR(_xludf.XLOOKUP("Seguro",PARAMETROS_IMPORTACION!$A:$A,PARAMETROS_IMPORTACION!$C:$C,0),0)</f>
        <v>0</v>
      </c>
      <c r="J1130" s="3">
        <f ca="1">IFERROR(_xludf.XLOOKUP("Arancel",PARAMETROS_IMPORTACION!$A:$A,PARAMETROS_IMPORTACION!$C:$C,0),0)</f>
        <v>0</v>
      </c>
      <c r="K1130" s="2">
        <f ca="1">IFERROR(_xludf.XLOOKUP("Gastos_Aduana",PARAMETROS_IMPORTACION!$A:$A,PARAMETROS_IMPORTACION!$C:$C,0),0)</f>
        <v>0</v>
      </c>
      <c r="L1130" s="2">
        <f t="shared" si="35"/>
        <v>0</v>
      </c>
    </row>
    <row r="1131" spans="5:12" x14ac:dyDescent="0.35">
      <c r="E1131" s="2"/>
      <c r="F1131" s="2">
        <f>_xlfn.XLOOKUP(D1131,TIPOS_CAMBIO!A:A,TIPOS_CAMBIO!B:B,"",0)</f>
        <v>0</v>
      </c>
      <c r="G1131" s="3">
        <f t="shared" si="34"/>
        <v>0</v>
      </c>
      <c r="H1131" s="3"/>
      <c r="I1131" s="3">
        <f ca="1">IFERROR(_xludf.XLOOKUP("Seguro",PARAMETROS_IMPORTACION!$A:$A,PARAMETROS_IMPORTACION!$C:$C,0),0)</f>
        <v>0</v>
      </c>
      <c r="J1131" s="3">
        <f ca="1">IFERROR(_xludf.XLOOKUP("Arancel",PARAMETROS_IMPORTACION!$A:$A,PARAMETROS_IMPORTACION!$C:$C,0),0)</f>
        <v>0</v>
      </c>
      <c r="K1131" s="2">
        <f ca="1">IFERROR(_xludf.XLOOKUP("Gastos_Aduana",PARAMETROS_IMPORTACION!$A:$A,PARAMETROS_IMPORTACION!$C:$C,0),0)</f>
        <v>0</v>
      </c>
      <c r="L1131" s="2">
        <f t="shared" si="35"/>
        <v>0</v>
      </c>
    </row>
    <row r="1132" spans="5:12" x14ac:dyDescent="0.35">
      <c r="E1132" s="2"/>
      <c r="F1132" s="2">
        <f>_xlfn.XLOOKUP(D1132,TIPOS_CAMBIO!A:A,TIPOS_CAMBIO!B:B,"",0)</f>
        <v>0</v>
      </c>
      <c r="G1132" s="3">
        <f t="shared" si="34"/>
        <v>0</v>
      </c>
      <c r="H1132" s="3"/>
      <c r="I1132" s="3">
        <f ca="1">IFERROR(_xludf.XLOOKUP("Seguro",PARAMETROS_IMPORTACION!$A:$A,PARAMETROS_IMPORTACION!$C:$C,0),0)</f>
        <v>0</v>
      </c>
      <c r="J1132" s="3">
        <f ca="1">IFERROR(_xludf.XLOOKUP("Arancel",PARAMETROS_IMPORTACION!$A:$A,PARAMETROS_IMPORTACION!$C:$C,0),0)</f>
        <v>0</v>
      </c>
      <c r="K1132" s="2">
        <f ca="1">IFERROR(_xludf.XLOOKUP("Gastos_Aduana",PARAMETROS_IMPORTACION!$A:$A,PARAMETROS_IMPORTACION!$C:$C,0),0)</f>
        <v>0</v>
      </c>
      <c r="L1132" s="2">
        <f t="shared" si="35"/>
        <v>0</v>
      </c>
    </row>
    <row r="1133" spans="5:12" x14ac:dyDescent="0.35">
      <c r="E1133" s="2"/>
      <c r="F1133" s="2">
        <f>_xlfn.XLOOKUP(D1133,TIPOS_CAMBIO!A:A,TIPOS_CAMBIO!B:B,"",0)</f>
        <v>0</v>
      </c>
      <c r="G1133" s="3">
        <f t="shared" si="34"/>
        <v>0</v>
      </c>
      <c r="H1133" s="3"/>
      <c r="I1133" s="3">
        <f ca="1">IFERROR(_xludf.XLOOKUP("Seguro",PARAMETROS_IMPORTACION!$A:$A,PARAMETROS_IMPORTACION!$C:$C,0),0)</f>
        <v>0</v>
      </c>
      <c r="J1133" s="3">
        <f ca="1">IFERROR(_xludf.XLOOKUP("Arancel",PARAMETROS_IMPORTACION!$A:$A,PARAMETROS_IMPORTACION!$C:$C,0),0)</f>
        <v>0</v>
      </c>
      <c r="K1133" s="2">
        <f ca="1">IFERROR(_xludf.XLOOKUP("Gastos_Aduana",PARAMETROS_IMPORTACION!$A:$A,PARAMETROS_IMPORTACION!$C:$C,0),0)</f>
        <v>0</v>
      </c>
      <c r="L1133" s="2">
        <f t="shared" si="35"/>
        <v>0</v>
      </c>
    </row>
    <row r="1134" spans="5:12" x14ac:dyDescent="0.35">
      <c r="E1134" s="2"/>
      <c r="F1134" s="2">
        <f>_xlfn.XLOOKUP(D1134,TIPOS_CAMBIO!A:A,TIPOS_CAMBIO!B:B,"",0)</f>
        <v>0</v>
      </c>
      <c r="G1134" s="3">
        <f t="shared" si="34"/>
        <v>0</v>
      </c>
      <c r="H1134" s="3"/>
      <c r="I1134" s="3">
        <f ca="1">IFERROR(_xludf.XLOOKUP("Seguro",PARAMETROS_IMPORTACION!$A:$A,PARAMETROS_IMPORTACION!$C:$C,0),0)</f>
        <v>0</v>
      </c>
      <c r="J1134" s="3">
        <f ca="1">IFERROR(_xludf.XLOOKUP("Arancel",PARAMETROS_IMPORTACION!$A:$A,PARAMETROS_IMPORTACION!$C:$C,0),0)</f>
        <v>0</v>
      </c>
      <c r="K1134" s="2">
        <f ca="1">IFERROR(_xludf.XLOOKUP("Gastos_Aduana",PARAMETROS_IMPORTACION!$A:$A,PARAMETROS_IMPORTACION!$C:$C,0),0)</f>
        <v>0</v>
      </c>
      <c r="L1134" s="2">
        <f t="shared" si="35"/>
        <v>0</v>
      </c>
    </row>
    <row r="1135" spans="5:12" x14ac:dyDescent="0.35">
      <c r="E1135" s="2"/>
      <c r="F1135" s="2">
        <f>_xlfn.XLOOKUP(D1135,TIPOS_CAMBIO!A:A,TIPOS_CAMBIO!B:B,"",0)</f>
        <v>0</v>
      </c>
      <c r="G1135" s="3">
        <f t="shared" si="34"/>
        <v>0</v>
      </c>
      <c r="H1135" s="3"/>
      <c r="I1135" s="3">
        <f ca="1">IFERROR(_xludf.XLOOKUP("Seguro",PARAMETROS_IMPORTACION!$A:$A,PARAMETROS_IMPORTACION!$C:$C,0),0)</f>
        <v>0</v>
      </c>
      <c r="J1135" s="3">
        <f ca="1">IFERROR(_xludf.XLOOKUP("Arancel",PARAMETROS_IMPORTACION!$A:$A,PARAMETROS_IMPORTACION!$C:$C,0),0)</f>
        <v>0</v>
      </c>
      <c r="K1135" s="2">
        <f ca="1">IFERROR(_xludf.XLOOKUP("Gastos_Aduana",PARAMETROS_IMPORTACION!$A:$A,PARAMETROS_IMPORTACION!$C:$C,0),0)</f>
        <v>0</v>
      </c>
      <c r="L1135" s="2">
        <f t="shared" si="35"/>
        <v>0</v>
      </c>
    </row>
    <row r="1136" spans="5:12" x14ac:dyDescent="0.35">
      <c r="E1136" s="2"/>
      <c r="F1136" s="2">
        <f>_xlfn.XLOOKUP(D1136,TIPOS_CAMBIO!A:A,TIPOS_CAMBIO!B:B,"",0)</f>
        <v>0</v>
      </c>
      <c r="G1136" s="3">
        <f t="shared" si="34"/>
        <v>0</v>
      </c>
      <c r="H1136" s="3"/>
      <c r="I1136" s="3">
        <f ca="1">IFERROR(_xludf.XLOOKUP("Seguro",PARAMETROS_IMPORTACION!$A:$A,PARAMETROS_IMPORTACION!$C:$C,0),0)</f>
        <v>0</v>
      </c>
      <c r="J1136" s="3">
        <f ca="1">IFERROR(_xludf.XLOOKUP("Arancel",PARAMETROS_IMPORTACION!$A:$A,PARAMETROS_IMPORTACION!$C:$C,0),0)</f>
        <v>0</v>
      </c>
      <c r="K1136" s="2">
        <f ca="1">IFERROR(_xludf.XLOOKUP("Gastos_Aduana",PARAMETROS_IMPORTACION!$A:$A,PARAMETROS_IMPORTACION!$C:$C,0),0)</f>
        <v>0</v>
      </c>
      <c r="L1136" s="2">
        <f t="shared" si="35"/>
        <v>0</v>
      </c>
    </row>
    <row r="1137" spans="5:12" x14ac:dyDescent="0.35">
      <c r="E1137" s="2"/>
      <c r="F1137" s="2">
        <f>_xlfn.XLOOKUP(D1137,TIPOS_CAMBIO!A:A,TIPOS_CAMBIO!B:B,"",0)</f>
        <v>0</v>
      </c>
      <c r="G1137" s="3">
        <f t="shared" si="34"/>
        <v>0</v>
      </c>
      <c r="H1137" s="3"/>
      <c r="I1137" s="3">
        <f ca="1">IFERROR(_xludf.XLOOKUP("Seguro",PARAMETROS_IMPORTACION!$A:$A,PARAMETROS_IMPORTACION!$C:$C,0),0)</f>
        <v>0</v>
      </c>
      <c r="J1137" s="3">
        <f ca="1">IFERROR(_xludf.XLOOKUP("Arancel",PARAMETROS_IMPORTACION!$A:$A,PARAMETROS_IMPORTACION!$C:$C,0),0)</f>
        <v>0</v>
      </c>
      <c r="K1137" s="2">
        <f ca="1">IFERROR(_xludf.XLOOKUP("Gastos_Aduana",PARAMETROS_IMPORTACION!$A:$A,PARAMETROS_IMPORTACION!$C:$C,0),0)</f>
        <v>0</v>
      </c>
      <c r="L1137" s="2">
        <f t="shared" si="35"/>
        <v>0</v>
      </c>
    </row>
    <row r="1138" spans="5:12" x14ac:dyDescent="0.35">
      <c r="E1138" s="2"/>
      <c r="F1138" s="2">
        <f>_xlfn.XLOOKUP(D1138,TIPOS_CAMBIO!A:A,TIPOS_CAMBIO!B:B,"",0)</f>
        <v>0</v>
      </c>
      <c r="G1138" s="3">
        <f t="shared" si="34"/>
        <v>0</v>
      </c>
      <c r="H1138" s="3"/>
      <c r="I1138" s="3">
        <f ca="1">IFERROR(_xludf.XLOOKUP("Seguro",PARAMETROS_IMPORTACION!$A:$A,PARAMETROS_IMPORTACION!$C:$C,0),0)</f>
        <v>0</v>
      </c>
      <c r="J1138" s="3">
        <f ca="1">IFERROR(_xludf.XLOOKUP("Arancel",PARAMETROS_IMPORTACION!$A:$A,PARAMETROS_IMPORTACION!$C:$C,0),0)</f>
        <v>0</v>
      </c>
      <c r="K1138" s="2">
        <f ca="1">IFERROR(_xludf.XLOOKUP("Gastos_Aduana",PARAMETROS_IMPORTACION!$A:$A,PARAMETROS_IMPORTACION!$C:$C,0),0)</f>
        <v>0</v>
      </c>
      <c r="L1138" s="2">
        <f t="shared" si="35"/>
        <v>0</v>
      </c>
    </row>
    <row r="1139" spans="5:12" x14ac:dyDescent="0.35">
      <c r="E1139" s="2"/>
      <c r="F1139" s="2">
        <f>_xlfn.XLOOKUP(D1139,TIPOS_CAMBIO!A:A,TIPOS_CAMBIO!B:B,"",0)</f>
        <v>0</v>
      </c>
      <c r="G1139" s="3">
        <f t="shared" si="34"/>
        <v>0</v>
      </c>
      <c r="H1139" s="3"/>
      <c r="I1139" s="3">
        <f ca="1">IFERROR(_xludf.XLOOKUP("Seguro",PARAMETROS_IMPORTACION!$A:$A,PARAMETROS_IMPORTACION!$C:$C,0),0)</f>
        <v>0</v>
      </c>
      <c r="J1139" s="3">
        <f ca="1">IFERROR(_xludf.XLOOKUP("Arancel",PARAMETROS_IMPORTACION!$A:$A,PARAMETROS_IMPORTACION!$C:$C,0),0)</f>
        <v>0</v>
      </c>
      <c r="K1139" s="2">
        <f ca="1">IFERROR(_xludf.XLOOKUP("Gastos_Aduana",PARAMETROS_IMPORTACION!$A:$A,PARAMETROS_IMPORTACION!$C:$C,0),0)</f>
        <v>0</v>
      </c>
      <c r="L1139" s="2">
        <f t="shared" si="35"/>
        <v>0</v>
      </c>
    </row>
    <row r="1140" spans="5:12" x14ac:dyDescent="0.35">
      <c r="E1140" s="2"/>
      <c r="F1140" s="2">
        <f>_xlfn.XLOOKUP(D1140,TIPOS_CAMBIO!A:A,TIPOS_CAMBIO!B:B,"",0)</f>
        <v>0</v>
      </c>
      <c r="G1140" s="3">
        <f t="shared" si="34"/>
        <v>0</v>
      </c>
      <c r="H1140" s="3"/>
      <c r="I1140" s="3">
        <f ca="1">IFERROR(_xludf.XLOOKUP("Seguro",PARAMETROS_IMPORTACION!$A:$A,PARAMETROS_IMPORTACION!$C:$C,0),0)</f>
        <v>0</v>
      </c>
      <c r="J1140" s="3">
        <f ca="1">IFERROR(_xludf.XLOOKUP("Arancel",PARAMETROS_IMPORTACION!$A:$A,PARAMETROS_IMPORTACION!$C:$C,0),0)</f>
        <v>0</v>
      </c>
      <c r="K1140" s="2">
        <f ca="1">IFERROR(_xludf.XLOOKUP("Gastos_Aduana",PARAMETROS_IMPORTACION!$A:$A,PARAMETROS_IMPORTACION!$C:$C,0),0)</f>
        <v>0</v>
      </c>
      <c r="L1140" s="2">
        <f t="shared" si="35"/>
        <v>0</v>
      </c>
    </row>
    <row r="1141" spans="5:12" x14ac:dyDescent="0.35">
      <c r="E1141" s="2"/>
      <c r="F1141" s="2">
        <f>_xlfn.XLOOKUP(D1141,TIPOS_CAMBIO!A:A,TIPOS_CAMBIO!B:B,"",0)</f>
        <v>0</v>
      </c>
      <c r="G1141" s="3">
        <f t="shared" si="34"/>
        <v>0</v>
      </c>
      <c r="H1141" s="3"/>
      <c r="I1141" s="3">
        <f ca="1">IFERROR(_xludf.XLOOKUP("Seguro",PARAMETROS_IMPORTACION!$A:$A,PARAMETROS_IMPORTACION!$C:$C,0),0)</f>
        <v>0</v>
      </c>
      <c r="J1141" s="3">
        <f ca="1">IFERROR(_xludf.XLOOKUP("Arancel",PARAMETROS_IMPORTACION!$A:$A,PARAMETROS_IMPORTACION!$C:$C,0),0)</f>
        <v>0</v>
      </c>
      <c r="K1141" s="2">
        <f ca="1">IFERROR(_xludf.XLOOKUP("Gastos_Aduana",PARAMETROS_IMPORTACION!$A:$A,PARAMETROS_IMPORTACION!$C:$C,0),0)</f>
        <v>0</v>
      </c>
      <c r="L1141" s="2">
        <f t="shared" si="35"/>
        <v>0</v>
      </c>
    </row>
    <row r="1142" spans="5:12" x14ac:dyDescent="0.35">
      <c r="E1142" s="2"/>
      <c r="F1142" s="2">
        <f>_xlfn.XLOOKUP(D1142,TIPOS_CAMBIO!A:A,TIPOS_CAMBIO!B:B,"",0)</f>
        <v>0</v>
      </c>
      <c r="G1142" s="3">
        <f t="shared" si="34"/>
        <v>0</v>
      </c>
      <c r="H1142" s="3"/>
      <c r="I1142" s="3">
        <f ca="1">IFERROR(_xludf.XLOOKUP("Seguro",PARAMETROS_IMPORTACION!$A:$A,PARAMETROS_IMPORTACION!$C:$C,0),0)</f>
        <v>0</v>
      </c>
      <c r="J1142" s="3">
        <f ca="1">IFERROR(_xludf.XLOOKUP("Arancel",PARAMETROS_IMPORTACION!$A:$A,PARAMETROS_IMPORTACION!$C:$C,0),0)</f>
        <v>0</v>
      </c>
      <c r="K1142" s="2">
        <f ca="1">IFERROR(_xludf.XLOOKUP("Gastos_Aduana",PARAMETROS_IMPORTACION!$A:$A,PARAMETROS_IMPORTACION!$C:$C,0),0)</f>
        <v>0</v>
      </c>
      <c r="L1142" s="2">
        <f t="shared" si="35"/>
        <v>0</v>
      </c>
    </row>
    <row r="1143" spans="5:12" x14ac:dyDescent="0.35">
      <c r="E1143" s="2"/>
      <c r="F1143" s="2">
        <f>_xlfn.XLOOKUP(D1143,TIPOS_CAMBIO!A:A,TIPOS_CAMBIO!B:B,"",0)</f>
        <v>0</v>
      </c>
      <c r="G1143" s="3">
        <f t="shared" si="34"/>
        <v>0</v>
      </c>
      <c r="H1143" s="3"/>
      <c r="I1143" s="3">
        <f ca="1">IFERROR(_xludf.XLOOKUP("Seguro",PARAMETROS_IMPORTACION!$A:$A,PARAMETROS_IMPORTACION!$C:$C,0),0)</f>
        <v>0</v>
      </c>
      <c r="J1143" s="3">
        <f ca="1">IFERROR(_xludf.XLOOKUP("Arancel",PARAMETROS_IMPORTACION!$A:$A,PARAMETROS_IMPORTACION!$C:$C,0),0)</f>
        <v>0</v>
      </c>
      <c r="K1143" s="2">
        <f ca="1">IFERROR(_xludf.XLOOKUP("Gastos_Aduana",PARAMETROS_IMPORTACION!$A:$A,PARAMETROS_IMPORTACION!$C:$C,0),0)</f>
        <v>0</v>
      </c>
      <c r="L1143" s="2">
        <f t="shared" si="35"/>
        <v>0</v>
      </c>
    </row>
    <row r="1144" spans="5:12" x14ac:dyDescent="0.35">
      <c r="E1144" s="2"/>
      <c r="F1144" s="2">
        <f>_xlfn.XLOOKUP(D1144,TIPOS_CAMBIO!A:A,TIPOS_CAMBIO!B:B,"",0)</f>
        <v>0</v>
      </c>
      <c r="G1144" s="3">
        <f t="shared" si="34"/>
        <v>0</v>
      </c>
      <c r="H1144" s="3"/>
      <c r="I1144" s="3">
        <f ca="1">IFERROR(_xludf.XLOOKUP("Seguro",PARAMETROS_IMPORTACION!$A:$A,PARAMETROS_IMPORTACION!$C:$C,0),0)</f>
        <v>0</v>
      </c>
      <c r="J1144" s="3">
        <f ca="1">IFERROR(_xludf.XLOOKUP("Arancel",PARAMETROS_IMPORTACION!$A:$A,PARAMETROS_IMPORTACION!$C:$C,0),0)</f>
        <v>0</v>
      </c>
      <c r="K1144" s="2">
        <f ca="1">IFERROR(_xludf.XLOOKUP("Gastos_Aduana",PARAMETROS_IMPORTACION!$A:$A,PARAMETROS_IMPORTACION!$C:$C,0),0)</f>
        <v>0</v>
      </c>
      <c r="L1144" s="2">
        <f t="shared" si="35"/>
        <v>0</v>
      </c>
    </row>
    <row r="1145" spans="5:12" x14ac:dyDescent="0.35">
      <c r="E1145" s="2"/>
      <c r="F1145" s="2">
        <f>_xlfn.XLOOKUP(D1145,TIPOS_CAMBIO!A:A,TIPOS_CAMBIO!B:B,"",0)</f>
        <v>0</v>
      </c>
      <c r="G1145" s="3">
        <f t="shared" si="34"/>
        <v>0</v>
      </c>
      <c r="H1145" s="3"/>
      <c r="I1145" s="3">
        <f ca="1">IFERROR(_xludf.XLOOKUP("Seguro",PARAMETROS_IMPORTACION!$A:$A,PARAMETROS_IMPORTACION!$C:$C,0),0)</f>
        <v>0</v>
      </c>
      <c r="J1145" s="3">
        <f ca="1">IFERROR(_xludf.XLOOKUP("Arancel",PARAMETROS_IMPORTACION!$A:$A,PARAMETROS_IMPORTACION!$C:$C,0),0)</f>
        <v>0</v>
      </c>
      <c r="K1145" s="2">
        <f ca="1">IFERROR(_xludf.XLOOKUP("Gastos_Aduana",PARAMETROS_IMPORTACION!$A:$A,PARAMETROS_IMPORTACION!$C:$C,0),0)</f>
        <v>0</v>
      </c>
      <c r="L1145" s="2">
        <f t="shared" si="35"/>
        <v>0</v>
      </c>
    </row>
    <row r="1146" spans="5:12" x14ac:dyDescent="0.35">
      <c r="E1146" s="2"/>
      <c r="F1146" s="2">
        <f>_xlfn.XLOOKUP(D1146,TIPOS_CAMBIO!A:A,TIPOS_CAMBIO!B:B,"",0)</f>
        <v>0</v>
      </c>
      <c r="G1146" s="3">
        <f t="shared" si="34"/>
        <v>0</v>
      </c>
      <c r="H1146" s="3"/>
      <c r="I1146" s="3">
        <f ca="1">IFERROR(_xludf.XLOOKUP("Seguro",PARAMETROS_IMPORTACION!$A:$A,PARAMETROS_IMPORTACION!$C:$C,0),0)</f>
        <v>0</v>
      </c>
      <c r="J1146" s="3">
        <f ca="1">IFERROR(_xludf.XLOOKUP("Arancel",PARAMETROS_IMPORTACION!$A:$A,PARAMETROS_IMPORTACION!$C:$C,0),0)</f>
        <v>0</v>
      </c>
      <c r="K1146" s="2">
        <f ca="1">IFERROR(_xludf.XLOOKUP("Gastos_Aduana",PARAMETROS_IMPORTACION!$A:$A,PARAMETROS_IMPORTACION!$C:$C,0),0)</f>
        <v>0</v>
      </c>
      <c r="L1146" s="2">
        <f t="shared" si="35"/>
        <v>0</v>
      </c>
    </row>
    <row r="1147" spans="5:12" x14ac:dyDescent="0.35">
      <c r="E1147" s="2"/>
      <c r="F1147" s="2">
        <f>_xlfn.XLOOKUP(D1147,TIPOS_CAMBIO!A:A,TIPOS_CAMBIO!B:B,"",0)</f>
        <v>0</v>
      </c>
      <c r="G1147" s="3">
        <f t="shared" si="34"/>
        <v>0</v>
      </c>
      <c r="H1147" s="3"/>
      <c r="I1147" s="3">
        <f ca="1">IFERROR(_xludf.XLOOKUP("Seguro",PARAMETROS_IMPORTACION!$A:$A,PARAMETROS_IMPORTACION!$C:$C,0),0)</f>
        <v>0</v>
      </c>
      <c r="J1147" s="3">
        <f ca="1">IFERROR(_xludf.XLOOKUP("Arancel",PARAMETROS_IMPORTACION!$A:$A,PARAMETROS_IMPORTACION!$C:$C,0),0)</f>
        <v>0</v>
      </c>
      <c r="K1147" s="2">
        <f ca="1">IFERROR(_xludf.XLOOKUP("Gastos_Aduana",PARAMETROS_IMPORTACION!$A:$A,PARAMETROS_IMPORTACION!$C:$C,0),0)</f>
        <v>0</v>
      </c>
      <c r="L1147" s="2">
        <f t="shared" si="35"/>
        <v>0</v>
      </c>
    </row>
    <row r="1148" spans="5:12" x14ac:dyDescent="0.35">
      <c r="E1148" s="2"/>
      <c r="F1148" s="2">
        <f>_xlfn.XLOOKUP(D1148,TIPOS_CAMBIO!A:A,TIPOS_CAMBIO!B:B,"",0)</f>
        <v>0</v>
      </c>
      <c r="G1148" s="3">
        <f t="shared" si="34"/>
        <v>0</v>
      </c>
      <c r="H1148" s="3"/>
      <c r="I1148" s="3">
        <f ca="1">IFERROR(_xludf.XLOOKUP("Seguro",PARAMETROS_IMPORTACION!$A:$A,PARAMETROS_IMPORTACION!$C:$C,0),0)</f>
        <v>0</v>
      </c>
      <c r="J1148" s="3">
        <f ca="1">IFERROR(_xludf.XLOOKUP("Arancel",PARAMETROS_IMPORTACION!$A:$A,PARAMETROS_IMPORTACION!$C:$C,0),0)</f>
        <v>0</v>
      </c>
      <c r="K1148" s="2">
        <f ca="1">IFERROR(_xludf.XLOOKUP("Gastos_Aduana",PARAMETROS_IMPORTACION!$A:$A,PARAMETROS_IMPORTACION!$C:$C,0),0)</f>
        <v>0</v>
      </c>
      <c r="L1148" s="2">
        <f t="shared" si="35"/>
        <v>0</v>
      </c>
    </row>
    <row r="1149" spans="5:12" x14ac:dyDescent="0.35">
      <c r="E1149" s="2"/>
      <c r="F1149" s="2">
        <f>_xlfn.XLOOKUP(D1149,TIPOS_CAMBIO!A:A,TIPOS_CAMBIO!B:B,"",0)</f>
        <v>0</v>
      </c>
      <c r="G1149" s="3">
        <f t="shared" si="34"/>
        <v>0</v>
      </c>
      <c r="H1149" s="3"/>
      <c r="I1149" s="3">
        <f ca="1">IFERROR(_xludf.XLOOKUP("Seguro",PARAMETROS_IMPORTACION!$A:$A,PARAMETROS_IMPORTACION!$C:$C,0),0)</f>
        <v>0</v>
      </c>
      <c r="J1149" s="3">
        <f ca="1">IFERROR(_xludf.XLOOKUP("Arancel",PARAMETROS_IMPORTACION!$A:$A,PARAMETROS_IMPORTACION!$C:$C,0),0)</f>
        <v>0</v>
      </c>
      <c r="K1149" s="2">
        <f ca="1">IFERROR(_xludf.XLOOKUP("Gastos_Aduana",PARAMETROS_IMPORTACION!$A:$A,PARAMETROS_IMPORTACION!$C:$C,0),0)</f>
        <v>0</v>
      </c>
      <c r="L1149" s="2">
        <f t="shared" si="35"/>
        <v>0</v>
      </c>
    </row>
    <row r="1150" spans="5:12" x14ac:dyDescent="0.35">
      <c r="E1150" s="2"/>
      <c r="F1150" s="2">
        <f>_xlfn.XLOOKUP(D1150,TIPOS_CAMBIO!A:A,TIPOS_CAMBIO!B:B,"",0)</f>
        <v>0</v>
      </c>
      <c r="G1150" s="3">
        <f t="shared" si="34"/>
        <v>0</v>
      </c>
      <c r="H1150" s="3"/>
      <c r="I1150" s="3">
        <f ca="1">IFERROR(_xludf.XLOOKUP("Seguro",PARAMETROS_IMPORTACION!$A:$A,PARAMETROS_IMPORTACION!$C:$C,0),0)</f>
        <v>0</v>
      </c>
      <c r="J1150" s="3">
        <f ca="1">IFERROR(_xludf.XLOOKUP("Arancel",PARAMETROS_IMPORTACION!$A:$A,PARAMETROS_IMPORTACION!$C:$C,0),0)</f>
        <v>0</v>
      </c>
      <c r="K1150" s="2">
        <f ca="1">IFERROR(_xludf.XLOOKUP("Gastos_Aduana",PARAMETROS_IMPORTACION!$A:$A,PARAMETROS_IMPORTACION!$C:$C,0),0)</f>
        <v>0</v>
      </c>
      <c r="L1150" s="2">
        <f t="shared" si="35"/>
        <v>0</v>
      </c>
    </row>
    <row r="1151" spans="5:12" x14ac:dyDescent="0.35">
      <c r="E1151" s="2"/>
      <c r="F1151" s="2">
        <f>_xlfn.XLOOKUP(D1151,TIPOS_CAMBIO!A:A,TIPOS_CAMBIO!B:B,"",0)</f>
        <v>0</v>
      </c>
      <c r="G1151" s="3">
        <f t="shared" si="34"/>
        <v>0</v>
      </c>
      <c r="H1151" s="3"/>
      <c r="I1151" s="3">
        <f ca="1">IFERROR(_xludf.XLOOKUP("Seguro",PARAMETROS_IMPORTACION!$A:$A,PARAMETROS_IMPORTACION!$C:$C,0),0)</f>
        <v>0</v>
      </c>
      <c r="J1151" s="3">
        <f ca="1">IFERROR(_xludf.XLOOKUP("Arancel",PARAMETROS_IMPORTACION!$A:$A,PARAMETROS_IMPORTACION!$C:$C,0),0)</f>
        <v>0</v>
      </c>
      <c r="K1151" s="2">
        <f ca="1">IFERROR(_xludf.XLOOKUP("Gastos_Aduana",PARAMETROS_IMPORTACION!$A:$A,PARAMETROS_IMPORTACION!$C:$C,0),0)</f>
        <v>0</v>
      </c>
      <c r="L1151" s="2">
        <f t="shared" si="35"/>
        <v>0</v>
      </c>
    </row>
    <row r="1152" spans="5:12" x14ac:dyDescent="0.35">
      <c r="E1152" s="2"/>
      <c r="F1152" s="2">
        <f>_xlfn.XLOOKUP(D1152,TIPOS_CAMBIO!A:A,TIPOS_CAMBIO!B:B,"",0)</f>
        <v>0</v>
      </c>
      <c r="G1152" s="3">
        <f t="shared" si="34"/>
        <v>0</v>
      </c>
      <c r="H1152" s="3"/>
      <c r="I1152" s="3">
        <f ca="1">IFERROR(_xludf.XLOOKUP("Seguro",PARAMETROS_IMPORTACION!$A:$A,PARAMETROS_IMPORTACION!$C:$C,0),0)</f>
        <v>0</v>
      </c>
      <c r="J1152" s="3">
        <f ca="1">IFERROR(_xludf.XLOOKUP("Arancel",PARAMETROS_IMPORTACION!$A:$A,PARAMETROS_IMPORTACION!$C:$C,0),0)</f>
        <v>0</v>
      </c>
      <c r="K1152" s="2">
        <f ca="1">IFERROR(_xludf.XLOOKUP("Gastos_Aduana",PARAMETROS_IMPORTACION!$A:$A,PARAMETROS_IMPORTACION!$C:$C,0),0)</f>
        <v>0</v>
      </c>
      <c r="L1152" s="2">
        <f t="shared" si="35"/>
        <v>0</v>
      </c>
    </row>
    <row r="1153" spans="5:12" x14ac:dyDescent="0.35">
      <c r="E1153" s="2"/>
      <c r="F1153" s="2">
        <f>_xlfn.XLOOKUP(D1153,TIPOS_CAMBIO!A:A,TIPOS_CAMBIO!B:B,"",0)</f>
        <v>0</v>
      </c>
      <c r="G1153" s="3">
        <f t="shared" si="34"/>
        <v>0</v>
      </c>
      <c r="H1153" s="3"/>
      <c r="I1153" s="3">
        <f ca="1">IFERROR(_xludf.XLOOKUP("Seguro",PARAMETROS_IMPORTACION!$A:$A,PARAMETROS_IMPORTACION!$C:$C,0),0)</f>
        <v>0</v>
      </c>
      <c r="J1153" s="3">
        <f ca="1">IFERROR(_xludf.XLOOKUP("Arancel",PARAMETROS_IMPORTACION!$A:$A,PARAMETROS_IMPORTACION!$C:$C,0),0)</f>
        <v>0</v>
      </c>
      <c r="K1153" s="2">
        <f ca="1">IFERROR(_xludf.XLOOKUP("Gastos_Aduana",PARAMETROS_IMPORTACION!$A:$A,PARAMETROS_IMPORTACION!$C:$C,0),0)</f>
        <v>0</v>
      </c>
      <c r="L1153" s="2">
        <f t="shared" si="35"/>
        <v>0</v>
      </c>
    </row>
    <row r="1154" spans="5:12" x14ac:dyDescent="0.35">
      <c r="E1154" s="2"/>
      <c r="F1154" s="2">
        <f>_xlfn.XLOOKUP(D1154,TIPOS_CAMBIO!A:A,TIPOS_CAMBIO!B:B,"",0)</f>
        <v>0</v>
      </c>
      <c r="G1154" s="3">
        <f t="shared" ref="G1154:G1217" si="36">$E1154*$F1154</f>
        <v>0</v>
      </c>
      <c r="H1154" s="3"/>
      <c r="I1154" s="3">
        <f ca="1">IFERROR(_xludf.XLOOKUP("Seguro",PARAMETROS_IMPORTACION!$A:$A,PARAMETROS_IMPORTACION!$C:$C,0),0)</f>
        <v>0</v>
      </c>
      <c r="J1154" s="3">
        <f ca="1">IFERROR(_xludf.XLOOKUP("Arancel",PARAMETROS_IMPORTACION!$A:$A,PARAMETROS_IMPORTACION!$C:$C,0),0)</f>
        <v>0</v>
      </c>
      <c r="K1154" s="2">
        <f ca="1">IFERROR(_xludf.XLOOKUP("Gastos_Aduana",PARAMETROS_IMPORTACION!$A:$A,PARAMETROS_IMPORTACION!$C:$C,0),0)</f>
        <v>0</v>
      </c>
      <c r="L1154" s="2">
        <f t="shared" si="35"/>
        <v>0</v>
      </c>
    </row>
    <row r="1155" spans="5:12" x14ac:dyDescent="0.35">
      <c r="E1155" s="2"/>
      <c r="F1155" s="2">
        <f>_xlfn.XLOOKUP(D1155,TIPOS_CAMBIO!A:A,TIPOS_CAMBIO!B:B,"",0)</f>
        <v>0</v>
      </c>
      <c r="G1155" s="3">
        <f t="shared" si="36"/>
        <v>0</v>
      </c>
      <c r="H1155" s="3"/>
      <c r="I1155" s="3">
        <f ca="1">IFERROR(_xludf.XLOOKUP("Seguro",PARAMETROS_IMPORTACION!$A:$A,PARAMETROS_IMPORTACION!$C:$C,0),0)</f>
        <v>0</v>
      </c>
      <c r="J1155" s="3">
        <f ca="1">IFERROR(_xludf.XLOOKUP("Arancel",PARAMETROS_IMPORTACION!$A:$A,PARAMETROS_IMPORTACION!$C:$C,0),0)</f>
        <v>0</v>
      </c>
      <c r="K1155" s="2">
        <f ca="1">IFERROR(_xludf.XLOOKUP("Gastos_Aduana",PARAMETROS_IMPORTACION!$A:$A,PARAMETROS_IMPORTACION!$C:$C,0),0)</f>
        <v>0</v>
      </c>
      <c r="L1155" s="2">
        <f t="shared" ref="L1155:L1218" si="37">IF($C1155="Importado",$G1155*(1+$H1155+$I1155+$J1155)+$K1155,$G1155)</f>
        <v>0</v>
      </c>
    </row>
    <row r="1156" spans="5:12" x14ac:dyDescent="0.35">
      <c r="E1156" s="2"/>
      <c r="F1156" s="2">
        <f>_xlfn.XLOOKUP(D1156,TIPOS_CAMBIO!A:A,TIPOS_CAMBIO!B:B,"",0)</f>
        <v>0</v>
      </c>
      <c r="G1156" s="3">
        <f t="shared" si="36"/>
        <v>0</v>
      </c>
      <c r="H1156" s="3"/>
      <c r="I1156" s="3">
        <f ca="1">IFERROR(_xludf.XLOOKUP("Seguro",PARAMETROS_IMPORTACION!$A:$A,PARAMETROS_IMPORTACION!$C:$C,0),0)</f>
        <v>0</v>
      </c>
      <c r="J1156" s="3">
        <f ca="1">IFERROR(_xludf.XLOOKUP("Arancel",PARAMETROS_IMPORTACION!$A:$A,PARAMETROS_IMPORTACION!$C:$C,0),0)</f>
        <v>0</v>
      </c>
      <c r="K1156" s="2">
        <f ca="1">IFERROR(_xludf.XLOOKUP("Gastos_Aduana",PARAMETROS_IMPORTACION!$A:$A,PARAMETROS_IMPORTACION!$C:$C,0),0)</f>
        <v>0</v>
      </c>
      <c r="L1156" s="2">
        <f t="shared" si="37"/>
        <v>0</v>
      </c>
    </row>
    <row r="1157" spans="5:12" x14ac:dyDescent="0.35">
      <c r="E1157" s="2"/>
      <c r="F1157" s="2">
        <f>_xlfn.XLOOKUP(D1157,TIPOS_CAMBIO!A:A,TIPOS_CAMBIO!B:B,"",0)</f>
        <v>0</v>
      </c>
      <c r="G1157" s="3">
        <f t="shared" si="36"/>
        <v>0</v>
      </c>
      <c r="H1157" s="3"/>
      <c r="I1157" s="3">
        <f ca="1">IFERROR(_xludf.XLOOKUP("Seguro",PARAMETROS_IMPORTACION!$A:$A,PARAMETROS_IMPORTACION!$C:$C,0),0)</f>
        <v>0</v>
      </c>
      <c r="J1157" s="3">
        <f ca="1">IFERROR(_xludf.XLOOKUP("Arancel",PARAMETROS_IMPORTACION!$A:$A,PARAMETROS_IMPORTACION!$C:$C,0),0)</f>
        <v>0</v>
      </c>
      <c r="K1157" s="2">
        <f ca="1">IFERROR(_xludf.XLOOKUP("Gastos_Aduana",PARAMETROS_IMPORTACION!$A:$A,PARAMETROS_IMPORTACION!$C:$C,0),0)</f>
        <v>0</v>
      </c>
      <c r="L1157" s="2">
        <f t="shared" si="37"/>
        <v>0</v>
      </c>
    </row>
    <row r="1158" spans="5:12" x14ac:dyDescent="0.35">
      <c r="E1158" s="2"/>
      <c r="F1158" s="2">
        <f>_xlfn.XLOOKUP(D1158,TIPOS_CAMBIO!A:A,TIPOS_CAMBIO!B:B,"",0)</f>
        <v>0</v>
      </c>
      <c r="G1158" s="3">
        <f t="shared" si="36"/>
        <v>0</v>
      </c>
      <c r="H1158" s="3"/>
      <c r="I1158" s="3">
        <f ca="1">IFERROR(_xludf.XLOOKUP("Seguro",PARAMETROS_IMPORTACION!$A:$A,PARAMETROS_IMPORTACION!$C:$C,0),0)</f>
        <v>0</v>
      </c>
      <c r="J1158" s="3">
        <f ca="1">IFERROR(_xludf.XLOOKUP("Arancel",PARAMETROS_IMPORTACION!$A:$A,PARAMETROS_IMPORTACION!$C:$C,0),0)</f>
        <v>0</v>
      </c>
      <c r="K1158" s="2">
        <f ca="1">IFERROR(_xludf.XLOOKUP("Gastos_Aduana",PARAMETROS_IMPORTACION!$A:$A,PARAMETROS_IMPORTACION!$C:$C,0),0)</f>
        <v>0</v>
      </c>
      <c r="L1158" s="2">
        <f t="shared" si="37"/>
        <v>0</v>
      </c>
    </row>
    <row r="1159" spans="5:12" x14ac:dyDescent="0.35">
      <c r="E1159" s="2"/>
      <c r="F1159" s="2">
        <f>_xlfn.XLOOKUP(D1159,TIPOS_CAMBIO!A:A,TIPOS_CAMBIO!B:B,"",0)</f>
        <v>0</v>
      </c>
      <c r="G1159" s="3">
        <f t="shared" si="36"/>
        <v>0</v>
      </c>
      <c r="H1159" s="3"/>
      <c r="I1159" s="3">
        <f ca="1">IFERROR(_xludf.XLOOKUP("Seguro",PARAMETROS_IMPORTACION!$A:$A,PARAMETROS_IMPORTACION!$C:$C,0),0)</f>
        <v>0</v>
      </c>
      <c r="J1159" s="3">
        <f ca="1">IFERROR(_xludf.XLOOKUP("Arancel",PARAMETROS_IMPORTACION!$A:$A,PARAMETROS_IMPORTACION!$C:$C,0),0)</f>
        <v>0</v>
      </c>
      <c r="K1159" s="2">
        <f ca="1">IFERROR(_xludf.XLOOKUP("Gastos_Aduana",PARAMETROS_IMPORTACION!$A:$A,PARAMETROS_IMPORTACION!$C:$C,0),0)</f>
        <v>0</v>
      </c>
      <c r="L1159" s="2">
        <f t="shared" si="37"/>
        <v>0</v>
      </c>
    </row>
    <row r="1160" spans="5:12" x14ac:dyDescent="0.35">
      <c r="E1160" s="2"/>
      <c r="F1160" s="2">
        <f>_xlfn.XLOOKUP(D1160,TIPOS_CAMBIO!A:A,TIPOS_CAMBIO!B:B,"",0)</f>
        <v>0</v>
      </c>
      <c r="G1160" s="3">
        <f t="shared" si="36"/>
        <v>0</v>
      </c>
      <c r="H1160" s="3"/>
      <c r="I1160" s="3">
        <f ca="1">IFERROR(_xludf.XLOOKUP("Seguro",PARAMETROS_IMPORTACION!$A:$A,PARAMETROS_IMPORTACION!$C:$C,0),0)</f>
        <v>0</v>
      </c>
      <c r="J1160" s="3">
        <f ca="1">IFERROR(_xludf.XLOOKUP("Arancel",PARAMETROS_IMPORTACION!$A:$A,PARAMETROS_IMPORTACION!$C:$C,0),0)</f>
        <v>0</v>
      </c>
      <c r="K1160" s="2">
        <f ca="1">IFERROR(_xludf.XLOOKUP("Gastos_Aduana",PARAMETROS_IMPORTACION!$A:$A,PARAMETROS_IMPORTACION!$C:$C,0),0)</f>
        <v>0</v>
      </c>
      <c r="L1160" s="2">
        <f t="shared" si="37"/>
        <v>0</v>
      </c>
    </row>
    <row r="1161" spans="5:12" x14ac:dyDescent="0.35">
      <c r="E1161" s="2"/>
      <c r="F1161" s="2">
        <f>_xlfn.XLOOKUP(D1161,TIPOS_CAMBIO!A:A,TIPOS_CAMBIO!B:B,"",0)</f>
        <v>0</v>
      </c>
      <c r="G1161" s="3">
        <f t="shared" si="36"/>
        <v>0</v>
      </c>
      <c r="H1161" s="3"/>
      <c r="I1161" s="3">
        <f ca="1">IFERROR(_xludf.XLOOKUP("Seguro",PARAMETROS_IMPORTACION!$A:$A,PARAMETROS_IMPORTACION!$C:$C,0),0)</f>
        <v>0</v>
      </c>
      <c r="J1161" s="3">
        <f ca="1">IFERROR(_xludf.XLOOKUP("Arancel",PARAMETROS_IMPORTACION!$A:$A,PARAMETROS_IMPORTACION!$C:$C,0),0)</f>
        <v>0</v>
      </c>
      <c r="K1161" s="2">
        <f ca="1">IFERROR(_xludf.XLOOKUP("Gastos_Aduana",PARAMETROS_IMPORTACION!$A:$A,PARAMETROS_IMPORTACION!$C:$C,0),0)</f>
        <v>0</v>
      </c>
      <c r="L1161" s="2">
        <f t="shared" si="37"/>
        <v>0</v>
      </c>
    </row>
    <row r="1162" spans="5:12" x14ac:dyDescent="0.35">
      <c r="E1162" s="2"/>
      <c r="F1162" s="2">
        <f>_xlfn.XLOOKUP(D1162,TIPOS_CAMBIO!A:A,TIPOS_CAMBIO!B:B,"",0)</f>
        <v>0</v>
      </c>
      <c r="G1162" s="3">
        <f t="shared" si="36"/>
        <v>0</v>
      </c>
      <c r="H1162" s="3"/>
      <c r="I1162" s="3">
        <f ca="1">IFERROR(_xludf.XLOOKUP("Seguro",PARAMETROS_IMPORTACION!$A:$A,PARAMETROS_IMPORTACION!$C:$C,0),0)</f>
        <v>0</v>
      </c>
      <c r="J1162" s="3">
        <f ca="1">IFERROR(_xludf.XLOOKUP("Arancel",PARAMETROS_IMPORTACION!$A:$A,PARAMETROS_IMPORTACION!$C:$C,0),0)</f>
        <v>0</v>
      </c>
      <c r="K1162" s="2">
        <f ca="1">IFERROR(_xludf.XLOOKUP("Gastos_Aduana",PARAMETROS_IMPORTACION!$A:$A,PARAMETROS_IMPORTACION!$C:$C,0),0)</f>
        <v>0</v>
      </c>
      <c r="L1162" s="2">
        <f t="shared" si="37"/>
        <v>0</v>
      </c>
    </row>
    <row r="1163" spans="5:12" x14ac:dyDescent="0.35">
      <c r="E1163" s="2"/>
      <c r="F1163" s="2">
        <f>_xlfn.XLOOKUP(D1163,TIPOS_CAMBIO!A:A,TIPOS_CAMBIO!B:B,"",0)</f>
        <v>0</v>
      </c>
      <c r="G1163" s="3">
        <f t="shared" si="36"/>
        <v>0</v>
      </c>
      <c r="H1163" s="3"/>
      <c r="I1163" s="3">
        <f ca="1">IFERROR(_xludf.XLOOKUP("Seguro",PARAMETROS_IMPORTACION!$A:$A,PARAMETROS_IMPORTACION!$C:$C,0),0)</f>
        <v>0</v>
      </c>
      <c r="J1163" s="3">
        <f ca="1">IFERROR(_xludf.XLOOKUP("Arancel",PARAMETROS_IMPORTACION!$A:$A,PARAMETROS_IMPORTACION!$C:$C,0),0)</f>
        <v>0</v>
      </c>
      <c r="K1163" s="2">
        <f ca="1">IFERROR(_xludf.XLOOKUP("Gastos_Aduana",PARAMETROS_IMPORTACION!$A:$A,PARAMETROS_IMPORTACION!$C:$C,0),0)</f>
        <v>0</v>
      </c>
      <c r="L1163" s="2">
        <f t="shared" si="37"/>
        <v>0</v>
      </c>
    </row>
    <row r="1164" spans="5:12" x14ac:dyDescent="0.35">
      <c r="E1164" s="2"/>
      <c r="F1164" s="2">
        <f>_xlfn.XLOOKUP(D1164,TIPOS_CAMBIO!A:A,TIPOS_CAMBIO!B:B,"",0)</f>
        <v>0</v>
      </c>
      <c r="G1164" s="3">
        <f t="shared" si="36"/>
        <v>0</v>
      </c>
      <c r="H1164" s="3"/>
      <c r="I1164" s="3">
        <f ca="1">IFERROR(_xludf.XLOOKUP("Seguro",PARAMETROS_IMPORTACION!$A:$A,PARAMETROS_IMPORTACION!$C:$C,0),0)</f>
        <v>0</v>
      </c>
      <c r="J1164" s="3">
        <f ca="1">IFERROR(_xludf.XLOOKUP("Arancel",PARAMETROS_IMPORTACION!$A:$A,PARAMETROS_IMPORTACION!$C:$C,0),0)</f>
        <v>0</v>
      </c>
      <c r="K1164" s="2">
        <f ca="1">IFERROR(_xludf.XLOOKUP("Gastos_Aduana",PARAMETROS_IMPORTACION!$A:$A,PARAMETROS_IMPORTACION!$C:$C,0),0)</f>
        <v>0</v>
      </c>
      <c r="L1164" s="2">
        <f t="shared" si="37"/>
        <v>0</v>
      </c>
    </row>
    <row r="1165" spans="5:12" x14ac:dyDescent="0.35">
      <c r="E1165" s="2"/>
      <c r="F1165" s="2">
        <f>_xlfn.XLOOKUP(D1165,TIPOS_CAMBIO!A:A,TIPOS_CAMBIO!B:B,"",0)</f>
        <v>0</v>
      </c>
      <c r="G1165" s="3">
        <f t="shared" si="36"/>
        <v>0</v>
      </c>
      <c r="H1165" s="3"/>
      <c r="I1165" s="3">
        <f ca="1">IFERROR(_xludf.XLOOKUP("Seguro",PARAMETROS_IMPORTACION!$A:$A,PARAMETROS_IMPORTACION!$C:$C,0),0)</f>
        <v>0</v>
      </c>
      <c r="J1165" s="3">
        <f ca="1">IFERROR(_xludf.XLOOKUP("Arancel",PARAMETROS_IMPORTACION!$A:$A,PARAMETROS_IMPORTACION!$C:$C,0),0)</f>
        <v>0</v>
      </c>
      <c r="K1165" s="2">
        <f ca="1">IFERROR(_xludf.XLOOKUP("Gastos_Aduana",PARAMETROS_IMPORTACION!$A:$A,PARAMETROS_IMPORTACION!$C:$C,0),0)</f>
        <v>0</v>
      </c>
      <c r="L1165" s="2">
        <f t="shared" si="37"/>
        <v>0</v>
      </c>
    </row>
    <row r="1166" spans="5:12" x14ac:dyDescent="0.35">
      <c r="E1166" s="2"/>
      <c r="F1166" s="2">
        <f>_xlfn.XLOOKUP(D1166,TIPOS_CAMBIO!A:A,TIPOS_CAMBIO!B:B,"",0)</f>
        <v>0</v>
      </c>
      <c r="G1166" s="3">
        <f t="shared" si="36"/>
        <v>0</v>
      </c>
      <c r="H1166" s="3"/>
      <c r="I1166" s="3">
        <f ca="1">IFERROR(_xludf.XLOOKUP("Seguro",PARAMETROS_IMPORTACION!$A:$A,PARAMETROS_IMPORTACION!$C:$C,0),0)</f>
        <v>0</v>
      </c>
      <c r="J1166" s="3">
        <f ca="1">IFERROR(_xludf.XLOOKUP("Arancel",PARAMETROS_IMPORTACION!$A:$A,PARAMETROS_IMPORTACION!$C:$C,0),0)</f>
        <v>0</v>
      </c>
      <c r="K1166" s="2">
        <f ca="1">IFERROR(_xludf.XLOOKUP("Gastos_Aduana",PARAMETROS_IMPORTACION!$A:$A,PARAMETROS_IMPORTACION!$C:$C,0),0)</f>
        <v>0</v>
      </c>
      <c r="L1166" s="2">
        <f t="shared" si="37"/>
        <v>0</v>
      </c>
    </row>
    <row r="1167" spans="5:12" x14ac:dyDescent="0.35">
      <c r="E1167" s="2"/>
      <c r="F1167" s="2">
        <f>_xlfn.XLOOKUP(D1167,TIPOS_CAMBIO!A:A,TIPOS_CAMBIO!B:B,"",0)</f>
        <v>0</v>
      </c>
      <c r="G1167" s="3">
        <f t="shared" si="36"/>
        <v>0</v>
      </c>
      <c r="H1167" s="3"/>
      <c r="I1167" s="3">
        <f ca="1">IFERROR(_xludf.XLOOKUP("Seguro",PARAMETROS_IMPORTACION!$A:$A,PARAMETROS_IMPORTACION!$C:$C,0),0)</f>
        <v>0</v>
      </c>
      <c r="J1167" s="3">
        <f ca="1">IFERROR(_xludf.XLOOKUP("Arancel",PARAMETROS_IMPORTACION!$A:$A,PARAMETROS_IMPORTACION!$C:$C,0),0)</f>
        <v>0</v>
      </c>
      <c r="K1167" s="2">
        <f ca="1">IFERROR(_xludf.XLOOKUP("Gastos_Aduana",PARAMETROS_IMPORTACION!$A:$A,PARAMETROS_IMPORTACION!$C:$C,0),0)</f>
        <v>0</v>
      </c>
      <c r="L1167" s="2">
        <f t="shared" si="37"/>
        <v>0</v>
      </c>
    </row>
    <row r="1168" spans="5:12" x14ac:dyDescent="0.35">
      <c r="E1168" s="2"/>
      <c r="F1168" s="2">
        <f>_xlfn.XLOOKUP(D1168,TIPOS_CAMBIO!A:A,TIPOS_CAMBIO!B:B,"",0)</f>
        <v>0</v>
      </c>
      <c r="G1168" s="3">
        <f t="shared" si="36"/>
        <v>0</v>
      </c>
      <c r="H1168" s="3"/>
      <c r="I1168" s="3">
        <f ca="1">IFERROR(_xludf.XLOOKUP("Seguro",PARAMETROS_IMPORTACION!$A:$A,PARAMETROS_IMPORTACION!$C:$C,0),0)</f>
        <v>0</v>
      </c>
      <c r="J1168" s="3">
        <f ca="1">IFERROR(_xludf.XLOOKUP("Arancel",PARAMETROS_IMPORTACION!$A:$A,PARAMETROS_IMPORTACION!$C:$C,0),0)</f>
        <v>0</v>
      </c>
      <c r="K1168" s="2">
        <f ca="1">IFERROR(_xludf.XLOOKUP("Gastos_Aduana",PARAMETROS_IMPORTACION!$A:$A,PARAMETROS_IMPORTACION!$C:$C,0),0)</f>
        <v>0</v>
      </c>
      <c r="L1168" s="2">
        <f t="shared" si="37"/>
        <v>0</v>
      </c>
    </row>
    <row r="1169" spans="5:12" x14ac:dyDescent="0.35">
      <c r="E1169" s="2"/>
      <c r="F1169" s="2">
        <f>_xlfn.XLOOKUP(D1169,TIPOS_CAMBIO!A:A,TIPOS_CAMBIO!B:B,"",0)</f>
        <v>0</v>
      </c>
      <c r="G1169" s="3">
        <f t="shared" si="36"/>
        <v>0</v>
      </c>
      <c r="H1169" s="3"/>
      <c r="I1169" s="3">
        <f ca="1">IFERROR(_xludf.XLOOKUP("Seguro",PARAMETROS_IMPORTACION!$A:$A,PARAMETROS_IMPORTACION!$C:$C,0),0)</f>
        <v>0</v>
      </c>
      <c r="J1169" s="3">
        <f ca="1">IFERROR(_xludf.XLOOKUP("Arancel",PARAMETROS_IMPORTACION!$A:$A,PARAMETROS_IMPORTACION!$C:$C,0),0)</f>
        <v>0</v>
      </c>
      <c r="K1169" s="2">
        <f ca="1">IFERROR(_xludf.XLOOKUP("Gastos_Aduana",PARAMETROS_IMPORTACION!$A:$A,PARAMETROS_IMPORTACION!$C:$C,0),0)</f>
        <v>0</v>
      </c>
      <c r="L1169" s="2">
        <f t="shared" si="37"/>
        <v>0</v>
      </c>
    </row>
    <row r="1170" spans="5:12" x14ac:dyDescent="0.35">
      <c r="E1170" s="2"/>
      <c r="F1170" s="2">
        <f>_xlfn.XLOOKUP(D1170,TIPOS_CAMBIO!A:A,TIPOS_CAMBIO!B:B,"",0)</f>
        <v>0</v>
      </c>
      <c r="G1170" s="3">
        <f t="shared" si="36"/>
        <v>0</v>
      </c>
      <c r="H1170" s="3"/>
      <c r="I1170" s="3">
        <f ca="1">IFERROR(_xludf.XLOOKUP("Seguro",PARAMETROS_IMPORTACION!$A:$A,PARAMETROS_IMPORTACION!$C:$C,0),0)</f>
        <v>0</v>
      </c>
      <c r="J1170" s="3">
        <f ca="1">IFERROR(_xludf.XLOOKUP("Arancel",PARAMETROS_IMPORTACION!$A:$A,PARAMETROS_IMPORTACION!$C:$C,0),0)</f>
        <v>0</v>
      </c>
      <c r="K1170" s="2">
        <f ca="1">IFERROR(_xludf.XLOOKUP("Gastos_Aduana",PARAMETROS_IMPORTACION!$A:$A,PARAMETROS_IMPORTACION!$C:$C,0),0)</f>
        <v>0</v>
      </c>
      <c r="L1170" s="2">
        <f t="shared" si="37"/>
        <v>0</v>
      </c>
    </row>
    <row r="1171" spans="5:12" x14ac:dyDescent="0.35">
      <c r="E1171" s="2"/>
      <c r="F1171" s="2">
        <f>_xlfn.XLOOKUP(D1171,TIPOS_CAMBIO!A:A,TIPOS_CAMBIO!B:B,"",0)</f>
        <v>0</v>
      </c>
      <c r="G1171" s="3">
        <f t="shared" si="36"/>
        <v>0</v>
      </c>
      <c r="H1171" s="3"/>
      <c r="I1171" s="3">
        <f ca="1">IFERROR(_xludf.XLOOKUP("Seguro",PARAMETROS_IMPORTACION!$A:$A,PARAMETROS_IMPORTACION!$C:$C,0),0)</f>
        <v>0</v>
      </c>
      <c r="J1171" s="3">
        <f ca="1">IFERROR(_xludf.XLOOKUP("Arancel",PARAMETROS_IMPORTACION!$A:$A,PARAMETROS_IMPORTACION!$C:$C,0),0)</f>
        <v>0</v>
      </c>
      <c r="K1171" s="2">
        <f ca="1">IFERROR(_xludf.XLOOKUP("Gastos_Aduana",PARAMETROS_IMPORTACION!$A:$A,PARAMETROS_IMPORTACION!$C:$C,0),0)</f>
        <v>0</v>
      </c>
      <c r="L1171" s="2">
        <f t="shared" si="37"/>
        <v>0</v>
      </c>
    </row>
    <row r="1172" spans="5:12" x14ac:dyDescent="0.35">
      <c r="E1172" s="2"/>
      <c r="F1172" s="2">
        <f>_xlfn.XLOOKUP(D1172,TIPOS_CAMBIO!A:A,TIPOS_CAMBIO!B:B,"",0)</f>
        <v>0</v>
      </c>
      <c r="G1172" s="3">
        <f t="shared" si="36"/>
        <v>0</v>
      </c>
      <c r="H1172" s="3"/>
      <c r="I1172" s="3">
        <f ca="1">IFERROR(_xludf.XLOOKUP("Seguro",PARAMETROS_IMPORTACION!$A:$A,PARAMETROS_IMPORTACION!$C:$C,0),0)</f>
        <v>0</v>
      </c>
      <c r="J1172" s="3">
        <f ca="1">IFERROR(_xludf.XLOOKUP("Arancel",PARAMETROS_IMPORTACION!$A:$A,PARAMETROS_IMPORTACION!$C:$C,0),0)</f>
        <v>0</v>
      </c>
      <c r="K1172" s="2">
        <f ca="1">IFERROR(_xludf.XLOOKUP("Gastos_Aduana",PARAMETROS_IMPORTACION!$A:$A,PARAMETROS_IMPORTACION!$C:$C,0),0)</f>
        <v>0</v>
      </c>
      <c r="L1172" s="2">
        <f t="shared" si="37"/>
        <v>0</v>
      </c>
    </row>
    <row r="1173" spans="5:12" x14ac:dyDescent="0.35">
      <c r="E1173" s="2"/>
      <c r="F1173" s="2">
        <f>_xlfn.XLOOKUP(D1173,TIPOS_CAMBIO!A:A,TIPOS_CAMBIO!B:B,"",0)</f>
        <v>0</v>
      </c>
      <c r="G1173" s="3">
        <f t="shared" si="36"/>
        <v>0</v>
      </c>
      <c r="H1173" s="3"/>
      <c r="I1173" s="3">
        <f ca="1">IFERROR(_xludf.XLOOKUP("Seguro",PARAMETROS_IMPORTACION!$A:$A,PARAMETROS_IMPORTACION!$C:$C,0),0)</f>
        <v>0</v>
      </c>
      <c r="J1173" s="3">
        <f ca="1">IFERROR(_xludf.XLOOKUP("Arancel",PARAMETROS_IMPORTACION!$A:$A,PARAMETROS_IMPORTACION!$C:$C,0),0)</f>
        <v>0</v>
      </c>
      <c r="K1173" s="2">
        <f ca="1">IFERROR(_xludf.XLOOKUP("Gastos_Aduana",PARAMETROS_IMPORTACION!$A:$A,PARAMETROS_IMPORTACION!$C:$C,0),0)</f>
        <v>0</v>
      </c>
      <c r="L1173" s="2">
        <f t="shared" si="37"/>
        <v>0</v>
      </c>
    </row>
    <row r="1174" spans="5:12" x14ac:dyDescent="0.35">
      <c r="E1174" s="2"/>
      <c r="F1174" s="2">
        <f>_xlfn.XLOOKUP(D1174,TIPOS_CAMBIO!A:A,TIPOS_CAMBIO!B:B,"",0)</f>
        <v>0</v>
      </c>
      <c r="G1174" s="3">
        <f t="shared" si="36"/>
        <v>0</v>
      </c>
      <c r="H1174" s="3"/>
      <c r="I1174" s="3">
        <f ca="1">IFERROR(_xludf.XLOOKUP("Seguro",PARAMETROS_IMPORTACION!$A:$A,PARAMETROS_IMPORTACION!$C:$C,0),0)</f>
        <v>0</v>
      </c>
      <c r="J1174" s="3">
        <f ca="1">IFERROR(_xludf.XLOOKUP("Arancel",PARAMETROS_IMPORTACION!$A:$A,PARAMETROS_IMPORTACION!$C:$C,0),0)</f>
        <v>0</v>
      </c>
      <c r="K1174" s="2">
        <f ca="1">IFERROR(_xludf.XLOOKUP("Gastos_Aduana",PARAMETROS_IMPORTACION!$A:$A,PARAMETROS_IMPORTACION!$C:$C,0),0)</f>
        <v>0</v>
      </c>
      <c r="L1174" s="2">
        <f t="shared" si="37"/>
        <v>0</v>
      </c>
    </row>
    <row r="1175" spans="5:12" x14ac:dyDescent="0.35">
      <c r="E1175" s="2"/>
      <c r="F1175" s="2">
        <f>_xlfn.XLOOKUP(D1175,TIPOS_CAMBIO!A:A,TIPOS_CAMBIO!B:B,"",0)</f>
        <v>0</v>
      </c>
      <c r="G1175" s="3">
        <f t="shared" si="36"/>
        <v>0</v>
      </c>
      <c r="H1175" s="3"/>
      <c r="I1175" s="3">
        <f ca="1">IFERROR(_xludf.XLOOKUP("Seguro",PARAMETROS_IMPORTACION!$A:$A,PARAMETROS_IMPORTACION!$C:$C,0),0)</f>
        <v>0</v>
      </c>
      <c r="J1175" s="3">
        <f ca="1">IFERROR(_xludf.XLOOKUP("Arancel",PARAMETROS_IMPORTACION!$A:$A,PARAMETROS_IMPORTACION!$C:$C,0),0)</f>
        <v>0</v>
      </c>
      <c r="K1175" s="2">
        <f ca="1">IFERROR(_xludf.XLOOKUP("Gastos_Aduana",PARAMETROS_IMPORTACION!$A:$A,PARAMETROS_IMPORTACION!$C:$C,0),0)</f>
        <v>0</v>
      </c>
      <c r="L1175" s="2">
        <f t="shared" si="37"/>
        <v>0</v>
      </c>
    </row>
    <row r="1176" spans="5:12" x14ac:dyDescent="0.35">
      <c r="E1176" s="2"/>
      <c r="F1176" s="2">
        <f>_xlfn.XLOOKUP(D1176,TIPOS_CAMBIO!A:A,TIPOS_CAMBIO!B:B,"",0)</f>
        <v>0</v>
      </c>
      <c r="G1176" s="3">
        <f t="shared" si="36"/>
        <v>0</v>
      </c>
      <c r="H1176" s="3"/>
      <c r="I1176" s="3">
        <f ca="1">IFERROR(_xludf.XLOOKUP("Seguro",PARAMETROS_IMPORTACION!$A:$A,PARAMETROS_IMPORTACION!$C:$C,0),0)</f>
        <v>0</v>
      </c>
      <c r="J1176" s="3">
        <f ca="1">IFERROR(_xludf.XLOOKUP("Arancel",PARAMETROS_IMPORTACION!$A:$A,PARAMETROS_IMPORTACION!$C:$C,0),0)</f>
        <v>0</v>
      </c>
      <c r="K1176" s="2">
        <f ca="1">IFERROR(_xludf.XLOOKUP("Gastos_Aduana",PARAMETROS_IMPORTACION!$A:$A,PARAMETROS_IMPORTACION!$C:$C,0),0)</f>
        <v>0</v>
      </c>
      <c r="L1176" s="2">
        <f t="shared" si="37"/>
        <v>0</v>
      </c>
    </row>
    <row r="1177" spans="5:12" x14ac:dyDescent="0.35">
      <c r="E1177" s="2"/>
      <c r="F1177" s="2">
        <f>_xlfn.XLOOKUP(D1177,TIPOS_CAMBIO!A:A,TIPOS_CAMBIO!B:B,"",0)</f>
        <v>0</v>
      </c>
      <c r="G1177" s="3">
        <f t="shared" si="36"/>
        <v>0</v>
      </c>
      <c r="H1177" s="3"/>
      <c r="I1177" s="3">
        <f ca="1">IFERROR(_xludf.XLOOKUP("Seguro",PARAMETROS_IMPORTACION!$A:$A,PARAMETROS_IMPORTACION!$C:$C,0),0)</f>
        <v>0</v>
      </c>
      <c r="J1177" s="3">
        <f ca="1">IFERROR(_xludf.XLOOKUP("Arancel",PARAMETROS_IMPORTACION!$A:$A,PARAMETROS_IMPORTACION!$C:$C,0),0)</f>
        <v>0</v>
      </c>
      <c r="K1177" s="2">
        <f ca="1">IFERROR(_xludf.XLOOKUP("Gastos_Aduana",PARAMETROS_IMPORTACION!$A:$A,PARAMETROS_IMPORTACION!$C:$C,0),0)</f>
        <v>0</v>
      </c>
      <c r="L1177" s="2">
        <f t="shared" si="37"/>
        <v>0</v>
      </c>
    </row>
    <row r="1178" spans="5:12" x14ac:dyDescent="0.35">
      <c r="E1178" s="2"/>
      <c r="F1178" s="2">
        <f>_xlfn.XLOOKUP(D1178,TIPOS_CAMBIO!A:A,TIPOS_CAMBIO!B:B,"",0)</f>
        <v>0</v>
      </c>
      <c r="G1178" s="3">
        <f t="shared" si="36"/>
        <v>0</v>
      </c>
      <c r="H1178" s="3"/>
      <c r="I1178" s="3">
        <f ca="1">IFERROR(_xludf.XLOOKUP("Seguro",PARAMETROS_IMPORTACION!$A:$A,PARAMETROS_IMPORTACION!$C:$C,0),0)</f>
        <v>0</v>
      </c>
      <c r="J1178" s="3">
        <f ca="1">IFERROR(_xludf.XLOOKUP("Arancel",PARAMETROS_IMPORTACION!$A:$A,PARAMETROS_IMPORTACION!$C:$C,0),0)</f>
        <v>0</v>
      </c>
      <c r="K1178" s="2">
        <f ca="1">IFERROR(_xludf.XLOOKUP("Gastos_Aduana",PARAMETROS_IMPORTACION!$A:$A,PARAMETROS_IMPORTACION!$C:$C,0),0)</f>
        <v>0</v>
      </c>
      <c r="L1178" s="2">
        <f t="shared" si="37"/>
        <v>0</v>
      </c>
    </row>
    <row r="1179" spans="5:12" x14ac:dyDescent="0.35">
      <c r="E1179" s="2"/>
      <c r="F1179" s="2">
        <f>_xlfn.XLOOKUP(D1179,TIPOS_CAMBIO!A:A,TIPOS_CAMBIO!B:B,"",0)</f>
        <v>0</v>
      </c>
      <c r="G1179" s="3">
        <f t="shared" si="36"/>
        <v>0</v>
      </c>
      <c r="H1179" s="3"/>
      <c r="I1179" s="3">
        <f ca="1">IFERROR(_xludf.XLOOKUP("Seguro",PARAMETROS_IMPORTACION!$A:$A,PARAMETROS_IMPORTACION!$C:$C,0),0)</f>
        <v>0</v>
      </c>
      <c r="J1179" s="3">
        <f ca="1">IFERROR(_xludf.XLOOKUP("Arancel",PARAMETROS_IMPORTACION!$A:$A,PARAMETROS_IMPORTACION!$C:$C,0),0)</f>
        <v>0</v>
      </c>
      <c r="K1179" s="2">
        <f ca="1">IFERROR(_xludf.XLOOKUP("Gastos_Aduana",PARAMETROS_IMPORTACION!$A:$A,PARAMETROS_IMPORTACION!$C:$C,0),0)</f>
        <v>0</v>
      </c>
      <c r="L1179" s="2">
        <f t="shared" si="37"/>
        <v>0</v>
      </c>
    </row>
    <row r="1180" spans="5:12" x14ac:dyDescent="0.35">
      <c r="E1180" s="2"/>
      <c r="F1180" s="2">
        <f>_xlfn.XLOOKUP(D1180,TIPOS_CAMBIO!A:A,TIPOS_CAMBIO!B:B,"",0)</f>
        <v>0</v>
      </c>
      <c r="G1180" s="3">
        <f t="shared" si="36"/>
        <v>0</v>
      </c>
      <c r="H1180" s="3"/>
      <c r="I1180" s="3">
        <f ca="1">IFERROR(_xludf.XLOOKUP("Seguro",PARAMETROS_IMPORTACION!$A:$A,PARAMETROS_IMPORTACION!$C:$C,0),0)</f>
        <v>0</v>
      </c>
      <c r="J1180" s="3">
        <f ca="1">IFERROR(_xludf.XLOOKUP("Arancel",PARAMETROS_IMPORTACION!$A:$A,PARAMETROS_IMPORTACION!$C:$C,0),0)</f>
        <v>0</v>
      </c>
      <c r="K1180" s="2">
        <f ca="1">IFERROR(_xludf.XLOOKUP("Gastos_Aduana",PARAMETROS_IMPORTACION!$A:$A,PARAMETROS_IMPORTACION!$C:$C,0),0)</f>
        <v>0</v>
      </c>
      <c r="L1180" s="2">
        <f t="shared" si="37"/>
        <v>0</v>
      </c>
    </row>
    <row r="1181" spans="5:12" x14ac:dyDescent="0.35">
      <c r="E1181" s="2"/>
      <c r="F1181" s="2">
        <f>_xlfn.XLOOKUP(D1181,TIPOS_CAMBIO!A:A,TIPOS_CAMBIO!B:B,"",0)</f>
        <v>0</v>
      </c>
      <c r="G1181" s="3">
        <f t="shared" si="36"/>
        <v>0</v>
      </c>
      <c r="H1181" s="3"/>
      <c r="I1181" s="3">
        <f ca="1">IFERROR(_xludf.XLOOKUP("Seguro",PARAMETROS_IMPORTACION!$A:$A,PARAMETROS_IMPORTACION!$C:$C,0),0)</f>
        <v>0</v>
      </c>
      <c r="J1181" s="3">
        <f ca="1">IFERROR(_xludf.XLOOKUP("Arancel",PARAMETROS_IMPORTACION!$A:$A,PARAMETROS_IMPORTACION!$C:$C,0),0)</f>
        <v>0</v>
      </c>
      <c r="K1181" s="2">
        <f ca="1">IFERROR(_xludf.XLOOKUP("Gastos_Aduana",PARAMETROS_IMPORTACION!$A:$A,PARAMETROS_IMPORTACION!$C:$C,0),0)</f>
        <v>0</v>
      </c>
      <c r="L1181" s="2">
        <f t="shared" si="37"/>
        <v>0</v>
      </c>
    </row>
    <row r="1182" spans="5:12" x14ac:dyDescent="0.35">
      <c r="E1182" s="2"/>
      <c r="F1182" s="2">
        <f>_xlfn.XLOOKUP(D1182,TIPOS_CAMBIO!A:A,TIPOS_CAMBIO!B:B,"",0)</f>
        <v>0</v>
      </c>
      <c r="G1182" s="3">
        <f t="shared" si="36"/>
        <v>0</v>
      </c>
      <c r="H1182" s="3"/>
      <c r="I1182" s="3">
        <f ca="1">IFERROR(_xludf.XLOOKUP("Seguro",PARAMETROS_IMPORTACION!$A:$A,PARAMETROS_IMPORTACION!$C:$C,0),0)</f>
        <v>0</v>
      </c>
      <c r="J1182" s="3">
        <f ca="1">IFERROR(_xludf.XLOOKUP("Arancel",PARAMETROS_IMPORTACION!$A:$A,PARAMETROS_IMPORTACION!$C:$C,0),0)</f>
        <v>0</v>
      </c>
      <c r="K1182" s="2">
        <f ca="1">IFERROR(_xludf.XLOOKUP("Gastos_Aduana",PARAMETROS_IMPORTACION!$A:$A,PARAMETROS_IMPORTACION!$C:$C,0),0)</f>
        <v>0</v>
      </c>
      <c r="L1182" s="2">
        <f t="shared" si="37"/>
        <v>0</v>
      </c>
    </row>
    <row r="1183" spans="5:12" x14ac:dyDescent="0.35">
      <c r="E1183" s="2"/>
      <c r="F1183" s="2">
        <f>_xlfn.XLOOKUP(D1183,TIPOS_CAMBIO!A:A,TIPOS_CAMBIO!B:B,"",0)</f>
        <v>0</v>
      </c>
      <c r="G1183" s="3">
        <f t="shared" si="36"/>
        <v>0</v>
      </c>
      <c r="H1183" s="3"/>
      <c r="I1183" s="3">
        <f ca="1">IFERROR(_xludf.XLOOKUP("Seguro",PARAMETROS_IMPORTACION!$A:$A,PARAMETROS_IMPORTACION!$C:$C,0),0)</f>
        <v>0</v>
      </c>
      <c r="J1183" s="3">
        <f ca="1">IFERROR(_xludf.XLOOKUP("Arancel",PARAMETROS_IMPORTACION!$A:$A,PARAMETROS_IMPORTACION!$C:$C,0),0)</f>
        <v>0</v>
      </c>
      <c r="K1183" s="2">
        <f ca="1">IFERROR(_xludf.XLOOKUP("Gastos_Aduana",PARAMETROS_IMPORTACION!$A:$A,PARAMETROS_IMPORTACION!$C:$C,0),0)</f>
        <v>0</v>
      </c>
      <c r="L1183" s="2">
        <f t="shared" si="37"/>
        <v>0</v>
      </c>
    </row>
    <row r="1184" spans="5:12" x14ac:dyDescent="0.35">
      <c r="E1184" s="2"/>
      <c r="F1184" s="2">
        <f>_xlfn.XLOOKUP(D1184,TIPOS_CAMBIO!A:A,TIPOS_CAMBIO!B:B,"",0)</f>
        <v>0</v>
      </c>
      <c r="G1184" s="3">
        <f t="shared" si="36"/>
        <v>0</v>
      </c>
      <c r="H1184" s="3"/>
      <c r="I1184" s="3">
        <f ca="1">IFERROR(_xludf.XLOOKUP("Seguro",PARAMETROS_IMPORTACION!$A:$A,PARAMETROS_IMPORTACION!$C:$C,0),0)</f>
        <v>0</v>
      </c>
      <c r="J1184" s="3">
        <f ca="1">IFERROR(_xludf.XLOOKUP("Arancel",PARAMETROS_IMPORTACION!$A:$A,PARAMETROS_IMPORTACION!$C:$C,0),0)</f>
        <v>0</v>
      </c>
      <c r="K1184" s="2">
        <f ca="1">IFERROR(_xludf.XLOOKUP("Gastos_Aduana",PARAMETROS_IMPORTACION!$A:$A,PARAMETROS_IMPORTACION!$C:$C,0),0)</f>
        <v>0</v>
      </c>
      <c r="L1184" s="2">
        <f t="shared" si="37"/>
        <v>0</v>
      </c>
    </row>
    <row r="1185" spans="5:12" x14ac:dyDescent="0.35">
      <c r="E1185" s="2"/>
      <c r="F1185" s="2">
        <f>_xlfn.XLOOKUP(D1185,TIPOS_CAMBIO!A:A,TIPOS_CAMBIO!B:B,"",0)</f>
        <v>0</v>
      </c>
      <c r="G1185" s="3">
        <f t="shared" si="36"/>
        <v>0</v>
      </c>
      <c r="H1185" s="3"/>
      <c r="I1185" s="3">
        <f ca="1">IFERROR(_xludf.XLOOKUP("Seguro",PARAMETROS_IMPORTACION!$A:$A,PARAMETROS_IMPORTACION!$C:$C,0),0)</f>
        <v>0</v>
      </c>
      <c r="J1185" s="3">
        <f ca="1">IFERROR(_xludf.XLOOKUP("Arancel",PARAMETROS_IMPORTACION!$A:$A,PARAMETROS_IMPORTACION!$C:$C,0),0)</f>
        <v>0</v>
      </c>
      <c r="K1185" s="2">
        <f ca="1">IFERROR(_xludf.XLOOKUP("Gastos_Aduana",PARAMETROS_IMPORTACION!$A:$A,PARAMETROS_IMPORTACION!$C:$C,0),0)</f>
        <v>0</v>
      </c>
      <c r="L1185" s="2">
        <f t="shared" si="37"/>
        <v>0</v>
      </c>
    </row>
    <row r="1186" spans="5:12" x14ac:dyDescent="0.35">
      <c r="E1186" s="2"/>
      <c r="F1186" s="2">
        <f>_xlfn.XLOOKUP(D1186,TIPOS_CAMBIO!A:A,TIPOS_CAMBIO!B:B,"",0)</f>
        <v>0</v>
      </c>
      <c r="G1186" s="3">
        <f t="shared" si="36"/>
        <v>0</v>
      </c>
      <c r="H1186" s="3"/>
      <c r="I1186" s="3">
        <f ca="1">IFERROR(_xludf.XLOOKUP("Seguro",PARAMETROS_IMPORTACION!$A:$A,PARAMETROS_IMPORTACION!$C:$C,0),0)</f>
        <v>0</v>
      </c>
      <c r="J1186" s="3">
        <f ca="1">IFERROR(_xludf.XLOOKUP("Arancel",PARAMETROS_IMPORTACION!$A:$A,PARAMETROS_IMPORTACION!$C:$C,0),0)</f>
        <v>0</v>
      </c>
      <c r="K1186" s="2">
        <f ca="1">IFERROR(_xludf.XLOOKUP("Gastos_Aduana",PARAMETROS_IMPORTACION!$A:$A,PARAMETROS_IMPORTACION!$C:$C,0),0)</f>
        <v>0</v>
      </c>
      <c r="L1186" s="2">
        <f t="shared" si="37"/>
        <v>0</v>
      </c>
    </row>
    <row r="1187" spans="5:12" x14ac:dyDescent="0.35">
      <c r="E1187" s="2"/>
      <c r="F1187" s="2">
        <f>_xlfn.XLOOKUP(D1187,TIPOS_CAMBIO!A:A,TIPOS_CAMBIO!B:B,"",0)</f>
        <v>0</v>
      </c>
      <c r="G1187" s="3">
        <f t="shared" si="36"/>
        <v>0</v>
      </c>
      <c r="H1187" s="3"/>
      <c r="I1187" s="3">
        <f ca="1">IFERROR(_xludf.XLOOKUP("Seguro",PARAMETROS_IMPORTACION!$A:$A,PARAMETROS_IMPORTACION!$C:$C,0),0)</f>
        <v>0</v>
      </c>
      <c r="J1187" s="3">
        <f ca="1">IFERROR(_xludf.XLOOKUP("Arancel",PARAMETROS_IMPORTACION!$A:$A,PARAMETROS_IMPORTACION!$C:$C,0),0)</f>
        <v>0</v>
      </c>
      <c r="K1187" s="2">
        <f ca="1">IFERROR(_xludf.XLOOKUP("Gastos_Aduana",PARAMETROS_IMPORTACION!$A:$A,PARAMETROS_IMPORTACION!$C:$C,0),0)</f>
        <v>0</v>
      </c>
      <c r="L1187" s="2">
        <f t="shared" si="37"/>
        <v>0</v>
      </c>
    </row>
    <row r="1188" spans="5:12" x14ac:dyDescent="0.35">
      <c r="E1188" s="2"/>
      <c r="F1188" s="2">
        <f>_xlfn.XLOOKUP(D1188,TIPOS_CAMBIO!A:A,TIPOS_CAMBIO!B:B,"",0)</f>
        <v>0</v>
      </c>
      <c r="G1188" s="3">
        <f t="shared" si="36"/>
        <v>0</v>
      </c>
      <c r="H1188" s="3"/>
      <c r="I1188" s="3">
        <f ca="1">IFERROR(_xludf.XLOOKUP("Seguro",PARAMETROS_IMPORTACION!$A:$A,PARAMETROS_IMPORTACION!$C:$C,0),0)</f>
        <v>0</v>
      </c>
      <c r="J1188" s="3">
        <f ca="1">IFERROR(_xludf.XLOOKUP("Arancel",PARAMETROS_IMPORTACION!$A:$A,PARAMETROS_IMPORTACION!$C:$C,0),0)</f>
        <v>0</v>
      </c>
      <c r="K1188" s="2">
        <f ca="1">IFERROR(_xludf.XLOOKUP("Gastos_Aduana",PARAMETROS_IMPORTACION!$A:$A,PARAMETROS_IMPORTACION!$C:$C,0),0)</f>
        <v>0</v>
      </c>
      <c r="L1188" s="2">
        <f t="shared" si="37"/>
        <v>0</v>
      </c>
    </row>
    <row r="1189" spans="5:12" x14ac:dyDescent="0.35">
      <c r="E1189" s="2"/>
      <c r="F1189" s="2">
        <f>_xlfn.XLOOKUP(D1189,TIPOS_CAMBIO!A:A,TIPOS_CAMBIO!B:B,"",0)</f>
        <v>0</v>
      </c>
      <c r="G1189" s="3">
        <f t="shared" si="36"/>
        <v>0</v>
      </c>
      <c r="H1189" s="3"/>
      <c r="I1189" s="3">
        <f ca="1">IFERROR(_xludf.XLOOKUP("Seguro",PARAMETROS_IMPORTACION!$A:$A,PARAMETROS_IMPORTACION!$C:$C,0),0)</f>
        <v>0</v>
      </c>
      <c r="J1189" s="3">
        <f ca="1">IFERROR(_xludf.XLOOKUP("Arancel",PARAMETROS_IMPORTACION!$A:$A,PARAMETROS_IMPORTACION!$C:$C,0),0)</f>
        <v>0</v>
      </c>
      <c r="K1189" s="2">
        <f ca="1">IFERROR(_xludf.XLOOKUP("Gastos_Aduana",PARAMETROS_IMPORTACION!$A:$A,PARAMETROS_IMPORTACION!$C:$C,0),0)</f>
        <v>0</v>
      </c>
      <c r="L1189" s="2">
        <f t="shared" si="37"/>
        <v>0</v>
      </c>
    </row>
    <row r="1190" spans="5:12" x14ac:dyDescent="0.35">
      <c r="E1190" s="2"/>
      <c r="F1190" s="2">
        <f>_xlfn.XLOOKUP(D1190,TIPOS_CAMBIO!A:A,TIPOS_CAMBIO!B:B,"",0)</f>
        <v>0</v>
      </c>
      <c r="G1190" s="3">
        <f t="shared" si="36"/>
        <v>0</v>
      </c>
      <c r="H1190" s="3"/>
      <c r="I1190" s="3">
        <f ca="1">IFERROR(_xludf.XLOOKUP("Seguro",PARAMETROS_IMPORTACION!$A:$A,PARAMETROS_IMPORTACION!$C:$C,0),0)</f>
        <v>0</v>
      </c>
      <c r="J1190" s="3">
        <f ca="1">IFERROR(_xludf.XLOOKUP("Arancel",PARAMETROS_IMPORTACION!$A:$A,PARAMETROS_IMPORTACION!$C:$C,0),0)</f>
        <v>0</v>
      </c>
      <c r="K1190" s="2">
        <f ca="1">IFERROR(_xludf.XLOOKUP("Gastos_Aduana",PARAMETROS_IMPORTACION!$A:$A,PARAMETROS_IMPORTACION!$C:$C,0),0)</f>
        <v>0</v>
      </c>
      <c r="L1190" s="2">
        <f t="shared" si="37"/>
        <v>0</v>
      </c>
    </row>
    <row r="1191" spans="5:12" x14ac:dyDescent="0.35">
      <c r="E1191" s="2"/>
      <c r="F1191" s="2">
        <f>_xlfn.XLOOKUP(D1191,TIPOS_CAMBIO!A:A,TIPOS_CAMBIO!B:B,"",0)</f>
        <v>0</v>
      </c>
      <c r="G1191" s="3">
        <f t="shared" si="36"/>
        <v>0</v>
      </c>
      <c r="H1191" s="3"/>
      <c r="I1191" s="3">
        <f ca="1">IFERROR(_xludf.XLOOKUP("Seguro",PARAMETROS_IMPORTACION!$A:$A,PARAMETROS_IMPORTACION!$C:$C,0),0)</f>
        <v>0</v>
      </c>
      <c r="J1191" s="3">
        <f ca="1">IFERROR(_xludf.XLOOKUP("Arancel",PARAMETROS_IMPORTACION!$A:$A,PARAMETROS_IMPORTACION!$C:$C,0),0)</f>
        <v>0</v>
      </c>
      <c r="K1191" s="2">
        <f ca="1">IFERROR(_xludf.XLOOKUP("Gastos_Aduana",PARAMETROS_IMPORTACION!$A:$A,PARAMETROS_IMPORTACION!$C:$C,0),0)</f>
        <v>0</v>
      </c>
      <c r="L1191" s="2">
        <f t="shared" si="37"/>
        <v>0</v>
      </c>
    </row>
    <row r="1192" spans="5:12" x14ac:dyDescent="0.35">
      <c r="E1192" s="2"/>
      <c r="F1192" s="2">
        <f>_xlfn.XLOOKUP(D1192,TIPOS_CAMBIO!A:A,TIPOS_CAMBIO!B:B,"",0)</f>
        <v>0</v>
      </c>
      <c r="G1192" s="3">
        <f t="shared" si="36"/>
        <v>0</v>
      </c>
      <c r="H1192" s="3"/>
      <c r="I1192" s="3">
        <f ca="1">IFERROR(_xludf.XLOOKUP("Seguro",PARAMETROS_IMPORTACION!$A:$A,PARAMETROS_IMPORTACION!$C:$C,0),0)</f>
        <v>0</v>
      </c>
      <c r="J1192" s="3">
        <f ca="1">IFERROR(_xludf.XLOOKUP("Arancel",PARAMETROS_IMPORTACION!$A:$A,PARAMETROS_IMPORTACION!$C:$C,0),0)</f>
        <v>0</v>
      </c>
      <c r="K1192" s="2">
        <f ca="1">IFERROR(_xludf.XLOOKUP("Gastos_Aduana",PARAMETROS_IMPORTACION!$A:$A,PARAMETROS_IMPORTACION!$C:$C,0),0)</f>
        <v>0</v>
      </c>
      <c r="L1192" s="2">
        <f t="shared" si="37"/>
        <v>0</v>
      </c>
    </row>
    <row r="1193" spans="5:12" x14ac:dyDescent="0.35">
      <c r="E1193" s="2"/>
      <c r="F1193" s="2">
        <f>_xlfn.XLOOKUP(D1193,TIPOS_CAMBIO!A:A,TIPOS_CAMBIO!B:B,"",0)</f>
        <v>0</v>
      </c>
      <c r="G1193" s="3">
        <f t="shared" si="36"/>
        <v>0</v>
      </c>
      <c r="H1193" s="3"/>
      <c r="I1193" s="3">
        <f ca="1">IFERROR(_xludf.XLOOKUP("Seguro",PARAMETROS_IMPORTACION!$A:$A,PARAMETROS_IMPORTACION!$C:$C,0),0)</f>
        <v>0</v>
      </c>
      <c r="J1193" s="3">
        <f ca="1">IFERROR(_xludf.XLOOKUP("Arancel",PARAMETROS_IMPORTACION!$A:$A,PARAMETROS_IMPORTACION!$C:$C,0),0)</f>
        <v>0</v>
      </c>
      <c r="K1193" s="2">
        <f ca="1">IFERROR(_xludf.XLOOKUP("Gastos_Aduana",PARAMETROS_IMPORTACION!$A:$A,PARAMETROS_IMPORTACION!$C:$C,0),0)</f>
        <v>0</v>
      </c>
      <c r="L1193" s="2">
        <f t="shared" si="37"/>
        <v>0</v>
      </c>
    </row>
    <row r="1194" spans="5:12" x14ac:dyDescent="0.35">
      <c r="E1194" s="2"/>
      <c r="F1194" s="2">
        <f>_xlfn.XLOOKUP(D1194,TIPOS_CAMBIO!A:A,TIPOS_CAMBIO!B:B,"",0)</f>
        <v>0</v>
      </c>
      <c r="G1194" s="3">
        <f t="shared" si="36"/>
        <v>0</v>
      </c>
      <c r="H1194" s="3"/>
      <c r="I1194" s="3">
        <f ca="1">IFERROR(_xludf.XLOOKUP("Seguro",PARAMETROS_IMPORTACION!$A:$A,PARAMETROS_IMPORTACION!$C:$C,0),0)</f>
        <v>0</v>
      </c>
      <c r="J1194" s="3">
        <f ca="1">IFERROR(_xludf.XLOOKUP("Arancel",PARAMETROS_IMPORTACION!$A:$A,PARAMETROS_IMPORTACION!$C:$C,0),0)</f>
        <v>0</v>
      </c>
      <c r="K1194" s="2">
        <f ca="1">IFERROR(_xludf.XLOOKUP("Gastos_Aduana",PARAMETROS_IMPORTACION!$A:$A,PARAMETROS_IMPORTACION!$C:$C,0),0)</f>
        <v>0</v>
      </c>
      <c r="L1194" s="2">
        <f t="shared" si="37"/>
        <v>0</v>
      </c>
    </row>
    <row r="1195" spans="5:12" x14ac:dyDescent="0.35">
      <c r="E1195" s="2"/>
      <c r="F1195" s="2">
        <f>_xlfn.XLOOKUP(D1195,TIPOS_CAMBIO!A:A,TIPOS_CAMBIO!B:B,"",0)</f>
        <v>0</v>
      </c>
      <c r="G1195" s="3">
        <f t="shared" si="36"/>
        <v>0</v>
      </c>
      <c r="H1195" s="3"/>
      <c r="I1195" s="3">
        <f ca="1">IFERROR(_xludf.XLOOKUP("Seguro",PARAMETROS_IMPORTACION!$A:$A,PARAMETROS_IMPORTACION!$C:$C,0),0)</f>
        <v>0</v>
      </c>
      <c r="J1195" s="3">
        <f ca="1">IFERROR(_xludf.XLOOKUP("Arancel",PARAMETROS_IMPORTACION!$A:$A,PARAMETROS_IMPORTACION!$C:$C,0),0)</f>
        <v>0</v>
      </c>
      <c r="K1195" s="2">
        <f ca="1">IFERROR(_xludf.XLOOKUP("Gastos_Aduana",PARAMETROS_IMPORTACION!$A:$A,PARAMETROS_IMPORTACION!$C:$C,0),0)</f>
        <v>0</v>
      </c>
      <c r="L1195" s="2">
        <f t="shared" si="37"/>
        <v>0</v>
      </c>
    </row>
    <row r="1196" spans="5:12" x14ac:dyDescent="0.35">
      <c r="E1196" s="2"/>
      <c r="F1196" s="2">
        <f>_xlfn.XLOOKUP(D1196,TIPOS_CAMBIO!A:A,TIPOS_CAMBIO!B:B,"",0)</f>
        <v>0</v>
      </c>
      <c r="G1196" s="3">
        <f t="shared" si="36"/>
        <v>0</v>
      </c>
      <c r="H1196" s="3"/>
      <c r="I1196" s="3">
        <f ca="1">IFERROR(_xludf.XLOOKUP("Seguro",PARAMETROS_IMPORTACION!$A:$A,PARAMETROS_IMPORTACION!$C:$C,0),0)</f>
        <v>0</v>
      </c>
      <c r="J1196" s="3">
        <f ca="1">IFERROR(_xludf.XLOOKUP("Arancel",PARAMETROS_IMPORTACION!$A:$A,PARAMETROS_IMPORTACION!$C:$C,0),0)</f>
        <v>0</v>
      </c>
      <c r="K1196" s="2">
        <f ca="1">IFERROR(_xludf.XLOOKUP("Gastos_Aduana",PARAMETROS_IMPORTACION!$A:$A,PARAMETROS_IMPORTACION!$C:$C,0),0)</f>
        <v>0</v>
      </c>
      <c r="L1196" s="2">
        <f t="shared" si="37"/>
        <v>0</v>
      </c>
    </row>
    <row r="1197" spans="5:12" x14ac:dyDescent="0.35">
      <c r="E1197" s="2"/>
      <c r="F1197" s="2">
        <f>_xlfn.XLOOKUP(D1197,TIPOS_CAMBIO!A:A,TIPOS_CAMBIO!B:B,"",0)</f>
        <v>0</v>
      </c>
      <c r="G1197" s="3">
        <f t="shared" si="36"/>
        <v>0</v>
      </c>
      <c r="H1197" s="3"/>
      <c r="I1197" s="3">
        <f ca="1">IFERROR(_xludf.XLOOKUP("Seguro",PARAMETROS_IMPORTACION!$A:$A,PARAMETROS_IMPORTACION!$C:$C,0),0)</f>
        <v>0</v>
      </c>
      <c r="J1197" s="3">
        <f ca="1">IFERROR(_xludf.XLOOKUP("Arancel",PARAMETROS_IMPORTACION!$A:$A,PARAMETROS_IMPORTACION!$C:$C,0),0)</f>
        <v>0</v>
      </c>
      <c r="K1197" s="2">
        <f ca="1">IFERROR(_xludf.XLOOKUP("Gastos_Aduana",PARAMETROS_IMPORTACION!$A:$A,PARAMETROS_IMPORTACION!$C:$C,0),0)</f>
        <v>0</v>
      </c>
      <c r="L1197" s="2">
        <f t="shared" si="37"/>
        <v>0</v>
      </c>
    </row>
    <row r="1198" spans="5:12" x14ac:dyDescent="0.35">
      <c r="E1198" s="2"/>
      <c r="F1198" s="2">
        <f>_xlfn.XLOOKUP(D1198,TIPOS_CAMBIO!A:A,TIPOS_CAMBIO!B:B,"",0)</f>
        <v>0</v>
      </c>
      <c r="G1198" s="3">
        <f t="shared" si="36"/>
        <v>0</v>
      </c>
      <c r="H1198" s="3"/>
      <c r="I1198" s="3">
        <f ca="1">IFERROR(_xludf.XLOOKUP("Seguro",PARAMETROS_IMPORTACION!$A:$A,PARAMETROS_IMPORTACION!$C:$C,0),0)</f>
        <v>0</v>
      </c>
      <c r="J1198" s="3">
        <f ca="1">IFERROR(_xludf.XLOOKUP("Arancel",PARAMETROS_IMPORTACION!$A:$A,PARAMETROS_IMPORTACION!$C:$C,0),0)</f>
        <v>0</v>
      </c>
      <c r="K1198" s="2">
        <f ca="1">IFERROR(_xludf.XLOOKUP("Gastos_Aduana",PARAMETROS_IMPORTACION!$A:$A,PARAMETROS_IMPORTACION!$C:$C,0),0)</f>
        <v>0</v>
      </c>
      <c r="L1198" s="2">
        <f t="shared" si="37"/>
        <v>0</v>
      </c>
    </row>
    <row r="1199" spans="5:12" x14ac:dyDescent="0.35">
      <c r="E1199" s="2"/>
      <c r="F1199" s="2">
        <f>_xlfn.XLOOKUP(D1199,TIPOS_CAMBIO!A:A,TIPOS_CAMBIO!B:B,"",0)</f>
        <v>0</v>
      </c>
      <c r="G1199" s="3">
        <f t="shared" si="36"/>
        <v>0</v>
      </c>
      <c r="H1199" s="3"/>
      <c r="I1199" s="3">
        <f ca="1">IFERROR(_xludf.XLOOKUP("Seguro",PARAMETROS_IMPORTACION!$A:$A,PARAMETROS_IMPORTACION!$C:$C,0),0)</f>
        <v>0</v>
      </c>
      <c r="J1199" s="3">
        <f ca="1">IFERROR(_xludf.XLOOKUP("Arancel",PARAMETROS_IMPORTACION!$A:$A,PARAMETROS_IMPORTACION!$C:$C,0),0)</f>
        <v>0</v>
      </c>
      <c r="K1199" s="2">
        <f ca="1">IFERROR(_xludf.XLOOKUP("Gastos_Aduana",PARAMETROS_IMPORTACION!$A:$A,PARAMETROS_IMPORTACION!$C:$C,0),0)</f>
        <v>0</v>
      </c>
      <c r="L1199" s="2">
        <f t="shared" si="37"/>
        <v>0</v>
      </c>
    </row>
    <row r="1200" spans="5:12" x14ac:dyDescent="0.35">
      <c r="E1200" s="2"/>
      <c r="F1200" s="2">
        <f>_xlfn.XLOOKUP(D1200,TIPOS_CAMBIO!A:A,TIPOS_CAMBIO!B:B,"",0)</f>
        <v>0</v>
      </c>
      <c r="G1200" s="3">
        <f t="shared" si="36"/>
        <v>0</v>
      </c>
      <c r="H1200" s="3"/>
      <c r="I1200" s="3">
        <f ca="1">IFERROR(_xludf.XLOOKUP("Seguro",PARAMETROS_IMPORTACION!$A:$A,PARAMETROS_IMPORTACION!$C:$C,0),0)</f>
        <v>0</v>
      </c>
      <c r="J1200" s="3">
        <f ca="1">IFERROR(_xludf.XLOOKUP("Arancel",PARAMETROS_IMPORTACION!$A:$A,PARAMETROS_IMPORTACION!$C:$C,0),0)</f>
        <v>0</v>
      </c>
      <c r="K1200" s="2">
        <f ca="1">IFERROR(_xludf.XLOOKUP("Gastos_Aduana",PARAMETROS_IMPORTACION!$A:$A,PARAMETROS_IMPORTACION!$C:$C,0),0)</f>
        <v>0</v>
      </c>
      <c r="L1200" s="2">
        <f t="shared" si="37"/>
        <v>0</v>
      </c>
    </row>
    <row r="1201" spans="5:12" x14ac:dyDescent="0.35">
      <c r="E1201" s="2"/>
      <c r="F1201" s="2">
        <f>_xlfn.XLOOKUP(D1201,TIPOS_CAMBIO!A:A,TIPOS_CAMBIO!B:B,"",0)</f>
        <v>0</v>
      </c>
      <c r="G1201" s="3">
        <f t="shared" si="36"/>
        <v>0</v>
      </c>
      <c r="H1201" s="3"/>
      <c r="I1201" s="3">
        <f ca="1">IFERROR(_xludf.XLOOKUP("Seguro",PARAMETROS_IMPORTACION!$A:$A,PARAMETROS_IMPORTACION!$C:$C,0),0)</f>
        <v>0</v>
      </c>
      <c r="J1201" s="3">
        <f ca="1">IFERROR(_xludf.XLOOKUP("Arancel",PARAMETROS_IMPORTACION!$A:$A,PARAMETROS_IMPORTACION!$C:$C,0),0)</f>
        <v>0</v>
      </c>
      <c r="K1201" s="2">
        <f ca="1">IFERROR(_xludf.XLOOKUP("Gastos_Aduana",PARAMETROS_IMPORTACION!$A:$A,PARAMETROS_IMPORTACION!$C:$C,0),0)</f>
        <v>0</v>
      </c>
      <c r="L1201" s="2">
        <f t="shared" si="37"/>
        <v>0</v>
      </c>
    </row>
    <row r="1202" spans="5:12" x14ac:dyDescent="0.35">
      <c r="E1202" s="2"/>
      <c r="F1202" s="2">
        <f>_xlfn.XLOOKUP(D1202,TIPOS_CAMBIO!A:A,TIPOS_CAMBIO!B:B,"",0)</f>
        <v>0</v>
      </c>
      <c r="G1202" s="3">
        <f t="shared" si="36"/>
        <v>0</v>
      </c>
      <c r="H1202" s="3"/>
      <c r="I1202" s="3">
        <f ca="1">IFERROR(_xludf.XLOOKUP("Seguro",PARAMETROS_IMPORTACION!$A:$A,PARAMETROS_IMPORTACION!$C:$C,0),0)</f>
        <v>0</v>
      </c>
      <c r="J1202" s="3">
        <f ca="1">IFERROR(_xludf.XLOOKUP("Arancel",PARAMETROS_IMPORTACION!$A:$A,PARAMETROS_IMPORTACION!$C:$C,0),0)</f>
        <v>0</v>
      </c>
      <c r="K1202" s="2">
        <f ca="1">IFERROR(_xludf.XLOOKUP("Gastos_Aduana",PARAMETROS_IMPORTACION!$A:$A,PARAMETROS_IMPORTACION!$C:$C,0),0)</f>
        <v>0</v>
      </c>
      <c r="L1202" s="2">
        <f t="shared" si="37"/>
        <v>0</v>
      </c>
    </row>
    <row r="1203" spans="5:12" x14ac:dyDescent="0.35">
      <c r="E1203" s="2"/>
      <c r="F1203" s="2">
        <f>_xlfn.XLOOKUP(D1203,TIPOS_CAMBIO!A:A,TIPOS_CAMBIO!B:B,"",0)</f>
        <v>0</v>
      </c>
      <c r="G1203" s="3">
        <f t="shared" si="36"/>
        <v>0</v>
      </c>
      <c r="H1203" s="3"/>
      <c r="I1203" s="3">
        <f ca="1">IFERROR(_xludf.XLOOKUP("Seguro",PARAMETROS_IMPORTACION!$A:$A,PARAMETROS_IMPORTACION!$C:$C,0),0)</f>
        <v>0</v>
      </c>
      <c r="J1203" s="3">
        <f ca="1">IFERROR(_xludf.XLOOKUP("Arancel",PARAMETROS_IMPORTACION!$A:$A,PARAMETROS_IMPORTACION!$C:$C,0),0)</f>
        <v>0</v>
      </c>
      <c r="K1203" s="2">
        <f ca="1">IFERROR(_xludf.XLOOKUP("Gastos_Aduana",PARAMETROS_IMPORTACION!$A:$A,PARAMETROS_IMPORTACION!$C:$C,0),0)</f>
        <v>0</v>
      </c>
      <c r="L1203" s="2">
        <f t="shared" si="37"/>
        <v>0</v>
      </c>
    </row>
    <row r="1204" spans="5:12" x14ac:dyDescent="0.35">
      <c r="E1204" s="2"/>
      <c r="F1204" s="2">
        <f>_xlfn.XLOOKUP(D1204,TIPOS_CAMBIO!A:A,TIPOS_CAMBIO!B:B,"",0)</f>
        <v>0</v>
      </c>
      <c r="G1204" s="3">
        <f t="shared" si="36"/>
        <v>0</v>
      </c>
      <c r="H1204" s="3"/>
      <c r="I1204" s="3">
        <f ca="1">IFERROR(_xludf.XLOOKUP("Seguro",PARAMETROS_IMPORTACION!$A:$A,PARAMETROS_IMPORTACION!$C:$C,0),0)</f>
        <v>0</v>
      </c>
      <c r="J1204" s="3">
        <f ca="1">IFERROR(_xludf.XLOOKUP("Arancel",PARAMETROS_IMPORTACION!$A:$A,PARAMETROS_IMPORTACION!$C:$C,0),0)</f>
        <v>0</v>
      </c>
      <c r="K1204" s="2">
        <f ca="1">IFERROR(_xludf.XLOOKUP("Gastos_Aduana",PARAMETROS_IMPORTACION!$A:$A,PARAMETROS_IMPORTACION!$C:$C,0),0)</f>
        <v>0</v>
      </c>
      <c r="L1204" s="2">
        <f t="shared" si="37"/>
        <v>0</v>
      </c>
    </row>
    <row r="1205" spans="5:12" x14ac:dyDescent="0.35">
      <c r="E1205" s="2"/>
      <c r="F1205" s="2">
        <f>_xlfn.XLOOKUP(D1205,TIPOS_CAMBIO!A:A,TIPOS_CAMBIO!B:B,"",0)</f>
        <v>0</v>
      </c>
      <c r="G1205" s="3">
        <f t="shared" si="36"/>
        <v>0</v>
      </c>
      <c r="H1205" s="3"/>
      <c r="I1205" s="3">
        <f ca="1">IFERROR(_xludf.XLOOKUP("Seguro",PARAMETROS_IMPORTACION!$A:$A,PARAMETROS_IMPORTACION!$C:$C,0),0)</f>
        <v>0</v>
      </c>
      <c r="J1205" s="3">
        <f ca="1">IFERROR(_xludf.XLOOKUP("Arancel",PARAMETROS_IMPORTACION!$A:$A,PARAMETROS_IMPORTACION!$C:$C,0),0)</f>
        <v>0</v>
      </c>
      <c r="K1205" s="2">
        <f ca="1">IFERROR(_xludf.XLOOKUP("Gastos_Aduana",PARAMETROS_IMPORTACION!$A:$A,PARAMETROS_IMPORTACION!$C:$C,0),0)</f>
        <v>0</v>
      </c>
      <c r="L1205" s="2">
        <f t="shared" si="37"/>
        <v>0</v>
      </c>
    </row>
    <row r="1206" spans="5:12" x14ac:dyDescent="0.35">
      <c r="E1206" s="2"/>
      <c r="F1206" s="2">
        <f>_xlfn.XLOOKUP(D1206,TIPOS_CAMBIO!A:A,TIPOS_CAMBIO!B:B,"",0)</f>
        <v>0</v>
      </c>
      <c r="G1206" s="3">
        <f t="shared" si="36"/>
        <v>0</v>
      </c>
      <c r="H1206" s="3"/>
      <c r="I1206" s="3">
        <f ca="1">IFERROR(_xludf.XLOOKUP("Seguro",PARAMETROS_IMPORTACION!$A:$A,PARAMETROS_IMPORTACION!$C:$C,0),0)</f>
        <v>0</v>
      </c>
      <c r="J1206" s="3">
        <f ca="1">IFERROR(_xludf.XLOOKUP("Arancel",PARAMETROS_IMPORTACION!$A:$A,PARAMETROS_IMPORTACION!$C:$C,0),0)</f>
        <v>0</v>
      </c>
      <c r="K1206" s="2">
        <f ca="1">IFERROR(_xludf.XLOOKUP("Gastos_Aduana",PARAMETROS_IMPORTACION!$A:$A,PARAMETROS_IMPORTACION!$C:$C,0),0)</f>
        <v>0</v>
      </c>
      <c r="L1206" s="2">
        <f t="shared" si="37"/>
        <v>0</v>
      </c>
    </row>
    <row r="1207" spans="5:12" x14ac:dyDescent="0.35">
      <c r="E1207" s="2"/>
      <c r="F1207" s="2">
        <f>_xlfn.XLOOKUP(D1207,TIPOS_CAMBIO!A:A,TIPOS_CAMBIO!B:B,"",0)</f>
        <v>0</v>
      </c>
      <c r="G1207" s="3">
        <f t="shared" si="36"/>
        <v>0</v>
      </c>
      <c r="H1207" s="3"/>
      <c r="I1207" s="3">
        <f ca="1">IFERROR(_xludf.XLOOKUP("Seguro",PARAMETROS_IMPORTACION!$A:$A,PARAMETROS_IMPORTACION!$C:$C,0),0)</f>
        <v>0</v>
      </c>
      <c r="J1207" s="3">
        <f ca="1">IFERROR(_xludf.XLOOKUP("Arancel",PARAMETROS_IMPORTACION!$A:$A,PARAMETROS_IMPORTACION!$C:$C,0),0)</f>
        <v>0</v>
      </c>
      <c r="K1207" s="2">
        <f ca="1">IFERROR(_xludf.XLOOKUP("Gastos_Aduana",PARAMETROS_IMPORTACION!$A:$A,PARAMETROS_IMPORTACION!$C:$C,0),0)</f>
        <v>0</v>
      </c>
      <c r="L1207" s="2">
        <f t="shared" si="37"/>
        <v>0</v>
      </c>
    </row>
    <row r="1208" spans="5:12" x14ac:dyDescent="0.35">
      <c r="E1208" s="2"/>
      <c r="F1208" s="2">
        <f>_xlfn.XLOOKUP(D1208,TIPOS_CAMBIO!A:A,TIPOS_CAMBIO!B:B,"",0)</f>
        <v>0</v>
      </c>
      <c r="G1208" s="3">
        <f t="shared" si="36"/>
        <v>0</v>
      </c>
      <c r="H1208" s="3"/>
      <c r="I1208" s="3">
        <f ca="1">IFERROR(_xludf.XLOOKUP("Seguro",PARAMETROS_IMPORTACION!$A:$A,PARAMETROS_IMPORTACION!$C:$C,0),0)</f>
        <v>0</v>
      </c>
      <c r="J1208" s="3">
        <f ca="1">IFERROR(_xludf.XLOOKUP("Arancel",PARAMETROS_IMPORTACION!$A:$A,PARAMETROS_IMPORTACION!$C:$C,0),0)</f>
        <v>0</v>
      </c>
      <c r="K1208" s="2">
        <f ca="1">IFERROR(_xludf.XLOOKUP("Gastos_Aduana",PARAMETROS_IMPORTACION!$A:$A,PARAMETROS_IMPORTACION!$C:$C,0),0)</f>
        <v>0</v>
      </c>
      <c r="L1208" s="2">
        <f t="shared" si="37"/>
        <v>0</v>
      </c>
    </row>
    <row r="1209" spans="5:12" x14ac:dyDescent="0.35">
      <c r="E1209" s="2"/>
      <c r="F1209" s="2">
        <f>_xlfn.XLOOKUP(D1209,TIPOS_CAMBIO!A:A,TIPOS_CAMBIO!B:B,"",0)</f>
        <v>0</v>
      </c>
      <c r="G1209" s="3">
        <f t="shared" si="36"/>
        <v>0</v>
      </c>
      <c r="H1209" s="3"/>
      <c r="I1209" s="3">
        <f ca="1">IFERROR(_xludf.XLOOKUP("Seguro",PARAMETROS_IMPORTACION!$A:$A,PARAMETROS_IMPORTACION!$C:$C,0),0)</f>
        <v>0</v>
      </c>
      <c r="J1209" s="3">
        <f ca="1">IFERROR(_xludf.XLOOKUP("Arancel",PARAMETROS_IMPORTACION!$A:$A,PARAMETROS_IMPORTACION!$C:$C,0),0)</f>
        <v>0</v>
      </c>
      <c r="K1209" s="2">
        <f ca="1">IFERROR(_xludf.XLOOKUP("Gastos_Aduana",PARAMETROS_IMPORTACION!$A:$A,PARAMETROS_IMPORTACION!$C:$C,0),0)</f>
        <v>0</v>
      </c>
      <c r="L1209" s="2">
        <f t="shared" si="37"/>
        <v>0</v>
      </c>
    </row>
    <row r="1210" spans="5:12" x14ac:dyDescent="0.35">
      <c r="E1210" s="2"/>
      <c r="F1210" s="2">
        <f>_xlfn.XLOOKUP(D1210,TIPOS_CAMBIO!A:A,TIPOS_CAMBIO!B:B,"",0)</f>
        <v>0</v>
      </c>
      <c r="G1210" s="3">
        <f t="shared" si="36"/>
        <v>0</v>
      </c>
      <c r="H1210" s="3"/>
      <c r="I1210" s="3">
        <f ca="1">IFERROR(_xludf.XLOOKUP("Seguro",PARAMETROS_IMPORTACION!$A:$A,PARAMETROS_IMPORTACION!$C:$C,0),0)</f>
        <v>0</v>
      </c>
      <c r="J1210" s="3">
        <f ca="1">IFERROR(_xludf.XLOOKUP("Arancel",PARAMETROS_IMPORTACION!$A:$A,PARAMETROS_IMPORTACION!$C:$C,0),0)</f>
        <v>0</v>
      </c>
      <c r="K1210" s="2">
        <f ca="1">IFERROR(_xludf.XLOOKUP("Gastos_Aduana",PARAMETROS_IMPORTACION!$A:$A,PARAMETROS_IMPORTACION!$C:$C,0),0)</f>
        <v>0</v>
      </c>
      <c r="L1210" s="2">
        <f t="shared" si="37"/>
        <v>0</v>
      </c>
    </row>
    <row r="1211" spans="5:12" x14ac:dyDescent="0.35">
      <c r="E1211" s="2"/>
      <c r="F1211" s="2">
        <f>_xlfn.XLOOKUP(D1211,TIPOS_CAMBIO!A:A,TIPOS_CAMBIO!B:B,"",0)</f>
        <v>0</v>
      </c>
      <c r="G1211" s="3">
        <f t="shared" si="36"/>
        <v>0</v>
      </c>
      <c r="H1211" s="3"/>
      <c r="I1211" s="3">
        <f ca="1">IFERROR(_xludf.XLOOKUP("Seguro",PARAMETROS_IMPORTACION!$A:$A,PARAMETROS_IMPORTACION!$C:$C,0),0)</f>
        <v>0</v>
      </c>
      <c r="J1211" s="3">
        <f ca="1">IFERROR(_xludf.XLOOKUP("Arancel",PARAMETROS_IMPORTACION!$A:$A,PARAMETROS_IMPORTACION!$C:$C,0),0)</f>
        <v>0</v>
      </c>
      <c r="K1211" s="2">
        <f ca="1">IFERROR(_xludf.XLOOKUP("Gastos_Aduana",PARAMETROS_IMPORTACION!$A:$A,PARAMETROS_IMPORTACION!$C:$C,0),0)</f>
        <v>0</v>
      </c>
      <c r="L1211" s="2">
        <f t="shared" si="37"/>
        <v>0</v>
      </c>
    </row>
    <row r="1212" spans="5:12" x14ac:dyDescent="0.35">
      <c r="E1212" s="2"/>
      <c r="F1212" s="2">
        <f>_xlfn.XLOOKUP(D1212,TIPOS_CAMBIO!A:A,TIPOS_CAMBIO!B:B,"",0)</f>
        <v>0</v>
      </c>
      <c r="G1212" s="3">
        <f t="shared" si="36"/>
        <v>0</v>
      </c>
      <c r="H1212" s="3"/>
      <c r="I1212" s="3">
        <f ca="1">IFERROR(_xludf.XLOOKUP("Seguro",PARAMETROS_IMPORTACION!$A:$A,PARAMETROS_IMPORTACION!$C:$C,0),0)</f>
        <v>0</v>
      </c>
      <c r="J1212" s="3">
        <f ca="1">IFERROR(_xludf.XLOOKUP("Arancel",PARAMETROS_IMPORTACION!$A:$A,PARAMETROS_IMPORTACION!$C:$C,0),0)</f>
        <v>0</v>
      </c>
      <c r="K1212" s="2">
        <f ca="1">IFERROR(_xludf.XLOOKUP("Gastos_Aduana",PARAMETROS_IMPORTACION!$A:$A,PARAMETROS_IMPORTACION!$C:$C,0),0)</f>
        <v>0</v>
      </c>
      <c r="L1212" s="2">
        <f t="shared" si="37"/>
        <v>0</v>
      </c>
    </row>
    <row r="1213" spans="5:12" x14ac:dyDescent="0.35">
      <c r="E1213" s="2"/>
      <c r="F1213" s="2">
        <f>_xlfn.XLOOKUP(D1213,TIPOS_CAMBIO!A:A,TIPOS_CAMBIO!B:B,"",0)</f>
        <v>0</v>
      </c>
      <c r="G1213" s="3">
        <f t="shared" si="36"/>
        <v>0</v>
      </c>
      <c r="H1213" s="3"/>
      <c r="I1213" s="3">
        <f ca="1">IFERROR(_xludf.XLOOKUP("Seguro",PARAMETROS_IMPORTACION!$A:$A,PARAMETROS_IMPORTACION!$C:$C,0),0)</f>
        <v>0</v>
      </c>
      <c r="J1213" s="3">
        <f ca="1">IFERROR(_xludf.XLOOKUP("Arancel",PARAMETROS_IMPORTACION!$A:$A,PARAMETROS_IMPORTACION!$C:$C,0),0)</f>
        <v>0</v>
      </c>
      <c r="K1213" s="2">
        <f ca="1">IFERROR(_xludf.XLOOKUP("Gastos_Aduana",PARAMETROS_IMPORTACION!$A:$A,PARAMETROS_IMPORTACION!$C:$C,0),0)</f>
        <v>0</v>
      </c>
      <c r="L1213" s="2">
        <f t="shared" si="37"/>
        <v>0</v>
      </c>
    </row>
    <row r="1214" spans="5:12" x14ac:dyDescent="0.35">
      <c r="E1214" s="2"/>
      <c r="F1214" s="2">
        <f>_xlfn.XLOOKUP(D1214,TIPOS_CAMBIO!A:A,TIPOS_CAMBIO!B:B,"",0)</f>
        <v>0</v>
      </c>
      <c r="G1214" s="3">
        <f t="shared" si="36"/>
        <v>0</v>
      </c>
      <c r="H1214" s="3"/>
      <c r="I1214" s="3">
        <f ca="1">IFERROR(_xludf.XLOOKUP("Seguro",PARAMETROS_IMPORTACION!$A:$A,PARAMETROS_IMPORTACION!$C:$C,0),0)</f>
        <v>0</v>
      </c>
      <c r="J1214" s="3">
        <f ca="1">IFERROR(_xludf.XLOOKUP("Arancel",PARAMETROS_IMPORTACION!$A:$A,PARAMETROS_IMPORTACION!$C:$C,0),0)</f>
        <v>0</v>
      </c>
      <c r="K1214" s="2">
        <f ca="1">IFERROR(_xludf.XLOOKUP("Gastos_Aduana",PARAMETROS_IMPORTACION!$A:$A,PARAMETROS_IMPORTACION!$C:$C,0),0)</f>
        <v>0</v>
      </c>
      <c r="L1214" s="2">
        <f t="shared" si="37"/>
        <v>0</v>
      </c>
    </row>
    <row r="1215" spans="5:12" x14ac:dyDescent="0.35">
      <c r="E1215" s="2"/>
      <c r="F1215" s="2">
        <f>_xlfn.XLOOKUP(D1215,TIPOS_CAMBIO!A:A,TIPOS_CAMBIO!B:B,"",0)</f>
        <v>0</v>
      </c>
      <c r="G1215" s="3">
        <f t="shared" si="36"/>
        <v>0</v>
      </c>
      <c r="H1215" s="3"/>
      <c r="I1215" s="3">
        <f ca="1">IFERROR(_xludf.XLOOKUP("Seguro",PARAMETROS_IMPORTACION!$A:$A,PARAMETROS_IMPORTACION!$C:$C,0),0)</f>
        <v>0</v>
      </c>
      <c r="J1215" s="3">
        <f ca="1">IFERROR(_xludf.XLOOKUP("Arancel",PARAMETROS_IMPORTACION!$A:$A,PARAMETROS_IMPORTACION!$C:$C,0),0)</f>
        <v>0</v>
      </c>
      <c r="K1215" s="2">
        <f ca="1">IFERROR(_xludf.XLOOKUP("Gastos_Aduana",PARAMETROS_IMPORTACION!$A:$A,PARAMETROS_IMPORTACION!$C:$C,0),0)</f>
        <v>0</v>
      </c>
      <c r="L1215" s="2">
        <f t="shared" si="37"/>
        <v>0</v>
      </c>
    </row>
    <row r="1216" spans="5:12" x14ac:dyDescent="0.35">
      <c r="E1216" s="2"/>
      <c r="F1216" s="2">
        <f>_xlfn.XLOOKUP(D1216,TIPOS_CAMBIO!A:A,TIPOS_CAMBIO!B:B,"",0)</f>
        <v>0</v>
      </c>
      <c r="G1216" s="3">
        <f t="shared" si="36"/>
        <v>0</v>
      </c>
      <c r="H1216" s="3"/>
      <c r="I1216" s="3">
        <f ca="1">IFERROR(_xludf.XLOOKUP("Seguro",PARAMETROS_IMPORTACION!$A:$A,PARAMETROS_IMPORTACION!$C:$C,0),0)</f>
        <v>0</v>
      </c>
      <c r="J1216" s="3">
        <f ca="1">IFERROR(_xludf.XLOOKUP("Arancel",PARAMETROS_IMPORTACION!$A:$A,PARAMETROS_IMPORTACION!$C:$C,0),0)</f>
        <v>0</v>
      </c>
      <c r="K1216" s="2">
        <f ca="1">IFERROR(_xludf.XLOOKUP("Gastos_Aduana",PARAMETROS_IMPORTACION!$A:$A,PARAMETROS_IMPORTACION!$C:$C,0),0)</f>
        <v>0</v>
      </c>
      <c r="L1216" s="2">
        <f t="shared" si="37"/>
        <v>0</v>
      </c>
    </row>
    <row r="1217" spans="5:12" x14ac:dyDescent="0.35">
      <c r="E1217" s="2"/>
      <c r="F1217" s="2">
        <f>_xlfn.XLOOKUP(D1217,TIPOS_CAMBIO!A:A,TIPOS_CAMBIO!B:B,"",0)</f>
        <v>0</v>
      </c>
      <c r="G1217" s="3">
        <f t="shared" si="36"/>
        <v>0</v>
      </c>
      <c r="H1217" s="3"/>
      <c r="I1217" s="3">
        <f ca="1">IFERROR(_xludf.XLOOKUP("Seguro",PARAMETROS_IMPORTACION!$A:$A,PARAMETROS_IMPORTACION!$C:$C,0),0)</f>
        <v>0</v>
      </c>
      <c r="J1217" s="3">
        <f ca="1">IFERROR(_xludf.XLOOKUP("Arancel",PARAMETROS_IMPORTACION!$A:$A,PARAMETROS_IMPORTACION!$C:$C,0),0)</f>
        <v>0</v>
      </c>
      <c r="K1217" s="2">
        <f ca="1">IFERROR(_xludf.XLOOKUP("Gastos_Aduana",PARAMETROS_IMPORTACION!$A:$A,PARAMETROS_IMPORTACION!$C:$C,0),0)</f>
        <v>0</v>
      </c>
      <c r="L1217" s="2">
        <f t="shared" si="37"/>
        <v>0</v>
      </c>
    </row>
    <row r="1218" spans="5:12" x14ac:dyDescent="0.35">
      <c r="E1218" s="2"/>
      <c r="F1218" s="2">
        <f>_xlfn.XLOOKUP(D1218,TIPOS_CAMBIO!A:A,TIPOS_CAMBIO!B:B,"",0)</f>
        <v>0</v>
      </c>
      <c r="G1218" s="3">
        <f t="shared" ref="G1218:G1281" si="38">$E1218*$F1218</f>
        <v>0</v>
      </c>
      <c r="H1218" s="3"/>
      <c r="I1218" s="3">
        <f ca="1">IFERROR(_xludf.XLOOKUP("Seguro",PARAMETROS_IMPORTACION!$A:$A,PARAMETROS_IMPORTACION!$C:$C,0),0)</f>
        <v>0</v>
      </c>
      <c r="J1218" s="3">
        <f ca="1">IFERROR(_xludf.XLOOKUP("Arancel",PARAMETROS_IMPORTACION!$A:$A,PARAMETROS_IMPORTACION!$C:$C,0),0)</f>
        <v>0</v>
      </c>
      <c r="K1218" s="2">
        <f ca="1">IFERROR(_xludf.XLOOKUP("Gastos_Aduana",PARAMETROS_IMPORTACION!$A:$A,PARAMETROS_IMPORTACION!$C:$C,0),0)</f>
        <v>0</v>
      </c>
      <c r="L1218" s="2">
        <f t="shared" si="37"/>
        <v>0</v>
      </c>
    </row>
    <row r="1219" spans="5:12" x14ac:dyDescent="0.35">
      <c r="E1219" s="2"/>
      <c r="F1219" s="2">
        <f>_xlfn.XLOOKUP(D1219,TIPOS_CAMBIO!A:A,TIPOS_CAMBIO!B:B,"",0)</f>
        <v>0</v>
      </c>
      <c r="G1219" s="3">
        <f t="shared" si="38"/>
        <v>0</v>
      </c>
      <c r="H1219" s="3"/>
      <c r="I1219" s="3">
        <f ca="1">IFERROR(_xludf.XLOOKUP("Seguro",PARAMETROS_IMPORTACION!$A:$A,PARAMETROS_IMPORTACION!$C:$C,0),0)</f>
        <v>0</v>
      </c>
      <c r="J1219" s="3">
        <f ca="1">IFERROR(_xludf.XLOOKUP("Arancel",PARAMETROS_IMPORTACION!$A:$A,PARAMETROS_IMPORTACION!$C:$C,0),0)</f>
        <v>0</v>
      </c>
      <c r="K1219" s="2">
        <f ca="1">IFERROR(_xludf.XLOOKUP("Gastos_Aduana",PARAMETROS_IMPORTACION!$A:$A,PARAMETROS_IMPORTACION!$C:$C,0),0)</f>
        <v>0</v>
      </c>
      <c r="L1219" s="2">
        <f t="shared" ref="L1219:L1282" si="39">IF($C1219="Importado",$G1219*(1+$H1219+$I1219+$J1219)+$K1219,$G1219)</f>
        <v>0</v>
      </c>
    </row>
    <row r="1220" spans="5:12" x14ac:dyDescent="0.35">
      <c r="E1220" s="2"/>
      <c r="F1220" s="2">
        <f>_xlfn.XLOOKUP(D1220,TIPOS_CAMBIO!A:A,TIPOS_CAMBIO!B:B,"",0)</f>
        <v>0</v>
      </c>
      <c r="G1220" s="3">
        <f t="shared" si="38"/>
        <v>0</v>
      </c>
      <c r="H1220" s="3"/>
      <c r="I1220" s="3">
        <f ca="1">IFERROR(_xludf.XLOOKUP("Seguro",PARAMETROS_IMPORTACION!$A:$A,PARAMETROS_IMPORTACION!$C:$C,0),0)</f>
        <v>0</v>
      </c>
      <c r="J1220" s="3">
        <f ca="1">IFERROR(_xludf.XLOOKUP("Arancel",PARAMETROS_IMPORTACION!$A:$A,PARAMETROS_IMPORTACION!$C:$C,0),0)</f>
        <v>0</v>
      </c>
      <c r="K1220" s="2">
        <f ca="1">IFERROR(_xludf.XLOOKUP("Gastos_Aduana",PARAMETROS_IMPORTACION!$A:$A,PARAMETROS_IMPORTACION!$C:$C,0),0)</f>
        <v>0</v>
      </c>
      <c r="L1220" s="2">
        <f t="shared" si="39"/>
        <v>0</v>
      </c>
    </row>
    <row r="1221" spans="5:12" x14ac:dyDescent="0.35">
      <c r="E1221" s="2"/>
      <c r="F1221" s="2">
        <f>_xlfn.XLOOKUP(D1221,TIPOS_CAMBIO!A:A,TIPOS_CAMBIO!B:B,"",0)</f>
        <v>0</v>
      </c>
      <c r="G1221" s="3">
        <f t="shared" si="38"/>
        <v>0</v>
      </c>
      <c r="H1221" s="3"/>
      <c r="I1221" s="3">
        <f ca="1">IFERROR(_xludf.XLOOKUP("Seguro",PARAMETROS_IMPORTACION!$A:$A,PARAMETROS_IMPORTACION!$C:$C,0),0)</f>
        <v>0</v>
      </c>
      <c r="J1221" s="3">
        <f ca="1">IFERROR(_xludf.XLOOKUP("Arancel",PARAMETROS_IMPORTACION!$A:$A,PARAMETROS_IMPORTACION!$C:$C,0),0)</f>
        <v>0</v>
      </c>
      <c r="K1221" s="2">
        <f ca="1">IFERROR(_xludf.XLOOKUP("Gastos_Aduana",PARAMETROS_IMPORTACION!$A:$A,PARAMETROS_IMPORTACION!$C:$C,0),0)</f>
        <v>0</v>
      </c>
      <c r="L1221" s="2">
        <f t="shared" si="39"/>
        <v>0</v>
      </c>
    </row>
    <row r="1222" spans="5:12" x14ac:dyDescent="0.35">
      <c r="E1222" s="2"/>
      <c r="F1222" s="2">
        <f>_xlfn.XLOOKUP(D1222,TIPOS_CAMBIO!A:A,TIPOS_CAMBIO!B:B,"",0)</f>
        <v>0</v>
      </c>
      <c r="G1222" s="3">
        <f t="shared" si="38"/>
        <v>0</v>
      </c>
      <c r="H1222" s="3"/>
      <c r="I1222" s="3">
        <f ca="1">IFERROR(_xludf.XLOOKUP("Seguro",PARAMETROS_IMPORTACION!$A:$A,PARAMETROS_IMPORTACION!$C:$C,0),0)</f>
        <v>0</v>
      </c>
      <c r="J1222" s="3">
        <f ca="1">IFERROR(_xludf.XLOOKUP("Arancel",PARAMETROS_IMPORTACION!$A:$A,PARAMETROS_IMPORTACION!$C:$C,0),0)</f>
        <v>0</v>
      </c>
      <c r="K1222" s="2">
        <f ca="1">IFERROR(_xludf.XLOOKUP("Gastos_Aduana",PARAMETROS_IMPORTACION!$A:$A,PARAMETROS_IMPORTACION!$C:$C,0),0)</f>
        <v>0</v>
      </c>
      <c r="L1222" s="2">
        <f t="shared" si="39"/>
        <v>0</v>
      </c>
    </row>
    <row r="1223" spans="5:12" x14ac:dyDescent="0.35">
      <c r="E1223" s="2"/>
      <c r="F1223" s="2">
        <f>_xlfn.XLOOKUP(D1223,TIPOS_CAMBIO!A:A,TIPOS_CAMBIO!B:B,"",0)</f>
        <v>0</v>
      </c>
      <c r="G1223" s="3">
        <f t="shared" si="38"/>
        <v>0</v>
      </c>
      <c r="H1223" s="3"/>
      <c r="I1223" s="3">
        <f ca="1">IFERROR(_xludf.XLOOKUP("Seguro",PARAMETROS_IMPORTACION!$A:$A,PARAMETROS_IMPORTACION!$C:$C,0),0)</f>
        <v>0</v>
      </c>
      <c r="J1223" s="3">
        <f ca="1">IFERROR(_xludf.XLOOKUP("Arancel",PARAMETROS_IMPORTACION!$A:$A,PARAMETROS_IMPORTACION!$C:$C,0),0)</f>
        <v>0</v>
      </c>
      <c r="K1223" s="2">
        <f ca="1">IFERROR(_xludf.XLOOKUP("Gastos_Aduana",PARAMETROS_IMPORTACION!$A:$A,PARAMETROS_IMPORTACION!$C:$C,0),0)</f>
        <v>0</v>
      </c>
      <c r="L1223" s="2">
        <f t="shared" si="39"/>
        <v>0</v>
      </c>
    </row>
    <row r="1224" spans="5:12" x14ac:dyDescent="0.35">
      <c r="E1224" s="2"/>
      <c r="F1224" s="2">
        <f>_xlfn.XLOOKUP(D1224,TIPOS_CAMBIO!A:A,TIPOS_CAMBIO!B:B,"",0)</f>
        <v>0</v>
      </c>
      <c r="G1224" s="3">
        <f t="shared" si="38"/>
        <v>0</v>
      </c>
      <c r="H1224" s="3"/>
      <c r="I1224" s="3">
        <f ca="1">IFERROR(_xludf.XLOOKUP("Seguro",PARAMETROS_IMPORTACION!$A:$A,PARAMETROS_IMPORTACION!$C:$C,0),0)</f>
        <v>0</v>
      </c>
      <c r="J1224" s="3">
        <f ca="1">IFERROR(_xludf.XLOOKUP("Arancel",PARAMETROS_IMPORTACION!$A:$A,PARAMETROS_IMPORTACION!$C:$C,0),0)</f>
        <v>0</v>
      </c>
      <c r="K1224" s="2">
        <f ca="1">IFERROR(_xludf.XLOOKUP("Gastos_Aduana",PARAMETROS_IMPORTACION!$A:$A,PARAMETROS_IMPORTACION!$C:$C,0),0)</f>
        <v>0</v>
      </c>
      <c r="L1224" s="2">
        <f t="shared" si="39"/>
        <v>0</v>
      </c>
    </row>
    <row r="1225" spans="5:12" x14ac:dyDescent="0.35">
      <c r="E1225" s="2"/>
      <c r="F1225" s="2">
        <f>_xlfn.XLOOKUP(D1225,TIPOS_CAMBIO!A:A,TIPOS_CAMBIO!B:B,"",0)</f>
        <v>0</v>
      </c>
      <c r="G1225" s="3">
        <f t="shared" si="38"/>
        <v>0</v>
      </c>
      <c r="H1225" s="3"/>
      <c r="I1225" s="3">
        <f ca="1">IFERROR(_xludf.XLOOKUP("Seguro",PARAMETROS_IMPORTACION!$A:$A,PARAMETROS_IMPORTACION!$C:$C,0),0)</f>
        <v>0</v>
      </c>
      <c r="J1225" s="3">
        <f ca="1">IFERROR(_xludf.XLOOKUP("Arancel",PARAMETROS_IMPORTACION!$A:$A,PARAMETROS_IMPORTACION!$C:$C,0),0)</f>
        <v>0</v>
      </c>
      <c r="K1225" s="2">
        <f ca="1">IFERROR(_xludf.XLOOKUP("Gastos_Aduana",PARAMETROS_IMPORTACION!$A:$A,PARAMETROS_IMPORTACION!$C:$C,0),0)</f>
        <v>0</v>
      </c>
      <c r="L1225" s="2">
        <f t="shared" si="39"/>
        <v>0</v>
      </c>
    </row>
    <row r="1226" spans="5:12" x14ac:dyDescent="0.35">
      <c r="E1226" s="2"/>
      <c r="F1226" s="2">
        <f>_xlfn.XLOOKUP(D1226,TIPOS_CAMBIO!A:A,TIPOS_CAMBIO!B:B,"",0)</f>
        <v>0</v>
      </c>
      <c r="G1226" s="3">
        <f t="shared" si="38"/>
        <v>0</v>
      </c>
      <c r="H1226" s="3"/>
      <c r="I1226" s="3">
        <f ca="1">IFERROR(_xludf.XLOOKUP("Seguro",PARAMETROS_IMPORTACION!$A:$A,PARAMETROS_IMPORTACION!$C:$C,0),0)</f>
        <v>0</v>
      </c>
      <c r="J1226" s="3">
        <f ca="1">IFERROR(_xludf.XLOOKUP("Arancel",PARAMETROS_IMPORTACION!$A:$A,PARAMETROS_IMPORTACION!$C:$C,0),0)</f>
        <v>0</v>
      </c>
      <c r="K1226" s="2">
        <f ca="1">IFERROR(_xludf.XLOOKUP("Gastos_Aduana",PARAMETROS_IMPORTACION!$A:$A,PARAMETROS_IMPORTACION!$C:$C,0),0)</f>
        <v>0</v>
      </c>
      <c r="L1226" s="2">
        <f t="shared" si="39"/>
        <v>0</v>
      </c>
    </row>
    <row r="1227" spans="5:12" x14ac:dyDescent="0.35">
      <c r="E1227" s="2"/>
      <c r="F1227" s="2">
        <f>_xlfn.XLOOKUP(D1227,TIPOS_CAMBIO!A:A,TIPOS_CAMBIO!B:B,"",0)</f>
        <v>0</v>
      </c>
      <c r="G1227" s="3">
        <f t="shared" si="38"/>
        <v>0</v>
      </c>
      <c r="H1227" s="3"/>
      <c r="I1227" s="3">
        <f ca="1">IFERROR(_xludf.XLOOKUP("Seguro",PARAMETROS_IMPORTACION!$A:$A,PARAMETROS_IMPORTACION!$C:$C,0),0)</f>
        <v>0</v>
      </c>
      <c r="J1227" s="3">
        <f ca="1">IFERROR(_xludf.XLOOKUP("Arancel",PARAMETROS_IMPORTACION!$A:$A,PARAMETROS_IMPORTACION!$C:$C,0),0)</f>
        <v>0</v>
      </c>
      <c r="K1227" s="2">
        <f ca="1">IFERROR(_xludf.XLOOKUP("Gastos_Aduana",PARAMETROS_IMPORTACION!$A:$A,PARAMETROS_IMPORTACION!$C:$C,0),0)</f>
        <v>0</v>
      </c>
      <c r="L1227" s="2">
        <f t="shared" si="39"/>
        <v>0</v>
      </c>
    </row>
    <row r="1228" spans="5:12" x14ac:dyDescent="0.35">
      <c r="E1228" s="2"/>
      <c r="F1228" s="2">
        <f>_xlfn.XLOOKUP(D1228,TIPOS_CAMBIO!A:A,TIPOS_CAMBIO!B:B,"",0)</f>
        <v>0</v>
      </c>
      <c r="G1228" s="3">
        <f t="shared" si="38"/>
        <v>0</v>
      </c>
      <c r="H1228" s="3"/>
      <c r="I1228" s="3">
        <f ca="1">IFERROR(_xludf.XLOOKUP("Seguro",PARAMETROS_IMPORTACION!$A:$A,PARAMETROS_IMPORTACION!$C:$C,0),0)</f>
        <v>0</v>
      </c>
      <c r="J1228" s="3">
        <f ca="1">IFERROR(_xludf.XLOOKUP("Arancel",PARAMETROS_IMPORTACION!$A:$A,PARAMETROS_IMPORTACION!$C:$C,0),0)</f>
        <v>0</v>
      </c>
      <c r="K1228" s="2">
        <f ca="1">IFERROR(_xludf.XLOOKUP("Gastos_Aduana",PARAMETROS_IMPORTACION!$A:$A,PARAMETROS_IMPORTACION!$C:$C,0),0)</f>
        <v>0</v>
      </c>
      <c r="L1228" s="2">
        <f t="shared" si="39"/>
        <v>0</v>
      </c>
    </row>
    <row r="1229" spans="5:12" x14ac:dyDescent="0.35">
      <c r="E1229" s="2"/>
      <c r="F1229" s="2">
        <f>_xlfn.XLOOKUP(D1229,TIPOS_CAMBIO!A:A,TIPOS_CAMBIO!B:B,"",0)</f>
        <v>0</v>
      </c>
      <c r="G1229" s="3">
        <f t="shared" si="38"/>
        <v>0</v>
      </c>
      <c r="H1229" s="3"/>
      <c r="I1229" s="3">
        <f ca="1">IFERROR(_xludf.XLOOKUP("Seguro",PARAMETROS_IMPORTACION!$A:$A,PARAMETROS_IMPORTACION!$C:$C,0),0)</f>
        <v>0</v>
      </c>
      <c r="J1229" s="3">
        <f ca="1">IFERROR(_xludf.XLOOKUP("Arancel",PARAMETROS_IMPORTACION!$A:$A,PARAMETROS_IMPORTACION!$C:$C,0),0)</f>
        <v>0</v>
      </c>
      <c r="K1229" s="2">
        <f ca="1">IFERROR(_xludf.XLOOKUP("Gastos_Aduana",PARAMETROS_IMPORTACION!$A:$A,PARAMETROS_IMPORTACION!$C:$C,0),0)</f>
        <v>0</v>
      </c>
      <c r="L1229" s="2">
        <f t="shared" si="39"/>
        <v>0</v>
      </c>
    </row>
    <row r="1230" spans="5:12" x14ac:dyDescent="0.35">
      <c r="E1230" s="2"/>
      <c r="F1230" s="2">
        <f>_xlfn.XLOOKUP(D1230,TIPOS_CAMBIO!A:A,TIPOS_CAMBIO!B:B,"",0)</f>
        <v>0</v>
      </c>
      <c r="G1230" s="3">
        <f t="shared" si="38"/>
        <v>0</v>
      </c>
      <c r="H1230" s="3"/>
      <c r="I1230" s="3">
        <f ca="1">IFERROR(_xludf.XLOOKUP("Seguro",PARAMETROS_IMPORTACION!$A:$A,PARAMETROS_IMPORTACION!$C:$C,0),0)</f>
        <v>0</v>
      </c>
      <c r="J1230" s="3">
        <f ca="1">IFERROR(_xludf.XLOOKUP("Arancel",PARAMETROS_IMPORTACION!$A:$A,PARAMETROS_IMPORTACION!$C:$C,0),0)</f>
        <v>0</v>
      </c>
      <c r="K1230" s="2">
        <f ca="1">IFERROR(_xludf.XLOOKUP("Gastos_Aduana",PARAMETROS_IMPORTACION!$A:$A,PARAMETROS_IMPORTACION!$C:$C,0),0)</f>
        <v>0</v>
      </c>
      <c r="L1230" s="2">
        <f t="shared" si="39"/>
        <v>0</v>
      </c>
    </row>
    <row r="1231" spans="5:12" x14ac:dyDescent="0.35">
      <c r="E1231" s="2"/>
      <c r="F1231" s="2">
        <f>_xlfn.XLOOKUP(D1231,TIPOS_CAMBIO!A:A,TIPOS_CAMBIO!B:B,"",0)</f>
        <v>0</v>
      </c>
      <c r="G1231" s="3">
        <f t="shared" si="38"/>
        <v>0</v>
      </c>
      <c r="H1231" s="3"/>
      <c r="I1231" s="3">
        <f ca="1">IFERROR(_xludf.XLOOKUP("Seguro",PARAMETROS_IMPORTACION!$A:$A,PARAMETROS_IMPORTACION!$C:$C,0),0)</f>
        <v>0</v>
      </c>
      <c r="J1231" s="3">
        <f ca="1">IFERROR(_xludf.XLOOKUP("Arancel",PARAMETROS_IMPORTACION!$A:$A,PARAMETROS_IMPORTACION!$C:$C,0),0)</f>
        <v>0</v>
      </c>
      <c r="K1231" s="2">
        <f ca="1">IFERROR(_xludf.XLOOKUP("Gastos_Aduana",PARAMETROS_IMPORTACION!$A:$A,PARAMETROS_IMPORTACION!$C:$C,0),0)</f>
        <v>0</v>
      </c>
      <c r="L1231" s="2">
        <f t="shared" si="39"/>
        <v>0</v>
      </c>
    </row>
    <row r="1232" spans="5:12" x14ac:dyDescent="0.35">
      <c r="E1232" s="2"/>
      <c r="F1232" s="2">
        <f>_xlfn.XLOOKUP(D1232,TIPOS_CAMBIO!A:A,TIPOS_CAMBIO!B:B,"",0)</f>
        <v>0</v>
      </c>
      <c r="G1232" s="3">
        <f t="shared" si="38"/>
        <v>0</v>
      </c>
      <c r="H1232" s="3"/>
      <c r="I1232" s="3">
        <f ca="1">IFERROR(_xludf.XLOOKUP("Seguro",PARAMETROS_IMPORTACION!$A:$A,PARAMETROS_IMPORTACION!$C:$C,0),0)</f>
        <v>0</v>
      </c>
      <c r="J1232" s="3">
        <f ca="1">IFERROR(_xludf.XLOOKUP("Arancel",PARAMETROS_IMPORTACION!$A:$A,PARAMETROS_IMPORTACION!$C:$C,0),0)</f>
        <v>0</v>
      </c>
      <c r="K1232" s="2">
        <f ca="1">IFERROR(_xludf.XLOOKUP("Gastos_Aduana",PARAMETROS_IMPORTACION!$A:$A,PARAMETROS_IMPORTACION!$C:$C,0),0)</f>
        <v>0</v>
      </c>
      <c r="L1232" s="2">
        <f t="shared" si="39"/>
        <v>0</v>
      </c>
    </row>
    <row r="1233" spans="5:12" x14ac:dyDescent="0.35">
      <c r="E1233" s="2"/>
      <c r="F1233" s="2">
        <f>_xlfn.XLOOKUP(D1233,TIPOS_CAMBIO!A:A,TIPOS_CAMBIO!B:B,"",0)</f>
        <v>0</v>
      </c>
      <c r="G1233" s="3">
        <f t="shared" si="38"/>
        <v>0</v>
      </c>
      <c r="H1233" s="3"/>
      <c r="I1233" s="3">
        <f ca="1">IFERROR(_xludf.XLOOKUP("Seguro",PARAMETROS_IMPORTACION!$A:$A,PARAMETROS_IMPORTACION!$C:$C,0),0)</f>
        <v>0</v>
      </c>
      <c r="J1233" s="3">
        <f ca="1">IFERROR(_xludf.XLOOKUP("Arancel",PARAMETROS_IMPORTACION!$A:$A,PARAMETROS_IMPORTACION!$C:$C,0),0)</f>
        <v>0</v>
      </c>
      <c r="K1233" s="2">
        <f ca="1">IFERROR(_xludf.XLOOKUP("Gastos_Aduana",PARAMETROS_IMPORTACION!$A:$A,PARAMETROS_IMPORTACION!$C:$C,0),0)</f>
        <v>0</v>
      </c>
      <c r="L1233" s="2">
        <f t="shared" si="39"/>
        <v>0</v>
      </c>
    </row>
    <row r="1234" spans="5:12" x14ac:dyDescent="0.35">
      <c r="E1234" s="2"/>
      <c r="F1234" s="2">
        <f>_xlfn.XLOOKUP(D1234,TIPOS_CAMBIO!A:A,TIPOS_CAMBIO!B:B,"",0)</f>
        <v>0</v>
      </c>
      <c r="G1234" s="3">
        <f t="shared" si="38"/>
        <v>0</v>
      </c>
      <c r="H1234" s="3"/>
      <c r="I1234" s="3">
        <f ca="1">IFERROR(_xludf.XLOOKUP("Seguro",PARAMETROS_IMPORTACION!$A:$A,PARAMETROS_IMPORTACION!$C:$C,0),0)</f>
        <v>0</v>
      </c>
      <c r="J1234" s="3">
        <f ca="1">IFERROR(_xludf.XLOOKUP("Arancel",PARAMETROS_IMPORTACION!$A:$A,PARAMETROS_IMPORTACION!$C:$C,0),0)</f>
        <v>0</v>
      </c>
      <c r="K1234" s="2">
        <f ca="1">IFERROR(_xludf.XLOOKUP("Gastos_Aduana",PARAMETROS_IMPORTACION!$A:$A,PARAMETROS_IMPORTACION!$C:$C,0),0)</f>
        <v>0</v>
      </c>
      <c r="L1234" s="2">
        <f t="shared" si="39"/>
        <v>0</v>
      </c>
    </row>
    <row r="1235" spans="5:12" x14ac:dyDescent="0.35">
      <c r="E1235" s="2"/>
      <c r="F1235" s="2">
        <f>_xlfn.XLOOKUP(D1235,TIPOS_CAMBIO!A:A,TIPOS_CAMBIO!B:B,"",0)</f>
        <v>0</v>
      </c>
      <c r="G1235" s="3">
        <f t="shared" si="38"/>
        <v>0</v>
      </c>
      <c r="H1235" s="3"/>
      <c r="I1235" s="3">
        <f ca="1">IFERROR(_xludf.XLOOKUP("Seguro",PARAMETROS_IMPORTACION!$A:$A,PARAMETROS_IMPORTACION!$C:$C,0),0)</f>
        <v>0</v>
      </c>
      <c r="J1235" s="3">
        <f ca="1">IFERROR(_xludf.XLOOKUP("Arancel",PARAMETROS_IMPORTACION!$A:$A,PARAMETROS_IMPORTACION!$C:$C,0),0)</f>
        <v>0</v>
      </c>
      <c r="K1235" s="2">
        <f ca="1">IFERROR(_xludf.XLOOKUP("Gastos_Aduana",PARAMETROS_IMPORTACION!$A:$A,PARAMETROS_IMPORTACION!$C:$C,0),0)</f>
        <v>0</v>
      </c>
      <c r="L1235" s="2">
        <f t="shared" si="39"/>
        <v>0</v>
      </c>
    </row>
    <row r="1236" spans="5:12" x14ac:dyDescent="0.35">
      <c r="E1236" s="2"/>
      <c r="F1236" s="2">
        <f>_xlfn.XLOOKUP(D1236,TIPOS_CAMBIO!A:A,TIPOS_CAMBIO!B:B,"",0)</f>
        <v>0</v>
      </c>
      <c r="G1236" s="3">
        <f t="shared" si="38"/>
        <v>0</v>
      </c>
      <c r="H1236" s="3"/>
      <c r="I1236" s="3">
        <f ca="1">IFERROR(_xludf.XLOOKUP("Seguro",PARAMETROS_IMPORTACION!$A:$A,PARAMETROS_IMPORTACION!$C:$C,0),0)</f>
        <v>0</v>
      </c>
      <c r="J1236" s="3">
        <f ca="1">IFERROR(_xludf.XLOOKUP("Arancel",PARAMETROS_IMPORTACION!$A:$A,PARAMETROS_IMPORTACION!$C:$C,0),0)</f>
        <v>0</v>
      </c>
      <c r="K1236" s="2">
        <f ca="1">IFERROR(_xludf.XLOOKUP("Gastos_Aduana",PARAMETROS_IMPORTACION!$A:$A,PARAMETROS_IMPORTACION!$C:$C,0),0)</f>
        <v>0</v>
      </c>
      <c r="L1236" s="2">
        <f t="shared" si="39"/>
        <v>0</v>
      </c>
    </row>
    <row r="1237" spans="5:12" x14ac:dyDescent="0.35">
      <c r="E1237" s="2"/>
      <c r="F1237" s="2">
        <f>_xlfn.XLOOKUP(D1237,TIPOS_CAMBIO!A:A,TIPOS_CAMBIO!B:B,"",0)</f>
        <v>0</v>
      </c>
      <c r="G1237" s="3">
        <f t="shared" si="38"/>
        <v>0</v>
      </c>
      <c r="H1237" s="3"/>
      <c r="I1237" s="3">
        <f ca="1">IFERROR(_xludf.XLOOKUP("Seguro",PARAMETROS_IMPORTACION!$A:$A,PARAMETROS_IMPORTACION!$C:$C,0),0)</f>
        <v>0</v>
      </c>
      <c r="J1237" s="3">
        <f ca="1">IFERROR(_xludf.XLOOKUP("Arancel",PARAMETROS_IMPORTACION!$A:$A,PARAMETROS_IMPORTACION!$C:$C,0),0)</f>
        <v>0</v>
      </c>
      <c r="K1237" s="2">
        <f ca="1">IFERROR(_xludf.XLOOKUP("Gastos_Aduana",PARAMETROS_IMPORTACION!$A:$A,PARAMETROS_IMPORTACION!$C:$C,0),0)</f>
        <v>0</v>
      </c>
      <c r="L1237" s="2">
        <f t="shared" si="39"/>
        <v>0</v>
      </c>
    </row>
    <row r="1238" spans="5:12" x14ac:dyDescent="0.35">
      <c r="E1238" s="2"/>
      <c r="F1238" s="2">
        <f>_xlfn.XLOOKUP(D1238,TIPOS_CAMBIO!A:A,TIPOS_CAMBIO!B:B,"",0)</f>
        <v>0</v>
      </c>
      <c r="G1238" s="3">
        <f t="shared" si="38"/>
        <v>0</v>
      </c>
      <c r="H1238" s="3"/>
      <c r="I1238" s="3">
        <f ca="1">IFERROR(_xludf.XLOOKUP("Seguro",PARAMETROS_IMPORTACION!$A:$A,PARAMETROS_IMPORTACION!$C:$C,0),0)</f>
        <v>0</v>
      </c>
      <c r="J1238" s="3">
        <f ca="1">IFERROR(_xludf.XLOOKUP("Arancel",PARAMETROS_IMPORTACION!$A:$A,PARAMETROS_IMPORTACION!$C:$C,0),0)</f>
        <v>0</v>
      </c>
      <c r="K1238" s="2">
        <f ca="1">IFERROR(_xludf.XLOOKUP("Gastos_Aduana",PARAMETROS_IMPORTACION!$A:$A,PARAMETROS_IMPORTACION!$C:$C,0),0)</f>
        <v>0</v>
      </c>
      <c r="L1238" s="2">
        <f t="shared" si="39"/>
        <v>0</v>
      </c>
    </row>
    <row r="1239" spans="5:12" x14ac:dyDescent="0.35">
      <c r="E1239" s="2"/>
      <c r="F1239" s="2">
        <f>_xlfn.XLOOKUP(D1239,TIPOS_CAMBIO!A:A,TIPOS_CAMBIO!B:B,"",0)</f>
        <v>0</v>
      </c>
      <c r="G1239" s="3">
        <f t="shared" si="38"/>
        <v>0</v>
      </c>
      <c r="H1239" s="3"/>
      <c r="I1239" s="3">
        <f ca="1">IFERROR(_xludf.XLOOKUP("Seguro",PARAMETROS_IMPORTACION!$A:$A,PARAMETROS_IMPORTACION!$C:$C,0),0)</f>
        <v>0</v>
      </c>
      <c r="J1239" s="3">
        <f ca="1">IFERROR(_xludf.XLOOKUP("Arancel",PARAMETROS_IMPORTACION!$A:$A,PARAMETROS_IMPORTACION!$C:$C,0),0)</f>
        <v>0</v>
      </c>
      <c r="K1239" s="2">
        <f ca="1">IFERROR(_xludf.XLOOKUP("Gastos_Aduana",PARAMETROS_IMPORTACION!$A:$A,PARAMETROS_IMPORTACION!$C:$C,0),0)</f>
        <v>0</v>
      </c>
      <c r="L1239" s="2">
        <f t="shared" si="39"/>
        <v>0</v>
      </c>
    </row>
    <row r="1240" spans="5:12" x14ac:dyDescent="0.35">
      <c r="E1240" s="2"/>
      <c r="F1240" s="2">
        <f>_xlfn.XLOOKUP(D1240,TIPOS_CAMBIO!A:A,TIPOS_CAMBIO!B:B,"",0)</f>
        <v>0</v>
      </c>
      <c r="G1240" s="3">
        <f t="shared" si="38"/>
        <v>0</v>
      </c>
      <c r="H1240" s="3"/>
      <c r="I1240" s="3">
        <f ca="1">IFERROR(_xludf.XLOOKUP("Seguro",PARAMETROS_IMPORTACION!$A:$A,PARAMETROS_IMPORTACION!$C:$C,0),0)</f>
        <v>0</v>
      </c>
      <c r="J1240" s="3">
        <f ca="1">IFERROR(_xludf.XLOOKUP("Arancel",PARAMETROS_IMPORTACION!$A:$A,PARAMETROS_IMPORTACION!$C:$C,0),0)</f>
        <v>0</v>
      </c>
      <c r="K1240" s="2">
        <f ca="1">IFERROR(_xludf.XLOOKUP("Gastos_Aduana",PARAMETROS_IMPORTACION!$A:$A,PARAMETROS_IMPORTACION!$C:$C,0),0)</f>
        <v>0</v>
      </c>
      <c r="L1240" s="2">
        <f t="shared" si="39"/>
        <v>0</v>
      </c>
    </row>
    <row r="1241" spans="5:12" x14ac:dyDescent="0.35">
      <c r="E1241" s="2"/>
      <c r="F1241" s="2">
        <f>_xlfn.XLOOKUP(D1241,TIPOS_CAMBIO!A:A,TIPOS_CAMBIO!B:B,"",0)</f>
        <v>0</v>
      </c>
      <c r="G1241" s="3">
        <f t="shared" si="38"/>
        <v>0</v>
      </c>
      <c r="H1241" s="3"/>
      <c r="I1241" s="3">
        <f ca="1">IFERROR(_xludf.XLOOKUP("Seguro",PARAMETROS_IMPORTACION!$A:$A,PARAMETROS_IMPORTACION!$C:$C,0),0)</f>
        <v>0</v>
      </c>
      <c r="J1241" s="3">
        <f ca="1">IFERROR(_xludf.XLOOKUP("Arancel",PARAMETROS_IMPORTACION!$A:$A,PARAMETROS_IMPORTACION!$C:$C,0),0)</f>
        <v>0</v>
      </c>
      <c r="K1241" s="2">
        <f ca="1">IFERROR(_xludf.XLOOKUP("Gastos_Aduana",PARAMETROS_IMPORTACION!$A:$A,PARAMETROS_IMPORTACION!$C:$C,0),0)</f>
        <v>0</v>
      </c>
      <c r="L1241" s="2">
        <f t="shared" si="39"/>
        <v>0</v>
      </c>
    </row>
    <row r="1242" spans="5:12" x14ac:dyDescent="0.35">
      <c r="E1242" s="2"/>
      <c r="F1242" s="2">
        <f>_xlfn.XLOOKUP(D1242,TIPOS_CAMBIO!A:A,TIPOS_CAMBIO!B:B,"",0)</f>
        <v>0</v>
      </c>
      <c r="G1242" s="3">
        <f t="shared" si="38"/>
        <v>0</v>
      </c>
      <c r="H1242" s="3"/>
      <c r="I1242" s="3">
        <f ca="1">IFERROR(_xludf.XLOOKUP("Seguro",PARAMETROS_IMPORTACION!$A:$A,PARAMETROS_IMPORTACION!$C:$C,0),0)</f>
        <v>0</v>
      </c>
      <c r="J1242" s="3">
        <f ca="1">IFERROR(_xludf.XLOOKUP("Arancel",PARAMETROS_IMPORTACION!$A:$A,PARAMETROS_IMPORTACION!$C:$C,0),0)</f>
        <v>0</v>
      </c>
      <c r="K1242" s="2">
        <f ca="1">IFERROR(_xludf.XLOOKUP("Gastos_Aduana",PARAMETROS_IMPORTACION!$A:$A,PARAMETROS_IMPORTACION!$C:$C,0),0)</f>
        <v>0</v>
      </c>
      <c r="L1242" s="2">
        <f t="shared" si="39"/>
        <v>0</v>
      </c>
    </row>
    <row r="1243" spans="5:12" x14ac:dyDescent="0.35">
      <c r="E1243" s="2"/>
      <c r="F1243" s="2">
        <f>_xlfn.XLOOKUP(D1243,TIPOS_CAMBIO!A:A,TIPOS_CAMBIO!B:B,"",0)</f>
        <v>0</v>
      </c>
      <c r="G1243" s="3">
        <f t="shared" si="38"/>
        <v>0</v>
      </c>
      <c r="H1243" s="3"/>
      <c r="I1243" s="3">
        <f ca="1">IFERROR(_xludf.XLOOKUP("Seguro",PARAMETROS_IMPORTACION!$A:$A,PARAMETROS_IMPORTACION!$C:$C,0),0)</f>
        <v>0</v>
      </c>
      <c r="J1243" s="3">
        <f ca="1">IFERROR(_xludf.XLOOKUP("Arancel",PARAMETROS_IMPORTACION!$A:$A,PARAMETROS_IMPORTACION!$C:$C,0),0)</f>
        <v>0</v>
      </c>
      <c r="K1243" s="2">
        <f ca="1">IFERROR(_xludf.XLOOKUP("Gastos_Aduana",PARAMETROS_IMPORTACION!$A:$A,PARAMETROS_IMPORTACION!$C:$C,0),0)</f>
        <v>0</v>
      </c>
      <c r="L1243" s="2">
        <f t="shared" si="39"/>
        <v>0</v>
      </c>
    </row>
    <row r="1244" spans="5:12" x14ac:dyDescent="0.35">
      <c r="E1244" s="2"/>
      <c r="F1244" s="2">
        <f>_xlfn.XLOOKUP(D1244,TIPOS_CAMBIO!A:A,TIPOS_CAMBIO!B:B,"",0)</f>
        <v>0</v>
      </c>
      <c r="G1244" s="3">
        <f t="shared" si="38"/>
        <v>0</v>
      </c>
      <c r="H1244" s="3"/>
      <c r="I1244" s="3">
        <f ca="1">IFERROR(_xludf.XLOOKUP("Seguro",PARAMETROS_IMPORTACION!$A:$A,PARAMETROS_IMPORTACION!$C:$C,0),0)</f>
        <v>0</v>
      </c>
      <c r="J1244" s="3">
        <f ca="1">IFERROR(_xludf.XLOOKUP("Arancel",PARAMETROS_IMPORTACION!$A:$A,PARAMETROS_IMPORTACION!$C:$C,0),0)</f>
        <v>0</v>
      </c>
      <c r="K1244" s="2">
        <f ca="1">IFERROR(_xludf.XLOOKUP("Gastos_Aduana",PARAMETROS_IMPORTACION!$A:$A,PARAMETROS_IMPORTACION!$C:$C,0),0)</f>
        <v>0</v>
      </c>
      <c r="L1244" s="2">
        <f t="shared" si="39"/>
        <v>0</v>
      </c>
    </row>
    <row r="1245" spans="5:12" x14ac:dyDescent="0.35">
      <c r="E1245" s="2"/>
      <c r="F1245" s="2">
        <f>_xlfn.XLOOKUP(D1245,TIPOS_CAMBIO!A:A,TIPOS_CAMBIO!B:B,"",0)</f>
        <v>0</v>
      </c>
      <c r="G1245" s="3">
        <f t="shared" si="38"/>
        <v>0</v>
      </c>
      <c r="H1245" s="3"/>
      <c r="I1245" s="3">
        <f ca="1">IFERROR(_xludf.XLOOKUP("Seguro",PARAMETROS_IMPORTACION!$A:$A,PARAMETROS_IMPORTACION!$C:$C,0),0)</f>
        <v>0</v>
      </c>
      <c r="J1245" s="3">
        <f ca="1">IFERROR(_xludf.XLOOKUP("Arancel",PARAMETROS_IMPORTACION!$A:$A,PARAMETROS_IMPORTACION!$C:$C,0),0)</f>
        <v>0</v>
      </c>
      <c r="K1245" s="2">
        <f ca="1">IFERROR(_xludf.XLOOKUP("Gastos_Aduana",PARAMETROS_IMPORTACION!$A:$A,PARAMETROS_IMPORTACION!$C:$C,0),0)</f>
        <v>0</v>
      </c>
      <c r="L1245" s="2">
        <f t="shared" si="39"/>
        <v>0</v>
      </c>
    </row>
    <row r="1246" spans="5:12" x14ac:dyDescent="0.35">
      <c r="E1246" s="2"/>
      <c r="F1246" s="2">
        <f>_xlfn.XLOOKUP(D1246,TIPOS_CAMBIO!A:A,TIPOS_CAMBIO!B:B,"",0)</f>
        <v>0</v>
      </c>
      <c r="G1246" s="3">
        <f t="shared" si="38"/>
        <v>0</v>
      </c>
      <c r="H1246" s="3"/>
      <c r="I1246" s="3">
        <f ca="1">IFERROR(_xludf.XLOOKUP("Seguro",PARAMETROS_IMPORTACION!$A:$A,PARAMETROS_IMPORTACION!$C:$C,0),0)</f>
        <v>0</v>
      </c>
      <c r="J1246" s="3">
        <f ca="1">IFERROR(_xludf.XLOOKUP("Arancel",PARAMETROS_IMPORTACION!$A:$A,PARAMETROS_IMPORTACION!$C:$C,0),0)</f>
        <v>0</v>
      </c>
      <c r="K1246" s="2">
        <f ca="1">IFERROR(_xludf.XLOOKUP("Gastos_Aduana",PARAMETROS_IMPORTACION!$A:$A,PARAMETROS_IMPORTACION!$C:$C,0),0)</f>
        <v>0</v>
      </c>
      <c r="L1246" s="2">
        <f t="shared" si="39"/>
        <v>0</v>
      </c>
    </row>
    <row r="1247" spans="5:12" x14ac:dyDescent="0.35">
      <c r="E1247" s="2"/>
      <c r="F1247" s="2">
        <f>_xlfn.XLOOKUP(D1247,TIPOS_CAMBIO!A:A,TIPOS_CAMBIO!B:B,"",0)</f>
        <v>0</v>
      </c>
      <c r="G1247" s="3">
        <f t="shared" si="38"/>
        <v>0</v>
      </c>
      <c r="H1247" s="3"/>
      <c r="I1247" s="3">
        <f ca="1">IFERROR(_xludf.XLOOKUP("Seguro",PARAMETROS_IMPORTACION!$A:$A,PARAMETROS_IMPORTACION!$C:$C,0),0)</f>
        <v>0</v>
      </c>
      <c r="J1247" s="3">
        <f ca="1">IFERROR(_xludf.XLOOKUP("Arancel",PARAMETROS_IMPORTACION!$A:$A,PARAMETROS_IMPORTACION!$C:$C,0),0)</f>
        <v>0</v>
      </c>
      <c r="K1247" s="2">
        <f ca="1">IFERROR(_xludf.XLOOKUP("Gastos_Aduana",PARAMETROS_IMPORTACION!$A:$A,PARAMETROS_IMPORTACION!$C:$C,0),0)</f>
        <v>0</v>
      </c>
      <c r="L1247" s="2">
        <f t="shared" si="39"/>
        <v>0</v>
      </c>
    </row>
    <row r="1248" spans="5:12" x14ac:dyDescent="0.35">
      <c r="E1248" s="2"/>
      <c r="F1248" s="2">
        <f>_xlfn.XLOOKUP(D1248,TIPOS_CAMBIO!A:A,TIPOS_CAMBIO!B:B,"",0)</f>
        <v>0</v>
      </c>
      <c r="G1248" s="3">
        <f t="shared" si="38"/>
        <v>0</v>
      </c>
      <c r="H1248" s="3"/>
      <c r="I1248" s="3">
        <f ca="1">IFERROR(_xludf.XLOOKUP("Seguro",PARAMETROS_IMPORTACION!$A:$A,PARAMETROS_IMPORTACION!$C:$C,0),0)</f>
        <v>0</v>
      </c>
      <c r="J1248" s="3">
        <f ca="1">IFERROR(_xludf.XLOOKUP("Arancel",PARAMETROS_IMPORTACION!$A:$A,PARAMETROS_IMPORTACION!$C:$C,0),0)</f>
        <v>0</v>
      </c>
      <c r="K1248" s="2">
        <f ca="1">IFERROR(_xludf.XLOOKUP("Gastos_Aduana",PARAMETROS_IMPORTACION!$A:$A,PARAMETROS_IMPORTACION!$C:$C,0),0)</f>
        <v>0</v>
      </c>
      <c r="L1248" s="2">
        <f t="shared" si="39"/>
        <v>0</v>
      </c>
    </row>
    <row r="1249" spans="5:12" x14ac:dyDescent="0.35">
      <c r="E1249" s="2"/>
      <c r="F1249" s="2">
        <f>_xlfn.XLOOKUP(D1249,TIPOS_CAMBIO!A:A,TIPOS_CAMBIO!B:B,"",0)</f>
        <v>0</v>
      </c>
      <c r="G1249" s="3">
        <f t="shared" si="38"/>
        <v>0</v>
      </c>
      <c r="H1249" s="3"/>
      <c r="I1249" s="3">
        <f ca="1">IFERROR(_xludf.XLOOKUP("Seguro",PARAMETROS_IMPORTACION!$A:$A,PARAMETROS_IMPORTACION!$C:$C,0),0)</f>
        <v>0</v>
      </c>
      <c r="J1249" s="3">
        <f ca="1">IFERROR(_xludf.XLOOKUP("Arancel",PARAMETROS_IMPORTACION!$A:$A,PARAMETROS_IMPORTACION!$C:$C,0),0)</f>
        <v>0</v>
      </c>
      <c r="K1249" s="2">
        <f ca="1">IFERROR(_xludf.XLOOKUP("Gastos_Aduana",PARAMETROS_IMPORTACION!$A:$A,PARAMETROS_IMPORTACION!$C:$C,0),0)</f>
        <v>0</v>
      </c>
      <c r="L1249" s="2">
        <f t="shared" si="39"/>
        <v>0</v>
      </c>
    </row>
    <row r="1250" spans="5:12" x14ac:dyDescent="0.35">
      <c r="E1250" s="2"/>
      <c r="F1250" s="2">
        <f>_xlfn.XLOOKUP(D1250,TIPOS_CAMBIO!A:A,TIPOS_CAMBIO!B:B,"",0)</f>
        <v>0</v>
      </c>
      <c r="G1250" s="3">
        <f t="shared" si="38"/>
        <v>0</v>
      </c>
      <c r="H1250" s="3"/>
      <c r="I1250" s="3">
        <f ca="1">IFERROR(_xludf.XLOOKUP("Seguro",PARAMETROS_IMPORTACION!$A:$A,PARAMETROS_IMPORTACION!$C:$C,0),0)</f>
        <v>0</v>
      </c>
      <c r="J1250" s="3">
        <f ca="1">IFERROR(_xludf.XLOOKUP("Arancel",PARAMETROS_IMPORTACION!$A:$A,PARAMETROS_IMPORTACION!$C:$C,0),0)</f>
        <v>0</v>
      </c>
      <c r="K1250" s="2">
        <f ca="1">IFERROR(_xludf.XLOOKUP("Gastos_Aduana",PARAMETROS_IMPORTACION!$A:$A,PARAMETROS_IMPORTACION!$C:$C,0),0)</f>
        <v>0</v>
      </c>
      <c r="L1250" s="2">
        <f t="shared" si="39"/>
        <v>0</v>
      </c>
    </row>
    <row r="1251" spans="5:12" x14ac:dyDescent="0.35">
      <c r="E1251" s="2"/>
      <c r="F1251" s="2">
        <f>_xlfn.XLOOKUP(D1251,TIPOS_CAMBIO!A:A,TIPOS_CAMBIO!B:B,"",0)</f>
        <v>0</v>
      </c>
      <c r="G1251" s="3">
        <f t="shared" si="38"/>
        <v>0</v>
      </c>
      <c r="H1251" s="3"/>
      <c r="I1251" s="3">
        <f ca="1">IFERROR(_xludf.XLOOKUP("Seguro",PARAMETROS_IMPORTACION!$A:$A,PARAMETROS_IMPORTACION!$C:$C,0),0)</f>
        <v>0</v>
      </c>
      <c r="J1251" s="3">
        <f ca="1">IFERROR(_xludf.XLOOKUP("Arancel",PARAMETROS_IMPORTACION!$A:$A,PARAMETROS_IMPORTACION!$C:$C,0),0)</f>
        <v>0</v>
      </c>
      <c r="K1251" s="2">
        <f ca="1">IFERROR(_xludf.XLOOKUP("Gastos_Aduana",PARAMETROS_IMPORTACION!$A:$A,PARAMETROS_IMPORTACION!$C:$C,0),0)</f>
        <v>0</v>
      </c>
      <c r="L1251" s="2">
        <f t="shared" si="39"/>
        <v>0</v>
      </c>
    </row>
    <row r="1252" spans="5:12" x14ac:dyDescent="0.35">
      <c r="E1252" s="2"/>
      <c r="F1252" s="2">
        <f>_xlfn.XLOOKUP(D1252,TIPOS_CAMBIO!A:A,TIPOS_CAMBIO!B:B,"",0)</f>
        <v>0</v>
      </c>
      <c r="G1252" s="3">
        <f t="shared" si="38"/>
        <v>0</v>
      </c>
      <c r="H1252" s="3"/>
      <c r="I1252" s="3">
        <f ca="1">IFERROR(_xludf.XLOOKUP("Seguro",PARAMETROS_IMPORTACION!$A:$A,PARAMETROS_IMPORTACION!$C:$C,0),0)</f>
        <v>0</v>
      </c>
      <c r="J1252" s="3">
        <f ca="1">IFERROR(_xludf.XLOOKUP("Arancel",PARAMETROS_IMPORTACION!$A:$A,PARAMETROS_IMPORTACION!$C:$C,0),0)</f>
        <v>0</v>
      </c>
      <c r="K1252" s="2">
        <f ca="1">IFERROR(_xludf.XLOOKUP("Gastos_Aduana",PARAMETROS_IMPORTACION!$A:$A,PARAMETROS_IMPORTACION!$C:$C,0),0)</f>
        <v>0</v>
      </c>
      <c r="L1252" s="2">
        <f t="shared" si="39"/>
        <v>0</v>
      </c>
    </row>
    <row r="1253" spans="5:12" x14ac:dyDescent="0.35">
      <c r="E1253" s="2"/>
      <c r="F1253" s="2">
        <f>_xlfn.XLOOKUP(D1253,TIPOS_CAMBIO!A:A,TIPOS_CAMBIO!B:B,"",0)</f>
        <v>0</v>
      </c>
      <c r="G1253" s="3">
        <f t="shared" si="38"/>
        <v>0</v>
      </c>
      <c r="H1253" s="3"/>
      <c r="I1253" s="3">
        <f ca="1">IFERROR(_xludf.XLOOKUP("Seguro",PARAMETROS_IMPORTACION!$A:$A,PARAMETROS_IMPORTACION!$C:$C,0),0)</f>
        <v>0</v>
      </c>
      <c r="J1253" s="3">
        <f ca="1">IFERROR(_xludf.XLOOKUP("Arancel",PARAMETROS_IMPORTACION!$A:$A,PARAMETROS_IMPORTACION!$C:$C,0),0)</f>
        <v>0</v>
      </c>
      <c r="K1253" s="2">
        <f ca="1">IFERROR(_xludf.XLOOKUP("Gastos_Aduana",PARAMETROS_IMPORTACION!$A:$A,PARAMETROS_IMPORTACION!$C:$C,0),0)</f>
        <v>0</v>
      </c>
      <c r="L1253" s="2">
        <f t="shared" si="39"/>
        <v>0</v>
      </c>
    </row>
    <row r="1254" spans="5:12" x14ac:dyDescent="0.35">
      <c r="E1254" s="2"/>
      <c r="F1254" s="2">
        <f>_xlfn.XLOOKUP(D1254,TIPOS_CAMBIO!A:A,TIPOS_CAMBIO!B:B,"",0)</f>
        <v>0</v>
      </c>
      <c r="G1254" s="3">
        <f t="shared" si="38"/>
        <v>0</v>
      </c>
      <c r="H1254" s="3"/>
      <c r="I1254" s="3">
        <f ca="1">IFERROR(_xludf.XLOOKUP("Seguro",PARAMETROS_IMPORTACION!$A:$A,PARAMETROS_IMPORTACION!$C:$C,0),0)</f>
        <v>0</v>
      </c>
      <c r="J1254" s="3">
        <f ca="1">IFERROR(_xludf.XLOOKUP("Arancel",PARAMETROS_IMPORTACION!$A:$A,PARAMETROS_IMPORTACION!$C:$C,0),0)</f>
        <v>0</v>
      </c>
      <c r="K1254" s="2">
        <f ca="1">IFERROR(_xludf.XLOOKUP("Gastos_Aduana",PARAMETROS_IMPORTACION!$A:$A,PARAMETROS_IMPORTACION!$C:$C,0),0)</f>
        <v>0</v>
      </c>
      <c r="L1254" s="2">
        <f t="shared" si="39"/>
        <v>0</v>
      </c>
    </row>
    <row r="1255" spans="5:12" x14ac:dyDescent="0.35">
      <c r="E1255" s="2"/>
      <c r="F1255" s="2">
        <f>_xlfn.XLOOKUP(D1255,TIPOS_CAMBIO!A:A,TIPOS_CAMBIO!B:B,"",0)</f>
        <v>0</v>
      </c>
      <c r="G1255" s="3">
        <f t="shared" si="38"/>
        <v>0</v>
      </c>
      <c r="H1255" s="3"/>
      <c r="I1255" s="3">
        <f ca="1">IFERROR(_xludf.XLOOKUP("Seguro",PARAMETROS_IMPORTACION!$A:$A,PARAMETROS_IMPORTACION!$C:$C,0),0)</f>
        <v>0</v>
      </c>
      <c r="J1255" s="3">
        <f ca="1">IFERROR(_xludf.XLOOKUP("Arancel",PARAMETROS_IMPORTACION!$A:$A,PARAMETROS_IMPORTACION!$C:$C,0),0)</f>
        <v>0</v>
      </c>
      <c r="K1255" s="2">
        <f ca="1">IFERROR(_xludf.XLOOKUP("Gastos_Aduana",PARAMETROS_IMPORTACION!$A:$A,PARAMETROS_IMPORTACION!$C:$C,0),0)</f>
        <v>0</v>
      </c>
      <c r="L1255" s="2">
        <f t="shared" si="39"/>
        <v>0</v>
      </c>
    </row>
    <row r="1256" spans="5:12" x14ac:dyDescent="0.35">
      <c r="E1256" s="2"/>
      <c r="F1256" s="2">
        <f>_xlfn.XLOOKUP(D1256,TIPOS_CAMBIO!A:A,TIPOS_CAMBIO!B:B,"",0)</f>
        <v>0</v>
      </c>
      <c r="G1256" s="3">
        <f t="shared" si="38"/>
        <v>0</v>
      </c>
      <c r="H1256" s="3"/>
      <c r="I1256" s="3">
        <f ca="1">IFERROR(_xludf.XLOOKUP("Seguro",PARAMETROS_IMPORTACION!$A:$A,PARAMETROS_IMPORTACION!$C:$C,0),0)</f>
        <v>0</v>
      </c>
      <c r="J1256" s="3">
        <f ca="1">IFERROR(_xludf.XLOOKUP("Arancel",PARAMETROS_IMPORTACION!$A:$A,PARAMETROS_IMPORTACION!$C:$C,0),0)</f>
        <v>0</v>
      </c>
      <c r="K1256" s="2">
        <f ca="1">IFERROR(_xludf.XLOOKUP("Gastos_Aduana",PARAMETROS_IMPORTACION!$A:$A,PARAMETROS_IMPORTACION!$C:$C,0),0)</f>
        <v>0</v>
      </c>
      <c r="L1256" s="2">
        <f t="shared" si="39"/>
        <v>0</v>
      </c>
    </row>
    <row r="1257" spans="5:12" x14ac:dyDescent="0.35">
      <c r="E1257" s="2"/>
      <c r="F1257" s="2">
        <f>_xlfn.XLOOKUP(D1257,TIPOS_CAMBIO!A:A,TIPOS_CAMBIO!B:B,"",0)</f>
        <v>0</v>
      </c>
      <c r="G1257" s="3">
        <f t="shared" si="38"/>
        <v>0</v>
      </c>
      <c r="H1257" s="3"/>
      <c r="I1257" s="3">
        <f ca="1">IFERROR(_xludf.XLOOKUP("Seguro",PARAMETROS_IMPORTACION!$A:$A,PARAMETROS_IMPORTACION!$C:$C,0),0)</f>
        <v>0</v>
      </c>
      <c r="J1257" s="3">
        <f ca="1">IFERROR(_xludf.XLOOKUP("Arancel",PARAMETROS_IMPORTACION!$A:$A,PARAMETROS_IMPORTACION!$C:$C,0),0)</f>
        <v>0</v>
      </c>
      <c r="K1257" s="2">
        <f ca="1">IFERROR(_xludf.XLOOKUP("Gastos_Aduana",PARAMETROS_IMPORTACION!$A:$A,PARAMETROS_IMPORTACION!$C:$C,0),0)</f>
        <v>0</v>
      </c>
      <c r="L1257" s="2">
        <f t="shared" si="39"/>
        <v>0</v>
      </c>
    </row>
    <row r="1258" spans="5:12" x14ac:dyDescent="0.35">
      <c r="E1258" s="2"/>
      <c r="F1258" s="2">
        <f>_xlfn.XLOOKUP(D1258,TIPOS_CAMBIO!A:A,TIPOS_CAMBIO!B:B,"",0)</f>
        <v>0</v>
      </c>
      <c r="G1258" s="3">
        <f t="shared" si="38"/>
        <v>0</v>
      </c>
      <c r="H1258" s="3"/>
      <c r="I1258" s="3">
        <f ca="1">IFERROR(_xludf.XLOOKUP("Seguro",PARAMETROS_IMPORTACION!$A:$A,PARAMETROS_IMPORTACION!$C:$C,0),0)</f>
        <v>0</v>
      </c>
      <c r="J1258" s="3">
        <f ca="1">IFERROR(_xludf.XLOOKUP("Arancel",PARAMETROS_IMPORTACION!$A:$A,PARAMETROS_IMPORTACION!$C:$C,0),0)</f>
        <v>0</v>
      </c>
      <c r="K1258" s="2">
        <f ca="1">IFERROR(_xludf.XLOOKUP("Gastos_Aduana",PARAMETROS_IMPORTACION!$A:$A,PARAMETROS_IMPORTACION!$C:$C,0),0)</f>
        <v>0</v>
      </c>
      <c r="L1258" s="2">
        <f t="shared" si="39"/>
        <v>0</v>
      </c>
    </row>
    <row r="1259" spans="5:12" x14ac:dyDescent="0.35">
      <c r="E1259" s="2"/>
      <c r="F1259" s="2">
        <f>_xlfn.XLOOKUP(D1259,TIPOS_CAMBIO!A:A,TIPOS_CAMBIO!B:B,"",0)</f>
        <v>0</v>
      </c>
      <c r="G1259" s="3">
        <f t="shared" si="38"/>
        <v>0</v>
      </c>
      <c r="H1259" s="3"/>
      <c r="I1259" s="3">
        <f ca="1">IFERROR(_xludf.XLOOKUP("Seguro",PARAMETROS_IMPORTACION!$A:$A,PARAMETROS_IMPORTACION!$C:$C,0),0)</f>
        <v>0</v>
      </c>
      <c r="J1259" s="3">
        <f ca="1">IFERROR(_xludf.XLOOKUP("Arancel",PARAMETROS_IMPORTACION!$A:$A,PARAMETROS_IMPORTACION!$C:$C,0),0)</f>
        <v>0</v>
      </c>
      <c r="K1259" s="2">
        <f ca="1">IFERROR(_xludf.XLOOKUP("Gastos_Aduana",PARAMETROS_IMPORTACION!$A:$A,PARAMETROS_IMPORTACION!$C:$C,0),0)</f>
        <v>0</v>
      </c>
      <c r="L1259" s="2">
        <f t="shared" si="39"/>
        <v>0</v>
      </c>
    </row>
    <row r="1260" spans="5:12" x14ac:dyDescent="0.35">
      <c r="E1260" s="2"/>
      <c r="F1260" s="2">
        <f>_xlfn.XLOOKUP(D1260,TIPOS_CAMBIO!A:A,TIPOS_CAMBIO!B:B,"",0)</f>
        <v>0</v>
      </c>
      <c r="G1260" s="3">
        <f t="shared" si="38"/>
        <v>0</v>
      </c>
      <c r="H1260" s="3"/>
      <c r="I1260" s="3">
        <f ca="1">IFERROR(_xludf.XLOOKUP("Seguro",PARAMETROS_IMPORTACION!$A:$A,PARAMETROS_IMPORTACION!$C:$C,0),0)</f>
        <v>0</v>
      </c>
      <c r="J1260" s="3">
        <f ca="1">IFERROR(_xludf.XLOOKUP("Arancel",PARAMETROS_IMPORTACION!$A:$A,PARAMETROS_IMPORTACION!$C:$C,0),0)</f>
        <v>0</v>
      </c>
      <c r="K1260" s="2">
        <f ca="1">IFERROR(_xludf.XLOOKUP("Gastos_Aduana",PARAMETROS_IMPORTACION!$A:$A,PARAMETROS_IMPORTACION!$C:$C,0),0)</f>
        <v>0</v>
      </c>
      <c r="L1260" s="2">
        <f t="shared" si="39"/>
        <v>0</v>
      </c>
    </row>
    <row r="1261" spans="5:12" x14ac:dyDescent="0.35">
      <c r="E1261" s="2"/>
      <c r="F1261" s="2">
        <f>_xlfn.XLOOKUP(D1261,TIPOS_CAMBIO!A:A,TIPOS_CAMBIO!B:B,"",0)</f>
        <v>0</v>
      </c>
      <c r="G1261" s="3">
        <f t="shared" si="38"/>
        <v>0</v>
      </c>
      <c r="H1261" s="3"/>
      <c r="I1261" s="3">
        <f ca="1">IFERROR(_xludf.XLOOKUP("Seguro",PARAMETROS_IMPORTACION!$A:$A,PARAMETROS_IMPORTACION!$C:$C,0),0)</f>
        <v>0</v>
      </c>
      <c r="J1261" s="3">
        <f ca="1">IFERROR(_xludf.XLOOKUP("Arancel",PARAMETROS_IMPORTACION!$A:$A,PARAMETROS_IMPORTACION!$C:$C,0),0)</f>
        <v>0</v>
      </c>
      <c r="K1261" s="2">
        <f ca="1">IFERROR(_xludf.XLOOKUP("Gastos_Aduana",PARAMETROS_IMPORTACION!$A:$A,PARAMETROS_IMPORTACION!$C:$C,0),0)</f>
        <v>0</v>
      </c>
      <c r="L1261" s="2">
        <f t="shared" si="39"/>
        <v>0</v>
      </c>
    </row>
    <row r="1262" spans="5:12" x14ac:dyDescent="0.35">
      <c r="E1262" s="2"/>
      <c r="F1262" s="2">
        <f>_xlfn.XLOOKUP(D1262,TIPOS_CAMBIO!A:A,TIPOS_CAMBIO!B:B,"",0)</f>
        <v>0</v>
      </c>
      <c r="G1262" s="3">
        <f t="shared" si="38"/>
        <v>0</v>
      </c>
      <c r="H1262" s="3"/>
      <c r="I1262" s="3">
        <f ca="1">IFERROR(_xludf.XLOOKUP("Seguro",PARAMETROS_IMPORTACION!$A:$A,PARAMETROS_IMPORTACION!$C:$C,0),0)</f>
        <v>0</v>
      </c>
      <c r="J1262" s="3">
        <f ca="1">IFERROR(_xludf.XLOOKUP("Arancel",PARAMETROS_IMPORTACION!$A:$A,PARAMETROS_IMPORTACION!$C:$C,0),0)</f>
        <v>0</v>
      </c>
      <c r="K1262" s="2">
        <f ca="1">IFERROR(_xludf.XLOOKUP("Gastos_Aduana",PARAMETROS_IMPORTACION!$A:$A,PARAMETROS_IMPORTACION!$C:$C,0),0)</f>
        <v>0</v>
      </c>
      <c r="L1262" s="2">
        <f t="shared" si="39"/>
        <v>0</v>
      </c>
    </row>
    <row r="1263" spans="5:12" x14ac:dyDescent="0.35">
      <c r="E1263" s="2"/>
      <c r="F1263" s="2">
        <f>_xlfn.XLOOKUP(D1263,TIPOS_CAMBIO!A:A,TIPOS_CAMBIO!B:B,"",0)</f>
        <v>0</v>
      </c>
      <c r="G1263" s="3">
        <f t="shared" si="38"/>
        <v>0</v>
      </c>
      <c r="H1263" s="3"/>
      <c r="I1263" s="3">
        <f ca="1">IFERROR(_xludf.XLOOKUP("Seguro",PARAMETROS_IMPORTACION!$A:$A,PARAMETROS_IMPORTACION!$C:$C,0),0)</f>
        <v>0</v>
      </c>
      <c r="J1263" s="3">
        <f ca="1">IFERROR(_xludf.XLOOKUP("Arancel",PARAMETROS_IMPORTACION!$A:$A,PARAMETROS_IMPORTACION!$C:$C,0),0)</f>
        <v>0</v>
      </c>
      <c r="K1263" s="2">
        <f ca="1">IFERROR(_xludf.XLOOKUP("Gastos_Aduana",PARAMETROS_IMPORTACION!$A:$A,PARAMETROS_IMPORTACION!$C:$C,0),0)</f>
        <v>0</v>
      </c>
      <c r="L1263" s="2">
        <f t="shared" si="39"/>
        <v>0</v>
      </c>
    </row>
    <row r="1264" spans="5:12" x14ac:dyDescent="0.35">
      <c r="E1264" s="2"/>
      <c r="F1264" s="2">
        <f>_xlfn.XLOOKUP(D1264,TIPOS_CAMBIO!A:A,TIPOS_CAMBIO!B:B,"",0)</f>
        <v>0</v>
      </c>
      <c r="G1264" s="3">
        <f t="shared" si="38"/>
        <v>0</v>
      </c>
      <c r="H1264" s="3"/>
      <c r="I1264" s="3">
        <f ca="1">IFERROR(_xludf.XLOOKUP("Seguro",PARAMETROS_IMPORTACION!$A:$A,PARAMETROS_IMPORTACION!$C:$C,0),0)</f>
        <v>0</v>
      </c>
      <c r="J1264" s="3">
        <f ca="1">IFERROR(_xludf.XLOOKUP("Arancel",PARAMETROS_IMPORTACION!$A:$A,PARAMETROS_IMPORTACION!$C:$C,0),0)</f>
        <v>0</v>
      </c>
      <c r="K1264" s="2">
        <f ca="1">IFERROR(_xludf.XLOOKUP("Gastos_Aduana",PARAMETROS_IMPORTACION!$A:$A,PARAMETROS_IMPORTACION!$C:$C,0),0)</f>
        <v>0</v>
      </c>
      <c r="L1264" s="2">
        <f t="shared" si="39"/>
        <v>0</v>
      </c>
    </row>
    <row r="1265" spans="5:12" x14ac:dyDescent="0.35">
      <c r="E1265" s="2"/>
      <c r="F1265" s="2">
        <f>_xlfn.XLOOKUP(D1265,TIPOS_CAMBIO!A:A,TIPOS_CAMBIO!B:B,"",0)</f>
        <v>0</v>
      </c>
      <c r="G1265" s="3">
        <f t="shared" si="38"/>
        <v>0</v>
      </c>
      <c r="H1265" s="3"/>
      <c r="I1265" s="3">
        <f ca="1">IFERROR(_xludf.XLOOKUP("Seguro",PARAMETROS_IMPORTACION!$A:$A,PARAMETROS_IMPORTACION!$C:$C,0),0)</f>
        <v>0</v>
      </c>
      <c r="J1265" s="3">
        <f ca="1">IFERROR(_xludf.XLOOKUP("Arancel",PARAMETROS_IMPORTACION!$A:$A,PARAMETROS_IMPORTACION!$C:$C,0),0)</f>
        <v>0</v>
      </c>
      <c r="K1265" s="2">
        <f ca="1">IFERROR(_xludf.XLOOKUP("Gastos_Aduana",PARAMETROS_IMPORTACION!$A:$A,PARAMETROS_IMPORTACION!$C:$C,0),0)</f>
        <v>0</v>
      </c>
      <c r="L1265" s="2">
        <f t="shared" si="39"/>
        <v>0</v>
      </c>
    </row>
    <row r="1266" spans="5:12" x14ac:dyDescent="0.35">
      <c r="E1266" s="2"/>
      <c r="F1266" s="2">
        <f>_xlfn.XLOOKUP(D1266,TIPOS_CAMBIO!A:A,TIPOS_CAMBIO!B:B,"",0)</f>
        <v>0</v>
      </c>
      <c r="G1266" s="3">
        <f t="shared" si="38"/>
        <v>0</v>
      </c>
      <c r="H1266" s="3"/>
      <c r="I1266" s="3">
        <f ca="1">IFERROR(_xludf.XLOOKUP("Seguro",PARAMETROS_IMPORTACION!$A:$A,PARAMETROS_IMPORTACION!$C:$C,0),0)</f>
        <v>0</v>
      </c>
      <c r="J1266" s="3">
        <f ca="1">IFERROR(_xludf.XLOOKUP("Arancel",PARAMETROS_IMPORTACION!$A:$A,PARAMETROS_IMPORTACION!$C:$C,0),0)</f>
        <v>0</v>
      </c>
      <c r="K1266" s="2">
        <f ca="1">IFERROR(_xludf.XLOOKUP("Gastos_Aduana",PARAMETROS_IMPORTACION!$A:$A,PARAMETROS_IMPORTACION!$C:$C,0),0)</f>
        <v>0</v>
      </c>
      <c r="L1266" s="2">
        <f t="shared" si="39"/>
        <v>0</v>
      </c>
    </row>
    <row r="1267" spans="5:12" x14ac:dyDescent="0.35">
      <c r="E1267" s="2"/>
      <c r="F1267" s="2">
        <f>_xlfn.XLOOKUP(D1267,TIPOS_CAMBIO!A:A,TIPOS_CAMBIO!B:B,"",0)</f>
        <v>0</v>
      </c>
      <c r="G1267" s="3">
        <f t="shared" si="38"/>
        <v>0</v>
      </c>
      <c r="H1267" s="3"/>
      <c r="I1267" s="3">
        <f ca="1">IFERROR(_xludf.XLOOKUP("Seguro",PARAMETROS_IMPORTACION!$A:$A,PARAMETROS_IMPORTACION!$C:$C,0),0)</f>
        <v>0</v>
      </c>
      <c r="J1267" s="3">
        <f ca="1">IFERROR(_xludf.XLOOKUP("Arancel",PARAMETROS_IMPORTACION!$A:$A,PARAMETROS_IMPORTACION!$C:$C,0),0)</f>
        <v>0</v>
      </c>
      <c r="K1267" s="2">
        <f ca="1">IFERROR(_xludf.XLOOKUP("Gastos_Aduana",PARAMETROS_IMPORTACION!$A:$A,PARAMETROS_IMPORTACION!$C:$C,0),0)</f>
        <v>0</v>
      </c>
      <c r="L1267" s="2">
        <f t="shared" si="39"/>
        <v>0</v>
      </c>
    </row>
    <row r="1268" spans="5:12" x14ac:dyDescent="0.35">
      <c r="E1268" s="2"/>
      <c r="F1268" s="2">
        <f>_xlfn.XLOOKUP(D1268,TIPOS_CAMBIO!A:A,TIPOS_CAMBIO!B:B,"",0)</f>
        <v>0</v>
      </c>
      <c r="G1268" s="3">
        <f t="shared" si="38"/>
        <v>0</v>
      </c>
      <c r="H1268" s="3"/>
      <c r="I1268" s="3">
        <f ca="1">IFERROR(_xludf.XLOOKUP("Seguro",PARAMETROS_IMPORTACION!$A:$A,PARAMETROS_IMPORTACION!$C:$C,0),0)</f>
        <v>0</v>
      </c>
      <c r="J1268" s="3">
        <f ca="1">IFERROR(_xludf.XLOOKUP("Arancel",PARAMETROS_IMPORTACION!$A:$A,PARAMETROS_IMPORTACION!$C:$C,0),0)</f>
        <v>0</v>
      </c>
      <c r="K1268" s="2">
        <f ca="1">IFERROR(_xludf.XLOOKUP("Gastos_Aduana",PARAMETROS_IMPORTACION!$A:$A,PARAMETROS_IMPORTACION!$C:$C,0),0)</f>
        <v>0</v>
      </c>
      <c r="L1268" s="2">
        <f t="shared" si="39"/>
        <v>0</v>
      </c>
    </row>
    <row r="1269" spans="5:12" x14ac:dyDescent="0.35">
      <c r="E1269" s="2"/>
      <c r="F1269" s="2">
        <f>_xlfn.XLOOKUP(D1269,TIPOS_CAMBIO!A:A,TIPOS_CAMBIO!B:B,"",0)</f>
        <v>0</v>
      </c>
      <c r="G1269" s="3">
        <f t="shared" si="38"/>
        <v>0</v>
      </c>
      <c r="H1269" s="3"/>
      <c r="I1269" s="3">
        <f ca="1">IFERROR(_xludf.XLOOKUP("Seguro",PARAMETROS_IMPORTACION!$A:$A,PARAMETROS_IMPORTACION!$C:$C,0),0)</f>
        <v>0</v>
      </c>
      <c r="J1269" s="3">
        <f ca="1">IFERROR(_xludf.XLOOKUP("Arancel",PARAMETROS_IMPORTACION!$A:$A,PARAMETROS_IMPORTACION!$C:$C,0),0)</f>
        <v>0</v>
      </c>
      <c r="K1269" s="2">
        <f ca="1">IFERROR(_xludf.XLOOKUP("Gastos_Aduana",PARAMETROS_IMPORTACION!$A:$A,PARAMETROS_IMPORTACION!$C:$C,0),0)</f>
        <v>0</v>
      </c>
      <c r="L1269" s="2">
        <f t="shared" si="39"/>
        <v>0</v>
      </c>
    </row>
    <row r="1270" spans="5:12" x14ac:dyDescent="0.35">
      <c r="E1270" s="2"/>
      <c r="F1270" s="2">
        <f>_xlfn.XLOOKUP(D1270,TIPOS_CAMBIO!A:A,TIPOS_CAMBIO!B:B,"",0)</f>
        <v>0</v>
      </c>
      <c r="G1270" s="3">
        <f t="shared" si="38"/>
        <v>0</v>
      </c>
      <c r="H1270" s="3"/>
      <c r="I1270" s="3">
        <f ca="1">IFERROR(_xludf.XLOOKUP("Seguro",PARAMETROS_IMPORTACION!$A:$A,PARAMETROS_IMPORTACION!$C:$C,0),0)</f>
        <v>0</v>
      </c>
      <c r="J1270" s="3">
        <f ca="1">IFERROR(_xludf.XLOOKUP("Arancel",PARAMETROS_IMPORTACION!$A:$A,PARAMETROS_IMPORTACION!$C:$C,0),0)</f>
        <v>0</v>
      </c>
      <c r="K1270" s="2">
        <f ca="1">IFERROR(_xludf.XLOOKUP("Gastos_Aduana",PARAMETROS_IMPORTACION!$A:$A,PARAMETROS_IMPORTACION!$C:$C,0),0)</f>
        <v>0</v>
      </c>
      <c r="L1270" s="2">
        <f t="shared" si="39"/>
        <v>0</v>
      </c>
    </row>
    <row r="1271" spans="5:12" x14ac:dyDescent="0.35">
      <c r="E1271" s="2"/>
      <c r="F1271" s="2">
        <f>_xlfn.XLOOKUP(D1271,TIPOS_CAMBIO!A:A,TIPOS_CAMBIO!B:B,"",0)</f>
        <v>0</v>
      </c>
      <c r="G1271" s="3">
        <f t="shared" si="38"/>
        <v>0</v>
      </c>
      <c r="H1271" s="3"/>
      <c r="I1271" s="3">
        <f ca="1">IFERROR(_xludf.XLOOKUP("Seguro",PARAMETROS_IMPORTACION!$A:$A,PARAMETROS_IMPORTACION!$C:$C,0),0)</f>
        <v>0</v>
      </c>
      <c r="J1271" s="3">
        <f ca="1">IFERROR(_xludf.XLOOKUP("Arancel",PARAMETROS_IMPORTACION!$A:$A,PARAMETROS_IMPORTACION!$C:$C,0),0)</f>
        <v>0</v>
      </c>
      <c r="K1271" s="2">
        <f ca="1">IFERROR(_xludf.XLOOKUP("Gastos_Aduana",PARAMETROS_IMPORTACION!$A:$A,PARAMETROS_IMPORTACION!$C:$C,0),0)</f>
        <v>0</v>
      </c>
      <c r="L1271" s="2">
        <f t="shared" si="39"/>
        <v>0</v>
      </c>
    </row>
    <row r="1272" spans="5:12" x14ac:dyDescent="0.35">
      <c r="E1272" s="2"/>
      <c r="F1272" s="2">
        <f>_xlfn.XLOOKUP(D1272,TIPOS_CAMBIO!A:A,TIPOS_CAMBIO!B:B,"",0)</f>
        <v>0</v>
      </c>
      <c r="G1272" s="3">
        <f t="shared" si="38"/>
        <v>0</v>
      </c>
      <c r="H1272" s="3"/>
      <c r="I1272" s="3">
        <f ca="1">IFERROR(_xludf.XLOOKUP("Seguro",PARAMETROS_IMPORTACION!$A:$A,PARAMETROS_IMPORTACION!$C:$C,0),0)</f>
        <v>0</v>
      </c>
      <c r="J1272" s="3">
        <f ca="1">IFERROR(_xludf.XLOOKUP("Arancel",PARAMETROS_IMPORTACION!$A:$A,PARAMETROS_IMPORTACION!$C:$C,0),0)</f>
        <v>0</v>
      </c>
      <c r="K1272" s="2">
        <f ca="1">IFERROR(_xludf.XLOOKUP("Gastos_Aduana",PARAMETROS_IMPORTACION!$A:$A,PARAMETROS_IMPORTACION!$C:$C,0),0)</f>
        <v>0</v>
      </c>
      <c r="L1272" s="2">
        <f t="shared" si="39"/>
        <v>0</v>
      </c>
    </row>
    <row r="1273" spans="5:12" x14ac:dyDescent="0.35">
      <c r="E1273" s="2"/>
      <c r="F1273" s="2">
        <f>_xlfn.XLOOKUP(D1273,TIPOS_CAMBIO!A:A,TIPOS_CAMBIO!B:B,"",0)</f>
        <v>0</v>
      </c>
      <c r="G1273" s="3">
        <f t="shared" si="38"/>
        <v>0</v>
      </c>
      <c r="H1273" s="3"/>
      <c r="I1273" s="3">
        <f ca="1">IFERROR(_xludf.XLOOKUP("Seguro",PARAMETROS_IMPORTACION!$A:$A,PARAMETROS_IMPORTACION!$C:$C,0),0)</f>
        <v>0</v>
      </c>
      <c r="J1273" s="3">
        <f ca="1">IFERROR(_xludf.XLOOKUP("Arancel",PARAMETROS_IMPORTACION!$A:$A,PARAMETROS_IMPORTACION!$C:$C,0),0)</f>
        <v>0</v>
      </c>
      <c r="K1273" s="2">
        <f ca="1">IFERROR(_xludf.XLOOKUP("Gastos_Aduana",PARAMETROS_IMPORTACION!$A:$A,PARAMETROS_IMPORTACION!$C:$C,0),0)</f>
        <v>0</v>
      </c>
      <c r="L1273" s="2">
        <f t="shared" si="39"/>
        <v>0</v>
      </c>
    </row>
    <row r="1274" spans="5:12" x14ac:dyDescent="0.35">
      <c r="E1274" s="2"/>
      <c r="F1274" s="2">
        <f>_xlfn.XLOOKUP(D1274,TIPOS_CAMBIO!A:A,TIPOS_CAMBIO!B:B,"",0)</f>
        <v>0</v>
      </c>
      <c r="G1274" s="3">
        <f t="shared" si="38"/>
        <v>0</v>
      </c>
      <c r="H1274" s="3"/>
      <c r="I1274" s="3">
        <f ca="1">IFERROR(_xludf.XLOOKUP("Seguro",PARAMETROS_IMPORTACION!$A:$A,PARAMETROS_IMPORTACION!$C:$C,0),0)</f>
        <v>0</v>
      </c>
      <c r="J1274" s="3">
        <f ca="1">IFERROR(_xludf.XLOOKUP("Arancel",PARAMETROS_IMPORTACION!$A:$A,PARAMETROS_IMPORTACION!$C:$C,0),0)</f>
        <v>0</v>
      </c>
      <c r="K1274" s="2">
        <f ca="1">IFERROR(_xludf.XLOOKUP("Gastos_Aduana",PARAMETROS_IMPORTACION!$A:$A,PARAMETROS_IMPORTACION!$C:$C,0),0)</f>
        <v>0</v>
      </c>
      <c r="L1274" s="2">
        <f t="shared" si="39"/>
        <v>0</v>
      </c>
    </row>
    <row r="1275" spans="5:12" x14ac:dyDescent="0.35">
      <c r="E1275" s="2"/>
      <c r="F1275" s="2">
        <f>_xlfn.XLOOKUP(D1275,TIPOS_CAMBIO!A:A,TIPOS_CAMBIO!B:B,"",0)</f>
        <v>0</v>
      </c>
      <c r="G1275" s="3">
        <f t="shared" si="38"/>
        <v>0</v>
      </c>
      <c r="H1275" s="3"/>
      <c r="I1275" s="3">
        <f ca="1">IFERROR(_xludf.XLOOKUP("Seguro",PARAMETROS_IMPORTACION!$A:$A,PARAMETROS_IMPORTACION!$C:$C,0),0)</f>
        <v>0</v>
      </c>
      <c r="J1275" s="3">
        <f ca="1">IFERROR(_xludf.XLOOKUP("Arancel",PARAMETROS_IMPORTACION!$A:$A,PARAMETROS_IMPORTACION!$C:$C,0),0)</f>
        <v>0</v>
      </c>
      <c r="K1275" s="2">
        <f ca="1">IFERROR(_xludf.XLOOKUP("Gastos_Aduana",PARAMETROS_IMPORTACION!$A:$A,PARAMETROS_IMPORTACION!$C:$C,0),0)</f>
        <v>0</v>
      </c>
      <c r="L1275" s="2">
        <f t="shared" si="39"/>
        <v>0</v>
      </c>
    </row>
    <row r="1276" spans="5:12" x14ac:dyDescent="0.35">
      <c r="E1276" s="2"/>
      <c r="F1276" s="2">
        <f>_xlfn.XLOOKUP(D1276,TIPOS_CAMBIO!A:A,TIPOS_CAMBIO!B:B,"",0)</f>
        <v>0</v>
      </c>
      <c r="G1276" s="3">
        <f t="shared" si="38"/>
        <v>0</v>
      </c>
      <c r="H1276" s="3"/>
      <c r="I1276" s="3">
        <f ca="1">IFERROR(_xludf.XLOOKUP("Seguro",PARAMETROS_IMPORTACION!$A:$A,PARAMETROS_IMPORTACION!$C:$C,0),0)</f>
        <v>0</v>
      </c>
      <c r="J1276" s="3">
        <f ca="1">IFERROR(_xludf.XLOOKUP("Arancel",PARAMETROS_IMPORTACION!$A:$A,PARAMETROS_IMPORTACION!$C:$C,0),0)</f>
        <v>0</v>
      </c>
      <c r="K1276" s="2">
        <f ca="1">IFERROR(_xludf.XLOOKUP("Gastos_Aduana",PARAMETROS_IMPORTACION!$A:$A,PARAMETROS_IMPORTACION!$C:$C,0),0)</f>
        <v>0</v>
      </c>
      <c r="L1276" s="2">
        <f t="shared" si="39"/>
        <v>0</v>
      </c>
    </row>
    <row r="1277" spans="5:12" x14ac:dyDescent="0.35">
      <c r="E1277" s="2"/>
      <c r="F1277" s="2">
        <f>_xlfn.XLOOKUP(D1277,TIPOS_CAMBIO!A:A,TIPOS_CAMBIO!B:B,"",0)</f>
        <v>0</v>
      </c>
      <c r="G1277" s="3">
        <f t="shared" si="38"/>
        <v>0</v>
      </c>
      <c r="H1277" s="3"/>
      <c r="I1277" s="3">
        <f ca="1">IFERROR(_xludf.XLOOKUP("Seguro",PARAMETROS_IMPORTACION!$A:$A,PARAMETROS_IMPORTACION!$C:$C,0),0)</f>
        <v>0</v>
      </c>
      <c r="J1277" s="3">
        <f ca="1">IFERROR(_xludf.XLOOKUP("Arancel",PARAMETROS_IMPORTACION!$A:$A,PARAMETROS_IMPORTACION!$C:$C,0),0)</f>
        <v>0</v>
      </c>
      <c r="K1277" s="2">
        <f ca="1">IFERROR(_xludf.XLOOKUP("Gastos_Aduana",PARAMETROS_IMPORTACION!$A:$A,PARAMETROS_IMPORTACION!$C:$C,0),0)</f>
        <v>0</v>
      </c>
      <c r="L1277" s="2">
        <f t="shared" si="39"/>
        <v>0</v>
      </c>
    </row>
    <row r="1278" spans="5:12" x14ac:dyDescent="0.35">
      <c r="E1278" s="2"/>
      <c r="F1278" s="2">
        <f>_xlfn.XLOOKUP(D1278,TIPOS_CAMBIO!A:A,TIPOS_CAMBIO!B:B,"",0)</f>
        <v>0</v>
      </c>
      <c r="G1278" s="3">
        <f t="shared" si="38"/>
        <v>0</v>
      </c>
      <c r="H1278" s="3"/>
      <c r="I1278" s="3">
        <f ca="1">IFERROR(_xludf.XLOOKUP("Seguro",PARAMETROS_IMPORTACION!$A:$A,PARAMETROS_IMPORTACION!$C:$C,0),0)</f>
        <v>0</v>
      </c>
      <c r="J1278" s="3">
        <f ca="1">IFERROR(_xludf.XLOOKUP("Arancel",PARAMETROS_IMPORTACION!$A:$A,PARAMETROS_IMPORTACION!$C:$C,0),0)</f>
        <v>0</v>
      </c>
      <c r="K1278" s="2">
        <f ca="1">IFERROR(_xludf.XLOOKUP("Gastos_Aduana",PARAMETROS_IMPORTACION!$A:$A,PARAMETROS_IMPORTACION!$C:$C,0),0)</f>
        <v>0</v>
      </c>
      <c r="L1278" s="2">
        <f t="shared" si="39"/>
        <v>0</v>
      </c>
    </row>
    <row r="1279" spans="5:12" x14ac:dyDescent="0.35">
      <c r="E1279" s="2"/>
      <c r="F1279" s="2">
        <f>_xlfn.XLOOKUP(D1279,TIPOS_CAMBIO!A:A,TIPOS_CAMBIO!B:B,"",0)</f>
        <v>0</v>
      </c>
      <c r="G1279" s="3">
        <f t="shared" si="38"/>
        <v>0</v>
      </c>
      <c r="H1279" s="3"/>
      <c r="I1279" s="3">
        <f ca="1">IFERROR(_xludf.XLOOKUP("Seguro",PARAMETROS_IMPORTACION!$A:$A,PARAMETROS_IMPORTACION!$C:$C,0),0)</f>
        <v>0</v>
      </c>
      <c r="J1279" s="3">
        <f ca="1">IFERROR(_xludf.XLOOKUP("Arancel",PARAMETROS_IMPORTACION!$A:$A,PARAMETROS_IMPORTACION!$C:$C,0),0)</f>
        <v>0</v>
      </c>
      <c r="K1279" s="2">
        <f ca="1">IFERROR(_xludf.XLOOKUP("Gastos_Aduana",PARAMETROS_IMPORTACION!$A:$A,PARAMETROS_IMPORTACION!$C:$C,0),0)</f>
        <v>0</v>
      </c>
      <c r="L1279" s="2">
        <f t="shared" si="39"/>
        <v>0</v>
      </c>
    </row>
    <row r="1280" spans="5:12" x14ac:dyDescent="0.35">
      <c r="E1280" s="2"/>
      <c r="F1280" s="2">
        <f>_xlfn.XLOOKUP(D1280,TIPOS_CAMBIO!A:A,TIPOS_CAMBIO!B:B,"",0)</f>
        <v>0</v>
      </c>
      <c r="G1280" s="3">
        <f t="shared" si="38"/>
        <v>0</v>
      </c>
      <c r="H1280" s="3"/>
      <c r="I1280" s="3">
        <f ca="1">IFERROR(_xludf.XLOOKUP("Seguro",PARAMETROS_IMPORTACION!$A:$A,PARAMETROS_IMPORTACION!$C:$C,0),0)</f>
        <v>0</v>
      </c>
      <c r="J1280" s="3">
        <f ca="1">IFERROR(_xludf.XLOOKUP("Arancel",PARAMETROS_IMPORTACION!$A:$A,PARAMETROS_IMPORTACION!$C:$C,0),0)</f>
        <v>0</v>
      </c>
      <c r="K1280" s="2">
        <f ca="1">IFERROR(_xludf.XLOOKUP("Gastos_Aduana",PARAMETROS_IMPORTACION!$A:$A,PARAMETROS_IMPORTACION!$C:$C,0),0)</f>
        <v>0</v>
      </c>
      <c r="L1280" s="2">
        <f t="shared" si="39"/>
        <v>0</v>
      </c>
    </row>
    <row r="1281" spans="5:12" x14ac:dyDescent="0.35">
      <c r="E1281" s="2"/>
      <c r="F1281" s="2">
        <f>_xlfn.XLOOKUP(D1281,TIPOS_CAMBIO!A:A,TIPOS_CAMBIO!B:B,"",0)</f>
        <v>0</v>
      </c>
      <c r="G1281" s="3">
        <f t="shared" si="38"/>
        <v>0</v>
      </c>
      <c r="H1281" s="3"/>
      <c r="I1281" s="3">
        <f ca="1">IFERROR(_xludf.XLOOKUP("Seguro",PARAMETROS_IMPORTACION!$A:$A,PARAMETROS_IMPORTACION!$C:$C,0),0)</f>
        <v>0</v>
      </c>
      <c r="J1281" s="3">
        <f ca="1">IFERROR(_xludf.XLOOKUP("Arancel",PARAMETROS_IMPORTACION!$A:$A,PARAMETROS_IMPORTACION!$C:$C,0),0)</f>
        <v>0</v>
      </c>
      <c r="K1281" s="2">
        <f ca="1">IFERROR(_xludf.XLOOKUP("Gastos_Aduana",PARAMETROS_IMPORTACION!$A:$A,PARAMETROS_IMPORTACION!$C:$C,0),0)</f>
        <v>0</v>
      </c>
      <c r="L1281" s="2">
        <f t="shared" si="39"/>
        <v>0</v>
      </c>
    </row>
    <row r="1282" spans="5:12" x14ac:dyDescent="0.35">
      <c r="E1282" s="2"/>
      <c r="F1282" s="2">
        <f>_xlfn.XLOOKUP(D1282,TIPOS_CAMBIO!A:A,TIPOS_CAMBIO!B:B,"",0)</f>
        <v>0</v>
      </c>
      <c r="G1282" s="3">
        <f t="shared" ref="G1282:G1345" si="40">$E1282*$F1282</f>
        <v>0</v>
      </c>
      <c r="H1282" s="3"/>
      <c r="I1282" s="3">
        <f ca="1">IFERROR(_xludf.XLOOKUP("Seguro",PARAMETROS_IMPORTACION!$A:$A,PARAMETROS_IMPORTACION!$C:$C,0),0)</f>
        <v>0</v>
      </c>
      <c r="J1282" s="3">
        <f ca="1">IFERROR(_xludf.XLOOKUP("Arancel",PARAMETROS_IMPORTACION!$A:$A,PARAMETROS_IMPORTACION!$C:$C,0),0)</f>
        <v>0</v>
      </c>
      <c r="K1282" s="2">
        <f ca="1">IFERROR(_xludf.XLOOKUP("Gastos_Aduana",PARAMETROS_IMPORTACION!$A:$A,PARAMETROS_IMPORTACION!$C:$C,0),0)</f>
        <v>0</v>
      </c>
      <c r="L1282" s="2">
        <f t="shared" si="39"/>
        <v>0</v>
      </c>
    </row>
    <row r="1283" spans="5:12" x14ac:dyDescent="0.35">
      <c r="E1283" s="2"/>
      <c r="F1283" s="2">
        <f>_xlfn.XLOOKUP(D1283,TIPOS_CAMBIO!A:A,TIPOS_CAMBIO!B:B,"",0)</f>
        <v>0</v>
      </c>
      <c r="G1283" s="3">
        <f t="shared" si="40"/>
        <v>0</v>
      </c>
      <c r="H1283" s="3"/>
      <c r="I1283" s="3">
        <f ca="1">IFERROR(_xludf.XLOOKUP("Seguro",PARAMETROS_IMPORTACION!$A:$A,PARAMETROS_IMPORTACION!$C:$C,0),0)</f>
        <v>0</v>
      </c>
      <c r="J1283" s="3">
        <f ca="1">IFERROR(_xludf.XLOOKUP("Arancel",PARAMETROS_IMPORTACION!$A:$A,PARAMETROS_IMPORTACION!$C:$C,0),0)</f>
        <v>0</v>
      </c>
      <c r="K1283" s="2">
        <f ca="1">IFERROR(_xludf.XLOOKUP("Gastos_Aduana",PARAMETROS_IMPORTACION!$A:$A,PARAMETROS_IMPORTACION!$C:$C,0),0)</f>
        <v>0</v>
      </c>
      <c r="L1283" s="2">
        <f t="shared" ref="L1283:L1346" si="41">IF($C1283="Importado",$G1283*(1+$H1283+$I1283+$J1283)+$K1283,$G1283)</f>
        <v>0</v>
      </c>
    </row>
    <row r="1284" spans="5:12" x14ac:dyDescent="0.35">
      <c r="E1284" s="2"/>
      <c r="F1284" s="2">
        <f>_xlfn.XLOOKUP(D1284,TIPOS_CAMBIO!A:A,TIPOS_CAMBIO!B:B,"",0)</f>
        <v>0</v>
      </c>
      <c r="G1284" s="3">
        <f t="shared" si="40"/>
        <v>0</v>
      </c>
      <c r="H1284" s="3"/>
      <c r="I1284" s="3">
        <f ca="1">IFERROR(_xludf.XLOOKUP("Seguro",PARAMETROS_IMPORTACION!$A:$A,PARAMETROS_IMPORTACION!$C:$C,0),0)</f>
        <v>0</v>
      </c>
      <c r="J1284" s="3">
        <f ca="1">IFERROR(_xludf.XLOOKUP("Arancel",PARAMETROS_IMPORTACION!$A:$A,PARAMETROS_IMPORTACION!$C:$C,0),0)</f>
        <v>0</v>
      </c>
      <c r="K1284" s="2">
        <f ca="1">IFERROR(_xludf.XLOOKUP("Gastos_Aduana",PARAMETROS_IMPORTACION!$A:$A,PARAMETROS_IMPORTACION!$C:$C,0),0)</f>
        <v>0</v>
      </c>
      <c r="L1284" s="2">
        <f t="shared" si="41"/>
        <v>0</v>
      </c>
    </row>
    <row r="1285" spans="5:12" x14ac:dyDescent="0.35">
      <c r="E1285" s="2"/>
      <c r="F1285" s="2">
        <f>_xlfn.XLOOKUP(D1285,TIPOS_CAMBIO!A:A,TIPOS_CAMBIO!B:B,"",0)</f>
        <v>0</v>
      </c>
      <c r="G1285" s="3">
        <f t="shared" si="40"/>
        <v>0</v>
      </c>
      <c r="H1285" s="3"/>
      <c r="I1285" s="3">
        <f ca="1">IFERROR(_xludf.XLOOKUP("Seguro",PARAMETROS_IMPORTACION!$A:$A,PARAMETROS_IMPORTACION!$C:$C,0),0)</f>
        <v>0</v>
      </c>
      <c r="J1285" s="3">
        <f ca="1">IFERROR(_xludf.XLOOKUP("Arancel",PARAMETROS_IMPORTACION!$A:$A,PARAMETROS_IMPORTACION!$C:$C,0),0)</f>
        <v>0</v>
      </c>
      <c r="K1285" s="2">
        <f ca="1">IFERROR(_xludf.XLOOKUP("Gastos_Aduana",PARAMETROS_IMPORTACION!$A:$A,PARAMETROS_IMPORTACION!$C:$C,0),0)</f>
        <v>0</v>
      </c>
      <c r="L1285" s="2">
        <f t="shared" si="41"/>
        <v>0</v>
      </c>
    </row>
    <row r="1286" spans="5:12" x14ac:dyDescent="0.35">
      <c r="E1286" s="2"/>
      <c r="F1286" s="2">
        <f>_xlfn.XLOOKUP(D1286,TIPOS_CAMBIO!A:A,TIPOS_CAMBIO!B:B,"",0)</f>
        <v>0</v>
      </c>
      <c r="G1286" s="3">
        <f t="shared" si="40"/>
        <v>0</v>
      </c>
      <c r="H1286" s="3"/>
      <c r="I1286" s="3">
        <f ca="1">IFERROR(_xludf.XLOOKUP("Seguro",PARAMETROS_IMPORTACION!$A:$A,PARAMETROS_IMPORTACION!$C:$C,0),0)</f>
        <v>0</v>
      </c>
      <c r="J1286" s="3">
        <f ca="1">IFERROR(_xludf.XLOOKUP("Arancel",PARAMETROS_IMPORTACION!$A:$A,PARAMETROS_IMPORTACION!$C:$C,0),0)</f>
        <v>0</v>
      </c>
      <c r="K1286" s="2">
        <f ca="1">IFERROR(_xludf.XLOOKUP("Gastos_Aduana",PARAMETROS_IMPORTACION!$A:$A,PARAMETROS_IMPORTACION!$C:$C,0),0)</f>
        <v>0</v>
      </c>
      <c r="L1286" s="2">
        <f t="shared" si="41"/>
        <v>0</v>
      </c>
    </row>
    <row r="1287" spans="5:12" x14ac:dyDescent="0.35">
      <c r="E1287" s="2"/>
      <c r="F1287" s="2">
        <f>_xlfn.XLOOKUP(D1287,TIPOS_CAMBIO!A:A,TIPOS_CAMBIO!B:B,"",0)</f>
        <v>0</v>
      </c>
      <c r="G1287" s="3">
        <f t="shared" si="40"/>
        <v>0</v>
      </c>
      <c r="H1287" s="3"/>
      <c r="I1287" s="3">
        <f ca="1">IFERROR(_xludf.XLOOKUP("Seguro",PARAMETROS_IMPORTACION!$A:$A,PARAMETROS_IMPORTACION!$C:$C,0),0)</f>
        <v>0</v>
      </c>
      <c r="J1287" s="3">
        <f ca="1">IFERROR(_xludf.XLOOKUP("Arancel",PARAMETROS_IMPORTACION!$A:$A,PARAMETROS_IMPORTACION!$C:$C,0),0)</f>
        <v>0</v>
      </c>
      <c r="K1287" s="2">
        <f ca="1">IFERROR(_xludf.XLOOKUP("Gastos_Aduana",PARAMETROS_IMPORTACION!$A:$A,PARAMETROS_IMPORTACION!$C:$C,0),0)</f>
        <v>0</v>
      </c>
      <c r="L1287" s="2">
        <f t="shared" si="41"/>
        <v>0</v>
      </c>
    </row>
    <row r="1288" spans="5:12" x14ac:dyDescent="0.35">
      <c r="E1288" s="2"/>
      <c r="F1288" s="2">
        <f>_xlfn.XLOOKUP(D1288,TIPOS_CAMBIO!A:A,TIPOS_CAMBIO!B:B,"",0)</f>
        <v>0</v>
      </c>
      <c r="G1288" s="3">
        <f t="shared" si="40"/>
        <v>0</v>
      </c>
      <c r="H1288" s="3"/>
      <c r="I1288" s="3">
        <f ca="1">IFERROR(_xludf.XLOOKUP("Seguro",PARAMETROS_IMPORTACION!$A:$A,PARAMETROS_IMPORTACION!$C:$C,0),0)</f>
        <v>0</v>
      </c>
      <c r="J1288" s="3">
        <f ca="1">IFERROR(_xludf.XLOOKUP("Arancel",PARAMETROS_IMPORTACION!$A:$A,PARAMETROS_IMPORTACION!$C:$C,0),0)</f>
        <v>0</v>
      </c>
      <c r="K1288" s="2">
        <f ca="1">IFERROR(_xludf.XLOOKUP("Gastos_Aduana",PARAMETROS_IMPORTACION!$A:$A,PARAMETROS_IMPORTACION!$C:$C,0),0)</f>
        <v>0</v>
      </c>
      <c r="L1288" s="2">
        <f t="shared" si="41"/>
        <v>0</v>
      </c>
    </row>
    <row r="1289" spans="5:12" x14ac:dyDescent="0.35">
      <c r="E1289" s="2"/>
      <c r="F1289" s="2">
        <f>_xlfn.XLOOKUP(D1289,TIPOS_CAMBIO!A:A,TIPOS_CAMBIO!B:B,"",0)</f>
        <v>0</v>
      </c>
      <c r="G1289" s="3">
        <f t="shared" si="40"/>
        <v>0</v>
      </c>
      <c r="H1289" s="3"/>
      <c r="I1289" s="3">
        <f ca="1">IFERROR(_xludf.XLOOKUP("Seguro",PARAMETROS_IMPORTACION!$A:$A,PARAMETROS_IMPORTACION!$C:$C,0),0)</f>
        <v>0</v>
      </c>
      <c r="J1289" s="3">
        <f ca="1">IFERROR(_xludf.XLOOKUP("Arancel",PARAMETROS_IMPORTACION!$A:$A,PARAMETROS_IMPORTACION!$C:$C,0),0)</f>
        <v>0</v>
      </c>
      <c r="K1289" s="2">
        <f ca="1">IFERROR(_xludf.XLOOKUP("Gastos_Aduana",PARAMETROS_IMPORTACION!$A:$A,PARAMETROS_IMPORTACION!$C:$C,0),0)</f>
        <v>0</v>
      </c>
      <c r="L1289" s="2">
        <f t="shared" si="41"/>
        <v>0</v>
      </c>
    </row>
    <row r="1290" spans="5:12" x14ac:dyDescent="0.35">
      <c r="E1290" s="2"/>
      <c r="F1290" s="2">
        <f>_xlfn.XLOOKUP(D1290,TIPOS_CAMBIO!A:A,TIPOS_CAMBIO!B:B,"",0)</f>
        <v>0</v>
      </c>
      <c r="G1290" s="3">
        <f t="shared" si="40"/>
        <v>0</v>
      </c>
      <c r="H1290" s="3"/>
      <c r="I1290" s="3">
        <f ca="1">IFERROR(_xludf.XLOOKUP("Seguro",PARAMETROS_IMPORTACION!$A:$A,PARAMETROS_IMPORTACION!$C:$C,0),0)</f>
        <v>0</v>
      </c>
      <c r="J1290" s="3">
        <f ca="1">IFERROR(_xludf.XLOOKUP("Arancel",PARAMETROS_IMPORTACION!$A:$A,PARAMETROS_IMPORTACION!$C:$C,0),0)</f>
        <v>0</v>
      </c>
      <c r="K1290" s="2">
        <f ca="1">IFERROR(_xludf.XLOOKUP("Gastos_Aduana",PARAMETROS_IMPORTACION!$A:$A,PARAMETROS_IMPORTACION!$C:$C,0),0)</f>
        <v>0</v>
      </c>
      <c r="L1290" s="2">
        <f t="shared" si="41"/>
        <v>0</v>
      </c>
    </row>
    <row r="1291" spans="5:12" x14ac:dyDescent="0.35">
      <c r="E1291" s="2"/>
      <c r="F1291" s="2">
        <f>_xlfn.XLOOKUP(D1291,TIPOS_CAMBIO!A:A,TIPOS_CAMBIO!B:B,"",0)</f>
        <v>0</v>
      </c>
      <c r="G1291" s="3">
        <f t="shared" si="40"/>
        <v>0</v>
      </c>
      <c r="H1291" s="3"/>
      <c r="I1291" s="3">
        <f ca="1">IFERROR(_xludf.XLOOKUP("Seguro",PARAMETROS_IMPORTACION!$A:$A,PARAMETROS_IMPORTACION!$C:$C,0),0)</f>
        <v>0</v>
      </c>
      <c r="J1291" s="3">
        <f ca="1">IFERROR(_xludf.XLOOKUP("Arancel",PARAMETROS_IMPORTACION!$A:$A,PARAMETROS_IMPORTACION!$C:$C,0),0)</f>
        <v>0</v>
      </c>
      <c r="K1291" s="2">
        <f ca="1">IFERROR(_xludf.XLOOKUP("Gastos_Aduana",PARAMETROS_IMPORTACION!$A:$A,PARAMETROS_IMPORTACION!$C:$C,0),0)</f>
        <v>0</v>
      </c>
      <c r="L1291" s="2">
        <f t="shared" si="41"/>
        <v>0</v>
      </c>
    </row>
    <row r="1292" spans="5:12" x14ac:dyDescent="0.35">
      <c r="E1292" s="2"/>
      <c r="F1292" s="2">
        <f>_xlfn.XLOOKUP(D1292,TIPOS_CAMBIO!A:A,TIPOS_CAMBIO!B:B,"",0)</f>
        <v>0</v>
      </c>
      <c r="G1292" s="3">
        <f t="shared" si="40"/>
        <v>0</v>
      </c>
      <c r="H1292" s="3"/>
      <c r="I1292" s="3">
        <f ca="1">IFERROR(_xludf.XLOOKUP("Seguro",PARAMETROS_IMPORTACION!$A:$A,PARAMETROS_IMPORTACION!$C:$C,0),0)</f>
        <v>0</v>
      </c>
      <c r="J1292" s="3">
        <f ca="1">IFERROR(_xludf.XLOOKUP("Arancel",PARAMETROS_IMPORTACION!$A:$A,PARAMETROS_IMPORTACION!$C:$C,0),0)</f>
        <v>0</v>
      </c>
      <c r="K1292" s="2">
        <f ca="1">IFERROR(_xludf.XLOOKUP("Gastos_Aduana",PARAMETROS_IMPORTACION!$A:$A,PARAMETROS_IMPORTACION!$C:$C,0),0)</f>
        <v>0</v>
      </c>
      <c r="L1292" s="2">
        <f t="shared" si="41"/>
        <v>0</v>
      </c>
    </row>
    <row r="1293" spans="5:12" x14ac:dyDescent="0.35">
      <c r="E1293" s="2"/>
      <c r="F1293" s="2">
        <f>_xlfn.XLOOKUP(D1293,TIPOS_CAMBIO!A:A,TIPOS_CAMBIO!B:B,"",0)</f>
        <v>0</v>
      </c>
      <c r="G1293" s="3">
        <f t="shared" si="40"/>
        <v>0</v>
      </c>
      <c r="H1293" s="3"/>
      <c r="I1293" s="3">
        <f ca="1">IFERROR(_xludf.XLOOKUP("Seguro",PARAMETROS_IMPORTACION!$A:$A,PARAMETROS_IMPORTACION!$C:$C,0),0)</f>
        <v>0</v>
      </c>
      <c r="J1293" s="3">
        <f ca="1">IFERROR(_xludf.XLOOKUP("Arancel",PARAMETROS_IMPORTACION!$A:$A,PARAMETROS_IMPORTACION!$C:$C,0),0)</f>
        <v>0</v>
      </c>
      <c r="K1293" s="2">
        <f ca="1">IFERROR(_xludf.XLOOKUP("Gastos_Aduana",PARAMETROS_IMPORTACION!$A:$A,PARAMETROS_IMPORTACION!$C:$C,0),0)</f>
        <v>0</v>
      </c>
      <c r="L1293" s="2">
        <f t="shared" si="41"/>
        <v>0</v>
      </c>
    </row>
    <row r="1294" spans="5:12" x14ac:dyDescent="0.35">
      <c r="E1294" s="2"/>
      <c r="F1294" s="2">
        <f>_xlfn.XLOOKUP(D1294,TIPOS_CAMBIO!A:A,TIPOS_CAMBIO!B:B,"",0)</f>
        <v>0</v>
      </c>
      <c r="G1294" s="3">
        <f t="shared" si="40"/>
        <v>0</v>
      </c>
      <c r="H1294" s="3"/>
      <c r="I1294" s="3">
        <f ca="1">IFERROR(_xludf.XLOOKUP("Seguro",PARAMETROS_IMPORTACION!$A:$A,PARAMETROS_IMPORTACION!$C:$C,0),0)</f>
        <v>0</v>
      </c>
      <c r="J1294" s="3">
        <f ca="1">IFERROR(_xludf.XLOOKUP("Arancel",PARAMETROS_IMPORTACION!$A:$A,PARAMETROS_IMPORTACION!$C:$C,0),0)</f>
        <v>0</v>
      </c>
      <c r="K1294" s="2">
        <f ca="1">IFERROR(_xludf.XLOOKUP("Gastos_Aduana",PARAMETROS_IMPORTACION!$A:$A,PARAMETROS_IMPORTACION!$C:$C,0),0)</f>
        <v>0</v>
      </c>
      <c r="L1294" s="2">
        <f t="shared" si="41"/>
        <v>0</v>
      </c>
    </row>
    <row r="1295" spans="5:12" x14ac:dyDescent="0.35">
      <c r="E1295" s="2"/>
      <c r="F1295" s="2">
        <f>_xlfn.XLOOKUP(D1295,TIPOS_CAMBIO!A:A,TIPOS_CAMBIO!B:B,"",0)</f>
        <v>0</v>
      </c>
      <c r="G1295" s="3">
        <f t="shared" si="40"/>
        <v>0</v>
      </c>
      <c r="H1295" s="3"/>
      <c r="I1295" s="3">
        <f ca="1">IFERROR(_xludf.XLOOKUP("Seguro",PARAMETROS_IMPORTACION!$A:$A,PARAMETROS_IMPORTACION!$C:$C,0),0)</f>
        <v>0</v>
      </c>
      <c r="J1295" s="3">
        <f ca="1">IFERROR(_xludf.XLOOKUP("Arancel",PARAMETROS_IMPORTACION!$A:$A,PARAMETROS_IMPORTACION!$C:$C,0),0)</f>
        <v>0</v>
      </c>
      <c r="K1295" s="2">
        <f ca="1">IFERROR(_xludf.XLOOKUP("Gastos_Aduana",PARAMETROS_IMPORTACION!$A:$A,PARAMETROS_IMPORTACION!$C:$C,0),0)</f>
        <v>0</v>
      </c>
      <c r="L1295" s="2">
        <f t="shared" si="41"/>
        <v>0</v>
      </c>
    </row>
    <row r="1296" spans="5:12" x14ac:dyDescent="0.35">
      <c r="E1296" s="2"/>
      <c r="F1296" s="2">
        <f>_xlfn.XLOOKUP(D1296,TIPOS_CAMBIO!A:A,TIPOS_CAMBIO!B:B,"",0)</f>
        <v>0</v>
      </c>
      <c r="G1296" s="3">
        <f t="shared" si="40"/>
        <v>0</v>
      </c>
      <c r="H1296" s="3"/>
      <c r="I1296" s="3">
        <f ca="1">IFERROR(_xludf.XLOOKUP("Seguro",PARAMETROS_IMPORTACION!$A:$A,PARAMETROS_IMPORTACION!$C:$C,0),0)</f>
        <v>0</v>
      </c>
      <c r="J1296" s="3">
        <f ca="1">IFERROR(_xludf.XLOOKUP("Arancel",PARAMETROS_IMPORTACION!$A:$A,PARAMETROS_IMPORTACION!$C:$C,0),0)</f>
        <v>0</v>
      </c>
      <c r="K1296" s="2">
        <f ca="1">IFERROR(_xludf.XLOOKUP("Gastos_Aduana",PARAMETROS_IMPORTACION!$A:$A,PARAMETROS_IMPORTACION!$C:$C,0),0)</f>
        <v>0</v>
      </c>
      <c r="L1296" s="2">
        <f t="shared" si="41"/>
        <v>0</v>
      </c>
    </row>
    <row r="1297" spans="5:12" x14ac:dyDescent="0.35">
      <c r="E1297" s="2"/>
      <c r="F1297" s="2">
        <f>_xlfn.XLOOKUP(D1297,TIPOS_CAMBIO!A:A,TIPOS_CAMBIO!B:B,"",0)</f>
        <v>0</v>
      </c>
      <c r="G1297" s="3">
        <f t="shared" si="40"/>
        <v>0</v>
      </c>
      <c r="H1297" s="3"/>
      <c r="I1297" s="3">
        <f ca="1">IFERROR(_xludf.XLOOKUP("Seguro",PARAMETROS_IMPORTACION!$A:$A,PARAMETROS_IMPORTACION!$C:$C,0),0)</f>
        <v>0</v>
      </c>
      <c r="J1297" s="3">
        <f ca="1">IFERROR(_xludf.XLOOKUP("Arancel",PARAMETROS_IMPORTACION!$A:$A,PARAMETROS_IMPORTACION!$C:$C,0),0)</f>
        <v>0</v>
      </c>
      <c r="K1297" s="2">
        <f ca="1">IFERROR(_xludf.XLOOKUP("Gastos_Aduana",PARAMETROS_IMPORTACION!$A:$A,PARAMETROS_IMPORTACION!$C:$C,0),0)</f>
        <v>0</v>
      </c>
      <c r="L1297" s="2">
        <f t="shared" si="41"/>
        <v>0</v>
      </c>
    </row>
    <row r="1298" spans="5:12" x14ac:dyDescent="0.35">
      <c r="E1298" s="2"/>
      <c r="F1298" s="2">
        <f>_xlfn.XLOOKUP(D1298,TIPOS_CAMBIO!A:A,TIPOS_CAMBIO!B:B,"",0)</f>
        <v>0</v>
      </c>
      <c r="G1298" s="3">
        <f t="shared" si="40"/>
        <v>0</v>
      </c>
      <c r="H1298" s="3"/>
      <c r="I1298" s="3">
        <f ca="1">IFERROR(_xludf.XLOOKUP("Seguro",PARAMETROS_IMPORTACION!$A:$A,PARAMETROS_IMPORTACION!$C:$C,0),0)</f>
        <v>0</v>
      </c>
      <c r="J1298" s="3">
        <f ca="1">IFERROR(_xludf.XLOOKUP("Arancel",PARAMETROS_IMPORTACION!$A:$A,PARAMETROS_IMPORTACION!$C:$C,0),0)</f>
        <v>0</v>
      </c>
      <c r="K1298" s="2">
        <f ca="1">IFERROR(_xludf.XLOOKUP("Gastos_Aduana",PARAMETROS_IMPORTACION!$A:$A,PARAMETROS_IMPORTACION!$C:$C,0),0)</f>
        <v>0</v>
      </c>
      <c r="L1298" s="2">
        <f t="shared" si="41"/>
        <v>0</v>
      </c>
    </row>
    <row r="1299" spans="5:12" x14ac:dyDescent="0.35">
      <c r="E1299" s="2"/>
      <c r="F1299" s="2">
        <f>_xlfn.XLOOKUP(D1299,TIPOS_CAMBIO!A:A,TIPOS_CAMBIO!B:B,"",0)</f>
        <v>0</v>
      </c>
      <c r="G1299" s="3">
        <f t="shared" si="40"/>
        <v>0</v>
      </c>
      <c r="H1299" s="3"/>
      <c r="I1299" s="3">
        <f ca="1">IFERROR(_xludf.XLOOKUP("Seguro",PARAMETROS_IMPORTACION!$A:$A,PARAMETROS_IMPORTACION!$C:$C,0),0)</f>
        <v>0</v>
      </c>
      <c r="J1299" s="3">
        <f ca="1">IFERROR(_xludf.XLOOKUP("Arancel",PARAMETROS_IMPORTACION!$A:$A,PARAMETROS_IMPORTACION!$C:$C,0),0)</f>
        <v>0</v>
      </c>
      <c r="K1299" s="2">
        <f ca="1">IFERROR(_xludf.XLOOKUP("Gastos_Aduana",PARAMETROS_IMPORTACION!$A:$A,PARAMETROS_IMPORTACION!$C:$C,0),0)</f>
        <v>0</v>
      </c>
      <c r="L1299" s="2">
        <f t="shared" si="41"/>
        <v>0</v>
      </c>
    </row>
    <row r="1300" spans="5:12" x14ac:dyDescent="0.35">
      <c r="E1300" s="2"/>
      <c r="F1300" s="2">
        <f>_xlfn.XLOOKUP(D1300,TIPOS_CAMBIO!A:A,TIPOS_CAMBIO!B:B,"",0)</f>
        <v>0</v>
      </c>
      <c r="G1300" s="3">
        <f t="shared" si="40"/>
        <v>0</v>
      </c>
      <c r="H1300" s="3"/>
      <c r="I1300" s="3">
        <f ca="1">IFERROR(_xludf.XLOOKUP("Seguro",PARAMETROS_IMPORTACION!$A:$A,PARAMETROS_IMPORTACION!$C:$C,0),0)</f>
        <v>0</v>
      </c>
      <c r="J1300" s="3">
        <f ca="1">IFERROR(_xludf.XLOOKUP("Arancel",PARAMETROS_IMPORTACION!$A:$A,PARAMETROS_IMPORTACION!$C:$C,0),0)</f>
        <v>0</v>
      </c>
      <c r="K1300" s="2">
        <f ca="1">IFERROR(_xludf.XLOOKUP("Gastos_Aduana",PARAMETROS_IMPORTACION!$A:$A,PARAMETROS_IMPORTACION!$C:$C,0),0)</f>
        <v>0</v>
      </c>
      <c r="L1300" s="2">
        <f t="shared" si="41"/>
        <v>0</v>
      </c>
    </row>
    <row r="1301" spans="5:12" x14ac:dyDescent="0.35">
      <c r="E1301" s="2"/>
      <c r="F1301" s="2">
        <f>_xlfn.XLOOKUP(D1301,TIPOS_CAMBIO!A:A,TIPOS_CAMBIO!B:B,"",0)</f>
        <v>0</v>
      </c>
      <c r="G1301" s="3">
        <f t="shared" si="40"/>
        <v>0</v>
      </c>
      <c r="H1301" s="3"/>
      <c r="I1301" s="3">
        <f ca="1">IFERROR(_xludf.XLOOKUP("Seguro",PARAMETROS_IMPORTACION!$A:$A,PARAMETROS_IMPORTACION!$C:$C,0),0)</f>
        <v>0</v>
      </c>
      <c r="J1301" s="3">
        <f ca="1">IFERROR(_xludf.XLOOKUP("Arancel",PARAMETROS_IMPORTACION!$A:$A,PARAMETROS_IMPORTACION!$C:$C,0),0)</f>
        <v>0</v>
      </c>
      <c r="K1301" s="2">
        <f ca="1">IFERROR(_xludf.XLOOKUP("Gastos_Aduana",PARAMETROS_IMPORTACION!$A:$A,PARAMETROS_IMPORTACION!$C:$C,0),0)</f>
        <v>0</v>
      </c>
      <c r="L1301" s="2">
        <f t="shared" si="41"/>
        <v>0</v>
      </c>
    </row>
    <row r="1302" spans="5:12" x14ac:dyDescent="0.35">
      <c r="E1302" s="2"/>
      <c r="F1302" s="2">
        <f>_xlfn.XLOOKUP(D1302,TIPOS_CAMBIO!A:A,TIPOS_CAMBIO!B:B,"",0)</f>
        <v>0</v>
      </c>
      <c r="G1302" s="3">
        <f t="shared" si="40"/>
        <v>0</v>
      </c>
      <c r="H1302" s="3"/>
      <c r="I1302" s="3">
        <f ca="1">IFERROR(_xludf.XLOOKUP("Seguro",PARAMETROS_IMPORTACION!$A:$A,PARAMETROS_IMPORTACION!$C:$C,0),0)</f>
        <v>0</v>
      </c>
      <c r="J1302" s="3">
        <f ca="1">IFERROR(_xludf.XLOOKUP("Arancel",PARAMETROS_IMPORTACION!$A:$A,PARAMETROS_IMPORTACION!$C:$C,0),0)</f>
        <v>0</v>
      </c>
      <c r="K1302" s="2">
        <f ca="1">IFERROR(_xludf.XLOOKUP("Gastos_Aduana",PARAMETROS_IMPORTACION!$A:$A,PARAMETROS_IMPORTACION!$C:$C,0),0)</f>
        <v>0</v>
      </c>
      <c r="L1302" s="2">
        <f t="shared" si="41"/>
        <v>0</v>
      </c>
    </row>
    <row r="1303" spans="5:12" x14ac:dyDescent="0.35">
      <c r="E1303" s="2"/>
      <c r="F1303" s="2">
        <f>_xlfn.XLOOKUP(D1303,TIPOS_CAMBIO!A:A,TIPOS_CAMBIO!B:B,"",0)</f>
        <v>0</v>
      </c>
      <c r="G1303" s="3">
        <f t="shared" si="40"/>
        <v>0</v>
      </c>
      <c r="H1303" s="3"/>
      <c r="I1303" s="3">
        <f ca="1">IFERROR(_xludf.XLOOKUP("Seguro",PARAMETROS_IMPORTACION!$A:$A,PARAMETROS_IMPORTACION!$C:$C,0),0)</f>
        <v>0</v>
      </c>
      <c r="J1303" s="3">
        <f ca="1">IFERROR(_xludf.XLOOKUP("Arancel",PARAMETROS_IMPORTACION!$A:$A,PARAMETROS_IMPORTACION!$C:$C,0),0)</f>
        <v>0</v>
      </c>
      <c r="K1303" s="2">
        <f ca="1">IFERROR(_xludf.XLOOKUP("Gastos_Aduana",PARAMETROS_IMPORTACION!$A:$A,PARAMETROS_IMPORTACION!$C:$C,0),0)</f>
        <v>0</v>
      </c>
      <c r="L1303" s="2">
        <f t="shared" si="41"/>
        <v>0</v>
      </c>
    </row>
    <row r="1304" spans="5:12" x14ac:dyDescent="0.35">
      <c r="E1304" s="2"/>
      <c r="F1304" s="2">
        <f>_xlfn.XLOOKUP(D1304,TIPOS_CAMBIO!A:A,TIPOS_CAMBIO!B:B,"",0)</f>
        <v>0</v>
      </c>
      <c r="G1304" s="3">
        <f t="shared" si="40"/>
        <v>0</v>
      </c>
      <c r="H1304" s="3"/>
      <c r="I1304" s="3">
        <f ca="1">IFERROR(_xludf.XLOOKUP("Seguro",PARAMETROS_IMPORTACION!$A:$A,PARAMETROS_IMPORTACION!$C:$C,0),0)</f>
        <v>0</v>
      </c>
      <c r="J1304" s="3">
        <f ca="1">IFERROR(_xludf.XLOOKUP("Arancel",PARAMETROS_IMPORTACION!$A:$A,PARAMETROS_IMPORTACION!$C:$C,0),0)</f>
        <v>0</v>
      </c>
      <c r="K1304" s="2">
        <f ca="1">IFERROR(_xludf.XLOOKUP("Gastos_Aduana",PARAMETROS_IMPORTACION!$A:$A,PARAMETROS_IMPORTACION!$C:$C,0),0)</f>
        <v>0</v>
      </c>
      <c r="L1304" s="2">
        <f t="shared" si="41"/>
        <v>0</v>
      </c>
    </row>
    <row r="1305" spans="5:12" x14ac:dyDescent="0.35">
      <c r="E1305" s="2"/>
      <c r="F1305" s="2">
        <f>_xlfn.XLOOKUP(D1305,TIPOS_CAMBIO!A:A,TIPOS_CAMBIO!B:B,"",0)</f>
        <v>0</v>
      </c>
      <c r="G1305" s="3">
        <f t="shared" si="40"/>
        <v>0</v>
      </c>
      <c r="H1305" s="3"/>
      <c r="I1305" s="3">
        <f ca="1">IFERROR(_xludf.XLOOKUP("Seguro",PARAMETROS_IMPORTACION!$A:$A,PARAMETROS_IMPORTACION!$C:$C,0),0)</f>
        <v>0</v>
      </c>
      <c r="J1305" s="3">
        <f ca="1">IFERROR(_xludf.XLOOKUP("Arancel",PARAMETROS_IMPORTACION!$A:$A,PARAMETROS_IMPORTACION!$C:$C,0),0)</f>
        <v>0</v>
      </c>
      <c r="K1305" s="2">
        <f ca="1">IFERROR(_xludf.XLOOKUP("Gastos_Aduana",PARAMETROS_IMPORTACION!$A:$A,PARAMETROS_IMPORTACION!$C:$C,0),0)</f>
        <v>0</v>
      </c>
      <c r="L1305" s="2">
        <f t="shared" si="41"/>
        <v>0</v>
      </c>
    </row>
    <row r="1306" spans="5:12" x14ac:dyDescent="0.35">
      <c r="E1306" s="2"/>
      <c r="F1306" s="2">
        <f>_xlfn.XLOOKUP(D1306,TIPOS_CAMBIO!A:A,TIPOS_CAMBIO!B:B,"",0)</f>
        <v>0</v>
      </c>
      <c r="G1306" s="3">
        <f t="shared" si="40"/>
        <v>0</v>
      </c>
      <c r="H1306" s="3"/>
      <c r="I1306" s="3">
        <f ca="1">IFERROR(_xludf.XLOOKUP("Seguro",PARAMETROS_IMPORTACION!$A:$A,PARAMETROS_IMPORTACION!$C:$C,0),0)</f>
        <v>0</v>
      </c>
      <c r="J1306" s="3">
        <f ca="1">IFERROR(_xludf.XLOOKUP("Arancel",PARAMETROS_IMPORTACION!$A:$A,PARAMETROS_IMPORTACION!$C:$C,0),0)</f>
        <v>0</v>
      </c>
      <c r="K1306" s="2">
        <f ca="1">IFERROR(_xludf.XLOOKUP("Gastos_Aduana",PARAMETROS_IMPORTACION!$A:$A,PARAMETROS_IMPORTACION!$C:$C,0),0)</f>
        <v>0</v>
      </c>
      <c r="L1306" s="2">
        <f t="shared" si="41"/>
        <v>0</v>
      </c>
    </row>
    <row r="1307" spans="5:12" x14ac:dyDescent="0.35">
      <c r="E1307" s="2"/>
      <c r="F1307" s="2">
        <f>_xlfn.XLOOKUP(D1307,TIPOS_CAMBIO!A:A,TIPOS_CAMBIO!B:B,"",0)</f>
        <v>0</v>
      </c>
      <c r="G1307" s="3">
        <f t="shared" si="40"/>
        <v>0</v>
      </c>
      <c r="H1307" s="3"/>
      <c r="I1307" s="3">
        <f ca="1">IFERROR(_xludf.XLOOKUP("Seguro",PARAMETROS_IMPORTACION!$A:$A,PARAMETROS_IMPORTACION!$C:$C,0),0)</f>
        <v>0</v>
      </c>
      <c r="J1307" s="3">
        <f ca="1">IFERROR(_xludf.XLOOKUP("Arancel",PARAMETROS_IMPORTACION!$A:$A,PARAMETROS_IMPORTACION!$C:$C,0),0)</f>
        <v>0</v>
      </c>
      <c r="K1307" s="2">
        <f ca="1">IFERROR(_xludf.XLOOKUP("Gastos_Aduana",PARAMETROS_IMPORTACION!$A:$A,PARAMETROS_IMPORTACION!$C:$C,0),0)</f>
        <v>0</v>
      </c>
      <c r="L1307" s="2">
        <f t="shared" si="41"/>
        <v>0</v>
      </c>
    </row>
    <row r="1308" spans="5:12" x14ac:dyDescent="0.35">
      <c r="E1308" s="2"/>
      <c r="F1308" s="2">
        <f>_xlfn.XLOOKUP(D1308,TIPOS_CAMBIO!A:A,TIPOS_CAMBIO!B:B,"",0)</f>
        <v>0</v>
      </c>
      <c r="G1308" s="3">
        <f t="shared" si="40"/>
        <v>0</v>
      </c>
      <c r="H1308" s="3"/>
      <c r="I1308" s="3">
        <f ca="1">IFERROR(_xludf.XLOOKUP("Seguro",PARAMETROS_IMPORTACION!$A:$A,PARAMETROS_IMPORTACION!$C:$C,0),0)</f>
        <v>0</v>
      </c>
      <c r="J1308" s="3">
        <f ca="1">IFERROR(_xludf.XLOOKUP("Arancel",PARAMETROS_IMPORTACION!$A:$A,PARAMETROS_IMPORTACION!$C:$C,0),0)</f>
        <v>0</v>
      </c>
      <c r="K1308" s="2">
        <f ca="1">IFERROR(_xludf.XLOOKUP("Gastos_Aduana",PARAMETROS_IMPORTACION!$A:$A,PARAMETROS_IMPORTACION!$C:$C,0),0)</f>
        <v>0</v>
      </c>
      <c r="L1308" s="2">
        <f t="shared" si="41"/>
        <v>0</v>
      </c>
    </row>
    <row r="1309" spans="5:12" x14ac:dyDescent="0.35">
      <c r="E1309" s="2"/>
      <c r="F1309" s="2">
        <f>_xlfn.XLOOKUP(D1309,TIPOS_CAMBIO!A:A,TIPOS_CAMBIO!B:B,"",0)</f>
        <v>0</v>
      </c>
      <c r="G1309" s="3">
        <f t="shared" si="40"/>
        <v>0</v>
      </c>
      <c r="H1309" s="3"/>
      <c r="I1309" s="3">
        <f ca="1">IFERROR(_xludf.XLOOKUP("Seguro",PARAMETROS_IMPORTACION!$A:$A,PARAMETROS_IMPORTACION!$C:$C,0),0)</f>
        <v>0</v>
      </c>
      <c r="J1309" s="3">
        <f ca="1">IFERROR(_xludf.XLOOKUP("Arancel",PARAMETROS_IMPORTACION!$A:$A,PARAMETROS_IMPORTACION!$C:$C,0),0)</f>
        <v>0</v>
      </c>
      <c r="K1309" s="2">
        <f ca="1">IFERROR(_xludf.XLOOKUP("Gastos_Aduana",PARAMETROS_IMPORTACION!$A:$A,PARAMETROS_IMPORTACION!$C:$C,0),0)</f>
        <v>0</v>
      </c>
      <c r="L1309" s="2">
        <f t="shared" si="41"/>
        <v>0</v>
      </c>
    </row>
    <row r="1310" spans="5:12" x14ac:dyDescent="0.35">
      <c r="E1310" s="2"/>
      <c r="F1310" s="2">
        <f>_xlfn.XLOOKUP(D1310,TIPOS_CAMBIO!A:A,TIPOS_CAMBIO!B:B,"",0)</f>
        <v>0</v>
      </c>
      <c r="G1310" s="3">
        <f t="shared" si="40"/>
        <v>0</v>
      </c>
      <c r="H1310" s="3"/>
      <c r="I1310" s="3">
        <f ca="1">IFERROR(_xludf.XLOOKUP("Seguro",PARAMETROS_IMPORTACION!$A:$A,PARAMETROS_IMPORTACION!$C:$C,0),0)</f>
        <v>0</v>
      </c>
      <c r="J1310" s="3">
        <f ca="1">IFERROR(_xludf.XLOOKUP("Arancel",PARAMETROS_IMPORTACION!$A:$A,PARAMETROS_IMPORTACION!$C:$C,0),0)</f>
        <v>0</v>
      </c>
      <c r="K1310" s="2">
        <f ca="1">IFERROR(_xludf.XLOOKUP("Gastos_Aduana",PARAMETROS_IMPORTACION!$A:$A,PARAMETROS_IMPORTACION!$C:$C,0),0)</f>
        <v>0</v>
      </c>
      <c r="L1310" s="2">
        <f t="shared" si="41"/>
        <v>0</v>
      </c>
    </row>
    <row r="1311" spans="5:12" x14ac:dyDescent="0.35">
      <c r="E1311" s="2"/>
      <c r="F1311" s="2">
        <f>_xlfn.XLOOKUP(D1311,TIPOS_CAMBIO!A:A,TIPOS_CAMBIO!B:B,"",0)</f>
        <v>0</v>
      </c>
      <c r="G1311" s="3">
        <f t="shared" si="40"/>
        <v>0</v>
      </c>
      <c r="H1311" s="3"/>
      <c r="I1311" s="3">
        <f ca="1">IFERROR(_xludf.XLOOKUP("Seguro",PARAMETROS_IMPORTACION!$A:$A,PARAMETROS_IMPORTACION!$C:$C,0),0)</f>
        <v>0</v>
      </c>
      <c r="J1311" s="3">
        <f ca="1">IFERROR(_xludf.XLOOKUP("Arancel",PARAMETROS_IMPORTACION!$A:$A,PARAMETROS_IMPORTACION!$C:$C,0),0)</f>
        <v>0</v>
      </c>
      <c r="K1311" s="2">
        <f ca="1">IFERROR(_xludf.XLOOKUP("Gastos_Aduana",PARAMETROS_IMPORTACION!$A:$A,PARAMETROS_IMPORTACION!$C:$C,0),0)</f>
        <v>0</v>
      </c>
      <c r="L1311" s="2">
        <f t="shared" si="41"/>
        <v>0</v>
      </c>
    </row>
    <row r="1312" spans="5:12" x14ac:dyDescent="0.35">
      <c r="E1312" s="2"/>
      <c r="F1312" s="2">
        <f>_xlfn.XLOOKUP(D1312,TIPOS_CAMBIO!A:A,TIPOS_CAMBIO!B:B,"",0)</f>
        <v>0</v>
      </c>
      <c r="G1312" s="3">
        <f t="shared" si="40"/>
        <v>0</v>
      </c>
      <c r="H1312" s="3"/>
      <c r="I1312" s="3">
        <f ca="1">IFERROR(_xludf.XLOOKUP("Seguro",PARAMETROS_IMPORTACION!$A:$A,PARAMETROS_IMPORTACION!$C:$C,0),0)</f>
        <v>0</v>
      </c>
      <c r="J1312" s="3">
        <f ca="1">IFERROR(_xludf.XLOOKUP("Arancel",PARAMETROS_IMPORTACION!$A:$A,PARAMETROS_IMPORTACION!$C:$C,0),0)</f>
        <v>0</v>
      </c>
      <c r="K1312" s="2">
        <f ca="1">IFERROR(_xludf.XLOOKUP("Gastos_Aduana",PARAMETROS_IMPORTACION!$A:$A,PARAMETROS_IMPORTACION!$C:$C,0),0)</f>
        <v>0</v>
      </c>
      <c r="L1312" s="2">
        <f t="shared" si="41"/>
        <v>0</v>
      </c>
    </row>
    <row r="1313" spans="5:12" x14ac:dyDescent="0.35">
      <c r="E1313" s="2"/>
      <c r="F1313" s="2">
        <f>_xlfn.XLOOKUP(D1313,TIPOS_CAMBIO!A:A,TIPOS_CAMBIO!B:B,"",0)</f>
        <v>0</v>
      </c>
      <c r="G1313" s="3">
        <f t="shared" si="40"/>
        <v>0</v>
      </c>
      <c r="H1313" s="3"/>
      <c r="I1313" s="3">
        <f ca="1">IFERROR(_xludf.XLOOKUP("Seguro",PARAMETROS_IMPORTACION!$A:$A,PARAMETROS_IMPORTACION!$C:$C,0),0)</f>
        <v>0</v>
      </c>
      <c r="J1313" s="3">
        <f ca="1">IFERROR(_xludf.XLOOKUP("Arancel",PARAMETROS_IMPORTACION!$A:$A,PARAMETROS_IMPORTACION!$C:$C,0),0)</f>
        <v>0</v>
      </c>
      <c r="K1313" s="2">
        <f ca="1">IFERROR(_xludf.XLOOKUP("Gastos_Aduana",PARAMETROS_IMPORTACION!$A:$A,PARAMETROS_IMPORTACION!$C:$C,0),0)</f>
        <v>0</v>
      </c>
      <c r="L1313" s="2">
        <f t="shared" si="41"/>
        <v>0</v>
      </c>
    </row>
    <row r="1314" spans="5:12" x14ac:dyDescent="0.35">
      <c r="E1314" s="2"/>
      <c r="F1314" s="2">
        <f>_xlfn.XLOOKUP(D1314,TIPOS_CAMBIO!A:A,TIPOS_CAMBIO!B:B,"",0)</f>
        <v>0</v>
      </c>
      <c r="G1314" s="3">
        <f t="shared" si="40"/>
        <v>0</v>
      </c>
      <c r="H1314" s="3"/>
      <c r="I1314" s="3">
        <f ca="1">IFERROR(_xludf.XLOOKUP("Seguro",PARAMETROS_IMPORTACION!$A:$A,PARAMETROS_IMPORTACION!$C:$C,0),0)</f>
        <v>0</v>
      </c>
      <c r="J1314" s="3">
        <f ca="1">IFERROR(_xludf.XLOOKUP("Arancel",PARAMETROS_IMPORTACION!$A:$A,PARAMETROS_IMPORTACION!$C:$C,0),0)</f>
        <v>0</v>
      </c>
      <c r="K1314" s="2">
        <f ca="1">IFERROR(_xludf.XLOOKUP("Gastos_Aduana",PARAMETROS_IMPORTACION!$A:$A,PARAMETROS_IMPORTACION!$C:$C,0),0)</f>
        <v>0</v>
      </c>
      <c r="L1314" s="2">
        <f t="shared" si="41"/>
        <v>0</v>
      </c>
    </row>
    <row r="1315" spans="5:12" x14ac:dyDescent="0.35">
      <c r="E1315" s="2"/>
      <c r="F1315" s="2">
        <f>_xlfn.XLOOKUP(D1315,TIPOS_CAMBIO!A:A,TIPOS_CAMBIO!B:B,"",0)</f>
        <v>0</v>
      </c>
      <c r="G1315" s="3">
        <f t="shared" si="40"/>
        <v>0</v>
      </c>
      <c r="H1315" s="3"/>
      <c r="I1315" s="3">
        <f ca="1">IFERROR(_xludf.XLOOKUP("Seguro",PARAMETROS_IMPORTACION!$A:$A,PARAMETROS_IMPORTACION!$C:$C,0),0)</f>
        <v>0</v>
      </c>
      <c r="J1315" s="3">
        <f ca="1">IFERROR(_xludf.XLOOKUP("Arancel",PARAMETROS_IMPORTACION!$A:$A,PARAMETROS_IMPORTACION!$C:$C,0),0)</f>
        <v>0</v>
      </c>
      <c r="K1315" s="2">
        <f ca="1">IFERROR(_xludf.XLOOKUP("Gastos_Aduana",PARAMETROS_IMPORTACION!$A:$A,PARAMETROS_IMPORTACION!$C:$C,0),0)</f>
        <v>0</v>
      </c>
      <c r="L1315" s="2">
        <f t="shared" si="41"/>
        <v>0</v>
      </c>
    </row>
    <row r="1316" spans="5:12" x14ac:dyDescent="0.35">
      <c r="E1316" s="2"/>
      <c r="F1316" s="2">
        <f>_xlfn.XLOOKUP(D1316,TIPOS_CAMBIO!A:A,TIPOS_CAMBIO!B:B,"",0)</f>
        <v>0</v>
      </c>
      <c r="G1316" s="3">
        <f t="shared" si="40"/>
        <v>0</v>
      </c>
      <c r="H1316" s="3"/>
      <c r="I1316" s="3">
        <f ca="1">IFERROR(_xludf.XLOOKUP("Seguro",PARAMETROS_IMPORTACION!$A:$A,PARAMETROS_IMPORTACION!$C:$C,0),0)</f>
        <v>0</v>
      </c>
      <c r="J1316" s="3">
        <f ca="1">IFERROR(_xludf.XLOOKUP("Arancel",PARAMETROS_IMPORTACION!$A:$A,PARAMETROS_IMPORTACION!$C:$C,0),0)</f>
        <v>0</v>
      </c>
      <c r="K1316" s="2">
        <f ca="1">IFERROR(_xludf.XLOOKUP("Gastos_Aduana",PARAMETROS_IMPORTACION!$A:$A,PARAMETROS_IMPORTACION!$C:$C,0),0)</f>
        <v>0</v>
      </c>
      <c r="L1316" s="2">
        <f t="shared" si="41"/>
        <v>0</v>
      </c>
    </row>
    <row r="1317" spans="5:12" x14ac:dyDescent="0.35">
      <c r="E1317" s="2"/>
      <c r="F1317" s="2">
        <f>_xlfn.XLOOKUP(D1317,TIPOS_CAMBIO!A:A,TIPOS_CAMBIO!B:B,"",0)</f>
        <v>0</v>
      </c>
      <c r="G1317" s="3">
        <f t="shared" si="40"/>
        <v>0</v>
      </c>
      <c r="H1317" s="3"/>
      <c r="I1317" s="3">
        <f ca="1">IFERROR(_xludf.XLOOKUP("Seguro",PARAMETROS_IMPORTACION!$A:$A,PARAMETROS_IMPORTACION!$C:$C,0),0)</f>
        <v>0</v>
      </c>
      <c r="J1317" s="3">
        <f ca="1">IFERROR(_xludf.XLOOKUP("Arancel",PARAMETROS_IMPORTACION!$A:$A,PARAMETROS_IMPORTACION!$C:$C,0),0)</f>
        <v>0</v>
      </c>
      <c r="K1317" s="2">
        <f ca="1">IFERROR(_xludf.XLOOKUP("Gastos_Aduana",PARAMETROS_IMPORTACION!$A:$A,PARAMETROS_IMPORTACION!$C:$C,0),0)</f>
        <v>0</v>
      </c>
      <c r="L1317" s="2">
        <f t="shared" si="41"/>
        <v>0</v>
      </c>
    </row>
    <row r="1318" spans="5:12" x14ac:dyDescent="0.35">
      <c r="E1318" s="2"/>
      <c r="F1318" s="2">
        <f>_xlfn.XLOOKUP(D1318,TIPOS_CAMBIO!A:A,TIPOS_CAMBIO!B:B,"",0)</f>
        <v>0</v>
      </c>
      <c r="G1318" s="3">
        <f t="shared" si="40"/>
        <v>0</v>
      </c>
      <c r="H1318" s="3"/>
      <c r="I1318" s="3">
        <f ca="1">IFERROR(_xludf.XLOOKUP("Seguro",PARAMETROS_IMPORTACION!$A:$A,PARAMETROS_IMPORTACION!$C:$C,0),0)</f>
        <v>0</v>
      </c>
      <c r="J1318" s="3">
        <f ca="1">IFERROR(_xludf.XLOOKUP("Arancel",PARAMETROS_IMPORTACION!$A:$A,PARAMETROS_IMPORTACION!$C:$C,0),0)</f>
        <v>0</v>
      </c>
      <c r="K1318" s="2">
        <f ca="1">IFERROR(_xludf.XLOOKUP("Gastos_Aduana",PARAMETROS_IMPORTACION!$A:$A,PARAMETROS_IMPORTACION!$C:$C,0),0)</f>
        <v>0</v>
      </c>
      <c r="L1318" s="2">
        <f t="shared" si="41"/>
        <v>0</v>
      </c>
    </row>
    <row r="1319" spans="5:12" x14ac:dyDescent="0.35">
      <c r="E1319" s="2"/>
      <c r="F1319" s="2">
        <f>_xlfn.XLOOKUP(D1319,TIPOS_CAMBIO!A:A,TIPOS_CAMBIO!B:B,"",0)</f>
        <v>0</v>
      </c>
      <c r="G1319" s="3">
        <f t="shared" si="40"/>
        <v>0</v>
      </c>
      <c r="H1319" s="3"/>
      <c r="I1319" s="3">
        <f ca="1">IFERROR(_xludf.XLOOKUP("Seguro",PARAMETROS_IMPORTACION!$A:$A,PARAMETROS_IMPORTACION!$C:$C,0),0)</f>
        <v>0</v>
      </c>
      <c r="J1319" s="3">
        <f ca="1">IFERROR(_xludf.XLOOKUP("Arancel",PARAMETROS_IMPORTACION!$A:$A,PARAMETROS_IMPORTACION!$C:$C,0),0)</f>
        <v>0</v>
      </c>
      <c r="K1319" s="2">
        <f ca="1">IFERROR(_xludf.XLOOKUP("Gastos_Aduana",PARAMETROS_IMPORTACION!$A:$A,PARAMETROS_IMPORTACION!$C:$C,0),0)</f>
        <v>0</v>
      </c>
      <c r="L1319" s="2">
        <f t="shared" si="41"/>
        <v>0</v>
      </c>
    </row>
    <row r="1320" spans="5:12" x14ac:dyDescent="0.35">
      <c r="E1320" s="2"/>
      <c r="F1320" s="2">
        <f>_xlfn.XLOOKUP(D1320,TIPOS_CAMBIO!A:A,TIPOS_CAMBIO!B:B,"",0)</f>
        <v>0</v>
      </c>
      <c r="G1320" s="3">
        <f t="shared" si="40"/>
        <v>0</v>
      </c>
      <c r="H1320" s="3"/>
      <c r="I1320" s="3">
        <f ca="1">IFERROR(_xludf.XLOOKUP("Seguro",PARAMETROS_IMPORTACION!$A:$A,PARAMETROS_IMPORTACION!$C:$C,0),0)</f>
        <v>0</v>
      </c>
      <c r="J1320" s="3">
        <f ca="1">IFERROR(_xludf.XLOOKUP("Arancel",PARAMETROS_IMPORTACION!$A:$A,PARAMETROS_IMPORTACION!$C:$C,0),0)</f>
        <v>0</v>
      </c>
      <c r="K1320" s="2">
        <f ca="1">IFERROR(_xludf.XLOOKUP("Gastos_Aduana",PARAMETROS_IMPORTACION!$A:$A,PARAMETROS_IMPORTACION!$C:$C,0),0)</f>
        <v>0</v>
      </c>
      <c r="L1320" s="2">
        <f t="shared" si="41"/>
        <v>0</v>
      </c>
    </row>
    <row r="1321" spans="5:12" x14ac:dyDescent="0.35">
      <c r="E1321" s="2"/>
      <c r="F1321" s="2">
        <f>_xlfn.XLOOKUP(D1321,TIPOS_CAMBIO!A:A,TIPOS_CAMBIO!B:B,"",0)</f>
        <v>0</v>
      </c>
      <c r="G1321" s="3">
        <f t="shared" si="40"/>
        <v>0</v>
      </c>
      <c r="H1321" s="3"/>
      <c r="I1321" s="3">
        <f ca="1">IFERROR(_xludf.XLOOKUP("Seguro",PARAMETROS_IMPORTACION!$A:$A,PARAMETROS_IMPORTACION!$C:$C,0),0)</f>
        <v>0</v>
      </c>
      <c r="J1321" s="3">
        <f ca="1">IFERROR(_xludf.XLOOKUP("Arancel",PARAMETROS_IMPORTACION!$A:$A,PARAMETROS_IMPORTACION!$C:$C,0),0)</f>
        <v>0</v>
      </c>
      <c r="K1321" s="2">
        <f ca="1">IFERROR(_xludf.XLOOKUP("Gastos_Aduana",PARAMETROS_IMPORTACION!$A:$A,PARAMETROS_IMPORTACION!$C:$C,0),0)</f>
        <v>0</v>
      </c>
      <c r="L1321" s="2">
        <f t="shared" si="41"/>
        <v>0</v>
      </c>
    </row>
    <row r="1322" spans="5:12" x14ac:dyDescent="0.35">
      <c r="E1322" s="2"/>
      <c r="F1322" s="2">
        <f>_xlfn.XLOOKUP(D1322,TIPOS_CAMBIO!A:A,TIPOS_CAMBIO!B:B,"",0)</f>
        <v>0</v>
      </c>
      <c r="G1322" s="3">
        <f t="shared" si="40"/>
        <v>0</v>
      </c>
      <c r="H1322" s="3"/>
      <c r="I1322" s="3">
        <f ca="1">IFERROR(_xludf.XLOOKUP("Seguro",PARAMETROS_IMPORTACION!$A:$A,PARAMETROS_IMPORTACION!$C:$C,0),0)</f>
        <v>0</v>
      </c>
      <c r="J1322" s="3">
        <f ca="1">IFERROR(_xludf.XLOOKUP("Arancel",PARAMETROS_IMPORTACION!$A:$A,PARAMETROS_IMPORTACION!$C:$C,0),0)</f>
        <v>0</v>
      </c>
      <c r="K1322" s="2">
        <f ca="1">IFERROR(_xludf.XLOOKUP("Gastos_Aduana",PARAMETROS_IMPORTACION!$A:$A,PARAMETROS_IMPORTACION!$C:$C,0),0)</f>
        <v>0</v>
      </c>
      <c r="L1322" s="2">
        <f t="shared" si="41"/>
        <v>0</v>
      </c>
    </row>
    <row r="1323" spans="5:12" x14ac:dyDescent="0.35">
      <c r="E1323" s="2"/>
      <c r="F1323" s="2">
        <f>_xlfn.XLOOKUP(D1323,TIPOS_CAMBIO!A:A,TIPOS_CAMBIO!B:B,"",0)</f>
        <v>0</v>
      </c>
      <c r="G1323" s="3">
        <f t="shared" si="40"/>
        <v>0</v>
      </c>
      <c r="H1323" s="3"/>
      <c r="I1323" s="3">
        <f ca="1">IFERROR(_xludf.XLOOKUP("Seguro",PARAMETROS_IMPORTACION!$A:$A,PARAMETROS_IMPORTACION!$C:$C,0),0)</f>
        <v>0</v>
      </c>
      <c r="J1323" s="3">
        <f ca="1">IFERROR(_xludf.XLOOKUP("Arancel",PARAMETROS_IMPORTACION!$A:$A,PARAMETROS_IMPORTACION!$C:$C,0),0)</f>
        <v>0</v>
      </c>
      <c r="K1323" s="2">
        <f ca="1">IFERROR(_xludf.XLOOKUP("Gastos_Aduana",PARAMETROS_IMPORTACION!$A:$A,PARAMETROS_IMPORTACION!$C:$C,0),0)</f>
        <v>0</v>
      </c>
      <c r="L1323" s="2">
        <f t="shared" si="41"/>
        <v>0</v>
      </c>
    </row>
    <row r="1324" spans="5:12" x14ac:dyDescent="0.35">
      <c r="E1324" s="2"/>
      <c r="F1324" s="2">
        <f>_xlfn.XLOOKUP(D1324,TIPOS_CAMBIO!A:A,TIPOS_CAMBIO!B:B,"",0)</f>
        <v>0</v>
      </c>
      <c r="G1324" s="3">
        <f t="shared" si="40"/>
        <v>0</v>
      </c>
      <c r="H1324" s="3"/>
      <c r="I1324" s="3">
        <f ca="1">IFERROR(_xludf.XLOOKUP("Seguro",PARAMETROS_IMPORTACION!$A:$A,PARAMETROS_IMPORTACION!$C:$C,0),0)</f>
        <v>0</v>
      </c>
      <c r="J1324" s="3">
        <f ca="1">IFERROR(_xludf.XLOOKUP("Arancel",PARAMETROS_IMPORTACION!$A:$A,PARAMETROS_IMPORTACION!$C:$C,0),0)</f>
        <v>0</v>
      </c>
      <c r="K1324" s="2">
        <f ca="1">IFERROR(_xludf.XLOOKUP("Gastos_Aduana",PARAMETROS_IMPORTACION!$A:$A,PARAMETROS_IMPORTACION!$C:$C,0),0)</f>
        <v>0</v>
      </c>
      <c r="L1324" s="2">
        <f t="shared" si="41"/>
        <v>0</v>
      </c>
    </row>
    <row r="1325" spans="5:12" x14ac:dyDescent="0.35">
      <c r="E1325" s="2"/>
      <c r="F1325" s="2">
        <f>_xlfn.XLOOKUP(D1325,TIPOS_CAMBIO!A:A,TIPOS_CAMBIO!B:B,"",0)</f>
        <v>0</v>
      </c>
      <c r="G1325" s="3">
        <f t="shared" si="40"/>
        <v>0</v>
      </c>
      <c r="H1325" s="3"/>
      <c r="I1325" s="3">
        <f ca="1">IFERROR(_xludf.XLOOKUP("Seguro",PARAMETROS_IMPORTACION!$A:$A,PARAMETROS_IMPORTACION!$C:$C,0),0)</f>
        <v>0</v>
      </c>
      <c r="J1325" s="3">
        <f ca="1">IFERROR(_xludf.XLOOKUP("Arancel",PARAMETROS_IMPORTACION!$A:$A,PARAMETROS_IMPORTACION!$C:$C,0),0)</f>
        <v>0</v>
      </c>
      <c r="K1325" s="2">
        <f ca="1">IFERROR(_xludf.XLOOKUP("Gastos_Aduana",PARAMETROS_IMPORTACION!$A:$A,PARAMETROS_IMPORTACION!$C:$C,0),0)</f>
        <v>0</v>
      </c>
      <c r="L1325" s="2">
        <f t="shared" si="41"/>
        <v>0</v>
      </c>
    </row>
    <row r="1326" spans="5:12" x14ac:dyDescent="0.35">
      <c r="E1326" s="2"/>
      <c r="F1326" s="2">
        <f>_xlfn.XLOOKUP(D1326,TIPOS_CAMBIO!A:A,TIPOS_CAMBIO!B:B,"",0)</f>
        <v>0</v>
      </c>
      <c r="G1326" s="3">
        <f t="shared" si="40"/>
        <v>0</v>
      </c>
      <c r="H1326" s="3"/>
      <c r="I1326" s="3">
        <f ca="1">IFERROR(_xludf.XLOOKUP("Seguro",PARAMETROS_IMPORTACION!$A:$A,PARAMETROS_IMPORTACION!$C:$C,0),0)</f>
        <v>0</v>
      </c>
      <c r="J1326" s="3">
        <f ca="1">IFERROR(_xludf.XLOOKUP("Arancel",PARAMETROS_IMPORTACION!$A:$A,PARAMETROS_IMPORTACION!$C:$C,0),0)</f>
        <v>0</v>
      </c>
      <c r="K1326" s="2">
        <f ca="1">IFERROR(_xludf.XLOOKUP("Gastos_Aduana",PARAMETROS_IMPORTACION!$A:$A,PARAMETROS_IMPORTACION!$C:$C,0),0)</f>
        <v>0</v>
      </c>
      <c r="L1326" s="2">
        <f t="shared" si="41"/>
        <v>0</v>
      </c>
    </row>
    <row r="1327" spans="5:12" x14ac:dyDescent="0.35">
      <c r="E1327" s="2"/>
      <c r="F1327" s="2">
        <f>_xlfn.XLOOKUP(D1327,TIPOS_CAMBIO!A:A,TIPOS_CAMBIO!B:B,"",0)</f>
        <v>0</v>
      </c>
      <c r="G1327" s="3">
        <f t="shared" si="40"/>
        <v>0</v>
      </c>
      <c r="H1327" s="3"/>
      <c r="I1327" s="3">
        <f ca="1">IFERROR(_xludf.XLOOKUP("Seguro",PARAMETROS_IMPORTACION!$A:$A,PARAMETROS_IMPORTACION!$C:$C,0),0)</f>
        <v>0</v>
      </c>
      <c r="J1327" s="3">
        <f ca="1">IFERROR(_xludf.XLOOKUP("Arancel",PARAMETROS_IMPORTACION!$A:$A,PARAMETROS_IMPORTACION!$C:$C,0),0)</f>
        <v>0</v>
      </c>
      <c r="K1327" s="2">
        <f ca="1">IFERROR(_xludf.XLOOKUP("Gastos_Aduana",PARAMETROS_IMPORTACION!$A:$A,PARAMETROS_IMPORTACION!$C:$C,0),0)</f>
        <v>0</v>
      </c>
      <c r="L1327" s="2">
        <f t="shared" si="41"/>
        <v>0</v>
      </c>
    </row>
    <row r="1328" spans="5:12" x14ac:dyDescent="0.35">
      <c r="E1328" s="2"/>
      <c r="F1328" s="2">
        <f>_xlfn.XLOOKUP(D1328,TIPOS_CAMBIO!A:A,TIPOS_CAMBIO!B:B,"",0)</f>
        <v>0</v>
      </c>
      <c r="G1328" s="3">
        <f t="shared" si="40"/>
        <v>0</v>
      </c>
      <c r="H1328" s="3"/>
      <c r="I1328" s="3">
        <f ca="1">IFERROR(_xludf.XLOOKUP("Seguro",PARAMETROS_IMPORTACION!$A:$A,PARAMETROS_IMPORTACION!$C:$C,0),0)</f>
        <v>0</v>
      </c>
      <c r="J1328" s="3">
        <f ca="1">IFERROR(_xludf.XLOOKUP("Arancel",PARAMETROS_IMPORTACION!$A:$A,PARAMETROS_IMPORTACION!$C:$C,0),0)</f>
        <v>0</v>
      </c>
      <c r="K1328" s="2">
        <f ca="1">IFERROR(_xludf.XLOOKUP("Gastos_Aduana",PARAMETROS_IMPORTACION!$A:$A,PARAMETROS_IMPORTACION!$C:$C,0),0)</f>
        <v>0</v>
      </c>
      <c r="L1328" s="2">
        <f t="shared" si="41"/>
        <v>0</v>
      </c>
    </row>
    <row r="1329" spans="5:12" x14ac:dyDescent="0.35">
      <c r="E1329" s="2"/>
      <c r="F1329" s="2">
        <f>_xlfn.XLOOKUP(D1329,TIPOS_CAMBIO!A:A,TIPOS_CAMBIO!B:B,"",0)</f>
        <v>0</v>
      </c>
      <c r="G1329" s="3">
        <f t="shared" si="40"/>
        <v>0</v>
      </c>
      <c r="H1329" s="3"/>
      <c r="I1329" s="3">
        <f ca="1">IFERROR(_xludf.XLOOKUP("Seguro",PARAMETROS_IMPORTACION!$A:$A,PARAMETROS_IMPORTACION!$C:$C,0),0)</f>
        <v>0</v>
      </c>
      <c r="J1329" s="3">
        <f ca="1">IFERROR(_xludf.XLOOKUP("Arancel",PARAMETROS_IMPORTACION!$A:$A,PARAMETROS_IMPORTACION!$C:$C,0),0)</f>
        <v>0</v>
      </c>
      <c r="K1329" s="2">
        <f ca="1">IFERROR(_xludf.XLOOKUP("Gastos_Aduana",PARAMETROS_IMPORTACION!$A:$A,PARAMETROS_IMPORTACION!$C:$C,0),0)</f>
        <v>0</v>
      </c>
      <c r="L1329" s="2">
        <f t="shared" si="41"/>
        <v>0</v>
      </c>
    </row>
    <row r="1330" spans="5:12" x14ac:dyDescent="0.35">
      <c r="E1330" s="2"/>
      <c r="F1330" s="2">
        <f>_xlfn.XLOOKUP(D1330,TIPOS_CAMBIO!A:A,TIPOS_CAMBIO!B:B,"",0)</f>
        <v>0</v>
      </c>
      <c r="G1330" s="3">
        <f t="shared" si="40"/>
        <v>0</v>
      </c>
      <c r="H1330" s="3"/>
      <c r="I1330" s="3">
        <f ca="1">IFERROR(_xludf.XLOOKUP("Seguro",PARAMETROS_IMPORTACION!$A:$A,PARAMETROS_IMPORTACION!$C:$C,0),0)</f>
        <v>0</v>
      </c>
      <c r="J1330" s="3">
        <f ca="1">IFERROR(_xludf.XLOOKUP("Arancel",PARAMETROS_IMPORTACION!$A:$A,PARAMETROS_IMPORTACION!$C:$C,0),0)</f>
        <v>0</v>
      </c>
      <c r="K1330" s="2">
        <f ca="1">IFERROR(_xludf.XLOOKUP("Gastos_Aduana",PARAMETROS_IMPORTACION!$A:$A,PARAMETROS_IMPORTACION!$C:$C,0),0)</f>
        <v>0</v>
      </c>
      <c r="L1330" s="2">
        <f t="shared" si="41"/>
        <v>0</v>
      </c>
    </row>
    <row r="1331" spans="5:12" x14ac:dyDescent="0.35">
      <c r="E1331" s="2"/>
      <c r="F1331" s="2">
        <f>_xlfn.XLOOKUP(D1331,TIPOS_CAMBIO!A:A,TIPOS_CAMBIO!B:B,"",0)</f>
        <v>0</v>
      </c>
      <c r="G1331" s="3">
        <f t="shared" si="40"/>
        <v>0</v>
      </c>
      <c r="H1331" s="3"/>
      <c r="I1331" s="3">
        <f ca="1">IFERROR(_xludf.XLOOKUP("Seguro",PARAMETROS_IMPORTACION!$A:$A,PARAMETROS_IMPORTACION!$C:$C,0),0)</f>
        <v>0</v>
      </c>
      <c r="J1331" s="3">
        <f ca="1">IFERROR(_xludf.XLOOKUP("Arancel",PARAMETROS_IMPORTACION!$A:$A,PARAMETROS_IMPORTACION!$C:$C,0),0)</f>
        <v>0</v>
      </c>
      <c r="K1331" s="2">
        <f ca="1">IFERROR(_xludf.XLOOKUP("Gastos_Aduana",PARAMETROS_IMPORTACION!$A:$A,PARAMETROS_IMPORTACION!$C:$C,0),0)</f>
        <v>0</v>
      </c>
      <c r="L1331" s="2">
        <f t="shared" si="41"/>
        <v>0</v>
      </c>
    </row>
    <row r="1332" spans="5:12" x14ac:dyDescent="0.35">
      <c r="E1332" s="2"/>
      <c r="F1332" s="2">
        <f>_xlfn.XLOOKUP(D1332,TIPOS_CAMBIO!A:A,TIPOS_CAMBIO!B:B,"",0)</f>
        <v>0</v>
      </c>
      <c r="G1332" s="3">
        <f t="shared" si="40"/>
        <v>0</v>
      </c>
      <c r="H1332" s="3"/>
      <c r="I1332" s="3">
        <f ca="1">IFERROR(_xludf.XLOOKUP("Seguro",PARAMETROS_IMPORTACION!$A:$A,PARAMETROS_IMPORTACION!$C:$C,0),0)</f>
        <v>0</v>
      </c>
      <c r="J1332" s="3">
        <f ca="1">IFERROR(_xludf.XLOOKUP("Arancel",PARAMETROS_IMPORTACION!$A:$A,PARAMETROS_IMPORTACION!$C:$C,0),0)</f>
        <v>0</v>
      </c>
      <c r="K1332" s="2">
        <f ca="1">IFERROR(_xludf.XLOOKUP("Gastos_Aduana",PARAMETROS_IMPORTACION!$A:$A,PARAMETROS_IMPORTACION!$C:$C,0),0)</f>
        <v>0</v>
      </c>
      <c r="L1332" s="2">
        <f t="shared" si="41"/>
        <v>0</v>
      </c>
    </row>
    <row r="1333" spans="5:12" x14ac:dyDescent="0.35">
      <c r="E1333" s="2"/>
      <c r="F1333" s="2">
        <f>_xlfn.XLOOKUP(D1333,TIPOS_CAMBIO!A:A,TIPOS_CAMBIO!B:B,"",0)</f>
        <v>0</v>
      </c>
      <c r="G1333" s="3">
        <f t="shared" si="40"/>
        <v>0</v>
      </c>
      <c r="H1333" s="3"/>
      <c r="I1333" s="3">
        <f ca="1">IFERROR(_xludf.XLOOKUP("Seguro",PARAMETROS_IMPORTACION!$A:$A,PARAMETROS_IMPORTACION!$C:$C,0),0)</f>
        <v>0</v>
      </c>
      <c r="J1333" s="3">
        <f ca="1">IFERROR(_xludf.XLOOKUP("Arancel",PARAMETROS_IMPORTACION!$A:$A,PARAMETROS_IMPORTACION!$C:$C,0),0)</f>
        <v>0</v>
      </c>
      <c r="K1333" s="2">
        <f ca="1">IFERROR(_xludf.XLOOKUP("Gastos_Aduana",PARAMETROS_IMPORTACION!$A:$A,PARAMETROS_IMPORTACION!$C:$C,0),0)</f>
        <v>0</v>
      </c>
      <c r="L1333" s="2">
        <f t="shared" si="41"/>
        <v>0</v>
      </c>
    </row>
    <row r="1334" spans="5:12" x14ac:dyDescent="0.35">
      <c r="E1334" s="2"/>
      <c r="F1334" s="2">
        <f>_xlfn.XLOOKUP(D1334,TIPOS_CAMBIO!A:A,TIPOS_CAMBIO!B:B,"",0)</f>
        <v>0</v>
      </c>
      <c r="G1334" s="3">
        <f t="shared" si="40"/>
        <v>0</v>
      </c>
      <c r="H1334" s="3"/>
      <c r="I1334" s="3">
        <f ca="1">IFERROR(_xludf.XLOOKUP("Seguro",PARAMETROS_IMPORTACION!$A:$A,PARAMETROS_IMPORTACION!$C:$C,0),0)</f>
        <v>0</v>
      </c>
      <c r="J1334" s="3">
        <f ca="1">IFERROR(_xludf.XLOOKUP("Arancel",PARAMETROS_IMPORTACION!$A:$A,PARAMETROS_IMPORTACION!$C:$C,0),0)</f>
        <v>0</v>
      </c>
      <c r="K1334" s="2">
        <f ca="1">IFERROR(_xludf.XLOOKUP("Gastos_Aduana",PARAMETROS_IMPORTACION!$A:$A,PARAMETROS_IMPORTACION!$C:$C,0),0)</f>
        <v>0</v>
      </c>
      <c r="L1334" s="2">
        <f t="shared" si="41"/>
        <v>0</v>
      </c>
    </row>
    <row r="1335" spans="5:12" x14ac:dyDescent="0.35">
      <c r="E1335" s="2"/>
      <c r="F1335" s="2">
        <f>_xlfn.XLOOKUP(D1335,TIPOS_CAMBIO!A:A,TIPOS_CAMBIO!B:B,"",0)</f>
        <v>0</v>
      </c>
      <c r="G1335" s="3">
        <f t="shared" si="40"/>
        <v>0</v>
      </c>
      <c r="H1335" s="3"/>
      <c r="I1335" s="3">
        <f ca="1">IFERROR(_xludf.XLOOKUP("Seguro",PARAMETROS_IMPORTACION!$A:$A,PARAMETROS_IMPORTACION!$C:$C,0),0)</f>
        <v>0</v>
      </c>
      <c r="J1335" s="3">
        <f ca="1">IFERROR(_xludf.XLOOKUP("Arancel",PARAMETROS_IMPORTACION!$A:$A,PARAMETROS_IMPORTACION!$C:$C,0),0)</f>
        <v>0</v>
      </c>
      <c r="K1335" s="2">
        <f ca="1">IFERROR(_xludf.XLOOKUP("Gastos_Aduana",PARAMETROS_IMPORTACION!$A:$A,PARAMETROS_IMPORTACION!$C:$C,0),0)</f>
        <v>0</v>
      </c>
      <c r="L1335" s="2">
        <f t="shared" si="41"/>
        <v>0</v>
      </c>
    </row>
    <row r="1336" spans="5:12" x14ac:dyDescent="0.35">
      <c r="E1336" s="2"/>
      <c r="F1336" s="2">
        <f>_xlfn.XLOOKUP(D1336,TIPOS_CAMBIO!A:A,TIPOS_CAMBIO!B:B,"",0)</f>
        <v>0</v>
      </c>
      <c r="G1336" s="3">
        <f t="shared" si="40"/>
        <v>0</v>
      </c>
      <c r="H1336" s="3"/>
      <c r="I1336" s="3">
        <f ca="1">IFERROR(_xludf.XLOOKUP("Seguro",PARAMETROS_IMPORTACION!$A:$A,PARAMETROS_IMPORTACION!$C:$C,0),0)</f>
        <v>0</v>
      </c>
      <c r="J1336" s="3">
        <f ca="1">IFERROR(_xludf.XLOOKUP("Arancel",PARAMETROS_IMPORTACION!$A:$A,PARAMETROS_IMPORTACION!$C:$C,0),0)</f>
        <v>0</v>
      </c>
      <c r="K1336" s="2">
        <f ca="1">IFERROR(_xludf.XLOOKUP("Gastos_Aduana",PARAMETROS_IMPORTACION!$A:$A,PARAMETROS_IMPORTACION!$C:$C,0),0)</f>
        <v>0</v>
      </c>
      <c r="L1336" s="2">
        <f t="shared" si="41"/>
        <v>0</v>
      </c>
    </row>
    <row r="1337" spans="5:12" x14ac:dyDescent="0.35">
      <c r="E1337" s="2"/>
      <c r="F1337" s="2">
        <f>_xlfn.XLOOKUP(D1337,TIPOS_CAMBIO!A:A,TIPOS_CAMBIO!B:B,"",0)</f>
        <v>0</v>
      </c>
      <c r="G1337" s="3">
        <f t="shared" si="40"/>
        <v>0</v>
      </c>
      <c r="H1337" s="3"/>
      <c r="I1337" s="3">
        <f ca="1">IFERROR(_xludf.XLOOKUP("Seguro",PARAMETROS_IMPORTACION!$A:$A,PARAMETROS_IMPORTACION!$C:$C,0),0)</f>
        <v>0</v>
      </c>
      <c r="J1337" s="3">
        <f ca="1">IFERROR(_xludf.XLOOKUP("Arancel",PARAMETROS_IMPORTACION!$A:$A,PARAMETROS_IMPORTACION!$C:$C,0),0)</f>
        <v>0</v>
      </c>
      <c r="K1337" s="2">
        <f ca="1">IFERROR(_xludf.XLOOKUP("Gastos_Aduana",PARAMETROS_IMPORTACION!$A:$A,PARAMETROS_IMPORTACION!$C:$C,0),0)</f>
        <v>0</v>
      </c>
      <c r="L1337" s="2">
        <f t="shared" si="41"/>
        <v>0</v>
      </c>
    </row>
    <row r="1338" spans="5:12" x14ac:dyDescent="0.35">
      <c r="E1338" s="2"/>
      <c r="F1338" s="2">
        <f>_xlfn.XLOOKUP(D1338,TIPOS_CAMBIO!A:A,TIPOS_CAMBIO!B:B,"",0)</f>
        <v>0</v>
      </c>
      <c r="G1338" s="3">
        <f t="shared" si="40"/>
        <v>0</v>
      </c>
      <c r="H1338" s="3"/>
      <c r="I1338" s="3">
        <f ca="1">IFERROR(_xludf.XLOOKUP("Seguro",PARAMETROS_IMPORTACION!$A:$A,PARAMETROS_IMPORTACION!$C:$C,0),0)</f>
        <v>0</v>
      </c>
      <c r="J1338" s="3">
        <f ca="1">IFERROR(_xludf.XLOOKUP("Arancel",PARAMETROS_IMPORTACION!$A:$A,PARAMETROS_IMPORTACION!$C:$C,0),0)</f>
        <v>0</v>
      </c>
      <c r="K1338" s="2">
        <f ca="1">IFERROR(_xludf.XLOOKUP("Gastos_Aduana",PARAMETROS_IMPORTACION!$A:$A,PARAMETROS_IMPORTACION!$C:$C,0),0)</f>
        <v>0</v>
      </c>
      <c r="L1338" s="2">
        <f t="shared" si="41"/>
        <v>0</v>
      </c>
    </row>
    <row r="1339" spans="5:12" x14ac:dyDescent="0.35">
      <c r="E1339" s="2"/>
      <c r="F1339" s="2">
        <f>_xlfn.XLOOKUP(D1339,TIPOS_CAMBIO!A:A,TIPOS_CAMBIO!B:B,"",0)</f>
        <v>0</v>
      </c>
      <c r="G1339" s="3">
        <f t="shared" si="40"/>
        <v>0</v>
      </c>
      <c r="H1339" s="3"/>
      <c r="I1339" s="3">
        <f ca="1">IFERROR(_xludf.XLOOKUP("Seguro",PARAMETROS_IMPORTACION!$A:$A,PARAMETROS_IMPORTACION!$C:$C,0),0)</f>
        <v>0</v>
      </c>
      <c r="J1339" s="3">
        <f ca="1">IFERROR(_xludf.XLOOKUP("Arancel",PARAMETROS_IMPORTACION!$A:$A,PARAMETROS_IMPORTACION!$C:$C,0),0)</f>
        <v>0</v>
      </c>
      <c r="K1339" s="2">
        <f ca="1">IFERROR(_xludf.XLOOKUP("Gastos_Aduana",PARAMETROS_IMPORTACION!$A:$A,PARAMETROS_IMPORTACION!$C:$C,0),0)</f>
        <v>0</v>
      </c>
      <c r="L1339" s="2">
        <f t="shared" si="41"/>
        <v>0</v>
      </c>
    </row>
    <row r="1340" spans="5:12" x14ac:dyDescent="0.35">
      <c r="E1340" s="2"/>
      <c r="F1340" s="2">
        <f>_xlfn.XLOOKUP(D1340,TIPOS_CAMBIO!A:A,TIPOS_CAMBIO!B:B,"",0)</f>
        <v>0</v>
      </c>
      <c r="G1340" s="3">
        <f t="shared" si="40"/>
        <v>0</v>
      </c>
      <c r="H1340" s="3"/>
      <c r="I1340" s="3">
        <f ca="1">IFERROR(_xludf.XLOOKUP("Seguro",PARAMETROS_IMPORTACION!$A:$A,PARAMETROS_IMPORTACION!$C:$C,0),0)</f>
        <v>0</v>
      </c>
      <c r="J1340" s="3">
        <f ca="1">IFERROR(_xludf.XLOOKUP("Arancel",PARAMETROS_IMPORTACION!$A:$A,PARAMETROS_IMPORTACION!$C:$C,0),0)</f>
        <v>0</v>
      </c>
      <c r="K1340" s="2">
        <f ca="1">IFERROR(_xludf.XLOOKUP("Gastos_Aduana",PARAMETROS_IMPORTACION!$A:$A,PARAMETROS_IMPORTACION!$C:$C,0),0)</f>
        <v>0</v>
      </c>
      <c r="L1340" s="2">
        <f t="shared" si="41"/>
        <v>0</v>
      </c>
    </row>
    <row r="1341" spans="5:12" x14ac:dyDescent="0.35">
      <c r="E1341" s="2"/>
      <c r="F1341" s="2">
        <f>_xlfn.XLOOKUP(D1341,TIPOS_CAMBIO!A:A,TIPOS_CAMBIO!B:B,"",0)</f>
        <v>0</v>
      </c>
      <c r="G1341" s="3">
        <f t="shared" si="40"/>
        <v>0</v>
      </c>
      <c r="H1341" s="3"/>
      <c r="I1341" s="3">
        <f ca="1">IFERROR(_xludf.XLOOKUP("Seguro",PARAMETROS_IMPORTACION!$A:$A,PARAMETROS_IMPORTACION!$C:$C,0),0)</f>
        <v>0</v>
      </c>
      <c r="J1341" s="3">
        <f ca="1">IFERROR(_xludf.XLOOKUP("Arancel",PARAMETROS_IMPORTACION!$A:$A,PARAMETROS_IMPORTACION!$C:$C,0),0)</f>
        <v>0</v>
      </c>
      <c r="K1341" s="2">
        <f ca="1">IFERROR(_xludf.XLOOKUP("Gastos_Aduana",PARAMETROS_IMPORTACION!$A:$A,PARAMETROS_IMPORTACION!$C:$C,0),0)</f>
        <v>0</v>
      </c>
      <c r="L1341" s="2">
        <f t="shared" si="41"/>
        <v>0</v>
      </c>
    </row>
    <row r="1342" spans="5:12" x14ac:dyDescent="0.35">
      <c r="E1342" s="2"/>
      <c r="F1342" s="2">
        <f>_xlfn.XLOOKUP(D1342,TIPOS_CAMBIO!A:A,TIPOS_CAMBIO!B:B,"",0)</f>
        <v>0</v>
      </c>
      <c r="G1342" s="3">
        <f t="shared" si="40"/>
        <v>0</v>
      </c>
      <c r="H1342" s="3"/>
      <c r="I1342" s="3">
        <f ca="1">IFERROR(_xludf.XLOOKUP("Seguro",PARAMETROS_IMPORTACION!$A:$A,PARAMETROS_IMPORTACION!$C:$C,0),0)</f>
        <v>0</v>
      </c>
      <c r="J1342" s="3">
        <f ca="1">IFERROR(_xludf.XLOOKUP("Arancel",PARAMETROS_IMPORTACION!$A:$A,PARAMETROS_IMPORTACION!$C:$C,0),0)</f>
        <v>0</v>
      </c>
      <c r="K1342" s="2">
        <f ca="1">IFERROR(_xludf.XLOOKUP("Gastos_Aduana",PARAMETROS_IMPORTACION!$A:$A,PARAMETROS_IMPORTACION!$C:$C,0),0)</f>
        <v>0</v>
      </c>
      <c r="L1342" s="2">
        <f t="shared" si="41"/>
        <v>0</v>
      </c>
    </row>
    <row r="1343" spans="5:12" x14ac:dyDescent="0.35">
      <c r="E1343" s="2"/>
      <c r="F1343" s="2">
        <f>_xlfn.XLOOKUP(D1343,TIPOS_CAMBIO!A:A,TIPOS_CAMBIO!B:B,"",0)</f>
        <v>0</v>
      </c>
      <c r="G1343" s="3">
        <f t="shared" si="40"/>
        <v>0</v>
      </c>
      <c r="H1343" s="3"/>
      <c r="I1343" s="3">
        <f ca="1">IFERROR(_xludf.XLOOKUP("Seguro",PARAMETROS_IMPORTACION!$A:$A,PARAMETROS_IMPORTACION!$C:$C,0),0)</f>
        <v>0</v>
      </c>
      <c r="J1343" s="3">
        <f ca="1">IFERROR(_xludf.XLOOKUP("Arancel",PARAMETROS_IMPORTACION!$A:$A,PARAMETROS_IMPORTACION!$C:$C,0),0)</f>
        <v>0</v>
      </c>
      <c r="K1343" s="2">
        <f ca="1">IFERROR(_xludf.XLOOKUP("Gastos_Aduana",PARAMETROS_IMPORTACION!$A:$A,PARAMETROS_IMPORTACION!$C:$C,0),0)</f>
        <v>0</v>
      </c>
      <c r="L1343" s="2">
        <f t="shared" si="41"/>
        <v>0</v>
      </c>
    </row>
    <row r="1344" spans="5:12" x14ac:dyDescent="0.35">
      <c r="E1344" s="2"/>
      <c r="F1344" s="2">
        <f>_xlfn.XLOOKUP(D1344,TIPOS_CAMBIO!A:A,TIPOS_CAMBIO!B:B,"",0)</f>
        <v>0</v>
      </c>
      <c r="G1344" s="3">
        <f t="shared" si="40"/>
        <v>0</v>
      </c>
      <c r="H1344" s="3"/>
      <c r="I1344" s="3">
        <f ca="1">IFERROR(_xludf.XLOOKUP("Seguro",PARAMETROS_IMPORTACION!$A:$A,PARAMETROS_IMPORTACION!$C:$C,0),0)</f>
        <v>0</v>
      </c>
      <c r="J1344" s="3">
        <f ca="1">IFERROR(_xludf.XLOOKUP("Arancel",PARAMETROS_IMPORTACION!$A:$A,PARAMETROS_IMPORTACION!$C:$C,0),0)</f>
        <v>0</v>
      </c>
      <c r="K1344" s="2">
        <f ca="1">IFERROR(_xludf.XLOOKUP("Gastos_Aduana",PARAMETROS_IMPORTACION!$A:$A,PARAMETROS_IMPORTACION!$C:$C,0),0)</f>
        <v>0</v>
      </c>
      <c r="L1344" s="2">
        <f t="shared" si="41"/>
        <v>0</v>
      </c>
    </row>
    <row r="1345" spans="5:12" x14ac:dyDescent="0.35">
      <c r="E1345" s="2"/>
      <c r="F1345" s="2">
        <f>_xlfn.XLOOKUP(D1345,TIPOS_CAMBIO!A:A,TIPOS_CAMBIO!B:B,"",0)</f>
        <v>0</v>
      </c>
      <c r="G1345" s="3">
        <f t="shared" si="40"/>
        <v>0</v>
      </c>
      <c r="H1345" s="3"/>
      <c r="I1345" s="3">
        <f ca="1">IFERROR(_xludf.XLOOKUP("Seguro",PARAMETROS_IMPORTACION!$A:$A,PARAMETROS_IMPORTACION!$C:$C,0),0)</f>
        <v>0</v>
      </c>
      <c r="J1345" s="3">
        <f ca="1">IFERROR(_xludf.XLOOKUP("Arancel",PARAMETROS_IMPORTACION!$A:$A,PARAMETROS_IMPORTACION!$C:$C,0),0)</f>
        <v>0</v>
      </c>
      <c r="K1345" s="2">
        <f ca="1">IFERROR(_xludf.XLOOKUP("Gastos_Aduana",PARAMETROS_IMPORTACION!$A:$A,PARAMETROS_IMPORTACION!$C:$C,0),0)</f>
        <v>0</v>
      </c>
      <c r="L1345" s="2">
        <f t="shared" si="41"/>
        <v>0</v>
      </c>
    </row>
    <row r="1346" spans="5:12" x14ac:dyDescent="0.35">
      <c r="E1346" s="2"/>
      <c r="F1346" s="2">
        <f>_xlfn.XLOOKUP(D1346,TIPOS_CAMBIO!A:A,TIPOS_CAMBIO!B:B,"",0)</f>
        <v>0</v>
      </c>
      <c r="G1346" s="3">
        <f t="shared" ref="G1346:G1409" si="42">$E1346*$F1346</f>
        <v>0</v>
      </c>
      <c r="H1346" s="3"/>
      <c r="I1346" s="3">
        <f ca="1">IFERROR(_xludf.XLOOKUP("Seguro",PARAMETROS_IMPORTACION!$A:$A,PARAMETROS_IMPORTACION!$C:$C,0),0)</f>
        <v>0</v>
      </c>
      <c r="J1346" s="3">
        <f ca="1">IFERROR(_xludf.XLOOKUP("Arancel",PARAMETROS_IMPORTACION!$A:$A,PARAMETROS_IMPORTACION!$C:$C,0),0)</f>
        <v>0</v>
      </c>
      <c r="K1346" s="2">
        <f ca="1">IFERROR(_xludf.XLOOKUP("Gastos_Aduana",PARAMETROS_IMPORTACION!$A:$A,PARAMETROS_IMPORTACION!$C:$C,0),0)</f>
        <v>0</v>
      </c>
      <c r="L1346" s="2">
        <f t="shared" si="41"/>
        <v>0</v>
      </c>
    </row>
    <row r="1347" spans="5:12" x14ac:dyDescent="0.35">
      <c r="E1347" s="2"/>
      <c r="F1347" s="2">
        <f>_xlfn.XLOOKUP(D1347,TIPOS_CAMBIO!A:A,TIPOS_CAMBIO!B:B,"",0)</f>
        <v>0</v>
      </c>
      <c r="G1347" s="3">
        <f t="shared" si="42"/>
        <v>0</v>
      </c>
      <c r="H1347" s="3"/>
      <c r="I1347" s="3">
        <f ca="1">IFERROR(_xludf.XLOOKUP("Seguro",PARAMETROS_IMPORTACION!$A:$A,PARAMETROS_IMPORTACION!$C:$C,0),0)</f>
        <v>0</v>
      </c>
      <c r="J1347" s="3">
        <f ca="1">IFERROR(_xludf.XLOOKUP("Arancel",PARAMETROS_IMPORTACION!$A:$A,PARAMETROS_IMPORTACION!$C:$C,0),0)</f>
        <v>0</v>
      </c>
      <c r="K1347" s="2">
        <f ca="1">IFERROR(_xludf.XLOOKUP("Gastos_Aduana",PARAMETROS_IMPORTACION!$A:$A,PARAMETROS_IMPORTACION!$C:$C,0),0)</f>
        <v>0</v>
      </c>
      <c r="L1347" s="2">
        <f t="shared" ref="L1347:L1410" si="43">IF($C1347="Importado",$G1347*(1+$H1347+$I1347+$J1347)+$K1347,$G1347)</f>
        <v>0</v>
      </c>
    </row>
    <row r="1348" spans="5:12" x14ac:dyDescent="0.35">
      <c r="E1348" s="2"/>
      <c r="F1348" s="2">
        <f>_xlfn.XLOOKUP(D1348,TIPOS_CAMBIO!A:A,TIPOS_CAMBIO!B:B,"",0)</f>
        <v>0</v>
      </c>
      <c r="G1348" s="3">
        <f t="shared" si="42"/>
        <v>0</v>
      </c>
      <c r="H1348" s="3"/>
      <c r="I1348" s="3">
        <f ca="1">IFERROR(_xludf.XLOOKUP("Seguro",PARAMETROS_IMPORTACION!$A:$A,PARAMETROS_IMPORTACION!$C:$C,0),0)</f>
        <v>0</v>
      </c>
      <c r="J1348" s="3">
        <f ca="1">IFERROR(_xludf.XLOOKUP("Arancel",PARAMETROS_IMPORTACION!$A:$A,PARAMETROS_IMPORTACION!$C:$C,0),0)</f>
        <v>0</v>
      </c>
      <c r="K1348" s="2">
        <f ca="1">IFERROR(_xludf.XLOOKUP("Gastos_Aduana",PARAMETROS_IMPORTACION!$A:$A,PARAMETROS_IMPORTACION!$C:$C,0),0)</f>
        <v>0</v>
      </c>
      <c r="L1348" s="2">
        <f t="shared" si="43"/>
        <v>0</v>
      </c>
    </row>
    <row r="1349" spans="5:12" x14ac:dyDescent="0.35">
      <c r="E1349" s="2"/>
      <c r="F1349" s="2">
        <f>_xlfn.XLOOKUP(D1349,TIPOS_CAMBIO!A:A,TIPOS_CAMBIO!B:B,"",0)</f>
        <v>0</v>
      </c>
      <c r="G1349" s="3">
        <f t="shared" si="42"/>
        <v>0</v>
      </c>
      <c r="H1349" s="3"/>
      <c r="I1349" s="3">
        <f ca="1">IFERROR(_xludf.XLOOKUP("Seguro",PARAMETROS_IMPORTACION!$A:$A,PARAMETROS_IMPORTACION!$C:$C,0),0)</f>
        <v>0</v>
      </c>
      <c r="J1349" s="3">
        <f ca="1">IFERROR(_xludf.XLOOKUP("Arancel",PARAMETROS_IMPORTACION!$A:$A,PARAMETROS_IMPORTACION!$C:$C,0),0)</f>
        <v>0</v>
      </c>
      <c r="K1349" s="2">
        <f ca="1">IFERROR(_xludf.XLOOKUP("Gastos_Aduana",PARAMETROS_IMPORTACION!$A:$A,PARAMETROS_IMPORTACION!$C:$C,0),0)</f>
        <v>0</v>
      </c>
      <c r="L1349" s="2">
        <f t="shared" si="43"/>
        <v>0</v>
      </c>
    </row>
    <row r="1350" spans="5:12" x14ac:dyDescent="0.35">
      <c r="E1350" s="2"/>
      <c r="F1350" s="2">
        <f>_xlfn.XLOOKUP(D1350,TIPOS_CAMBIO!A:A,TIPOS_CAMBIO!B:B,"",0)</f>
        <v>0</v>
      </c>
      <c r="G1350" s="3">
        <f t="shared" si="42"/>
        <v>0</v>
      </c>
      <c r="H1350" s="3"/>
      <c r="I1350" s="3">
        <f ca="1">IFERROR(_xludf.XLOOKUP("Seguro",PARAMETROS_IMPORTACION!$A:$A,PARAMETROS_IMPORTACION!$C:$C,0),0)</f>
        <v>0</v>
      </c>
      <c r="J1350" s="3">
        <f ca="1">IFERROR(_xludf.XLOOKUP("Arancel",PARAMETROS_IMPORTACION!$A:$A,PARAMETROS_IMPORTACION!$C:$C,0),0)</f>
        <v>0</v>
      </c>
      <c r="K1350" s="2">
        <f ca="1">IFERROR(_xludf.XLOOKUP("Gastos_Aduana",PARAMETROS_IMPORTACION!$A:$A,PARAMETROS_IMPORTACION!$C:$C,0),0)</f>
        <v>0</v>
      </c>
      <c r="L1350" s="2">
        <f t="shared" si="43"/>
        <v>0</v>
      </c>
    </row>
    <row r="1351" spans="5:12" x14ac:dyDescent="0.35">
      <c r="E1351" s="2"/>
      <c r="F1351" s="2">
        <f>_xlfn.XLOOKUP(D1351,TIPOS_CAMBIO!A:A,TIPOS_CAMBIO!B:B,"",0)</f>
        <v>0</v>
      </c>
      <c r="G1351" s="3">
        <f t="shared" si="42"/>
        <v>0</v>
      </c>
      <c r="H1351" s="3"/>
      <c r="I1351" s="3">
        <f ca="1">IFERROR(_xludf.XLOOKUP("Seguro",PARAMETROS_IMPORTACION!$A:$A,PARAMETROS_IMPORTACION!$C:$C,0),0)</f>
        <v>0</v>
      </c>
      <c r="J1351" s="3">
        <f ca="1">IFERROR(_xludf.XLOOKUP("Arancel",PARAMETROS_IMPORTACION!$A:$A,PARAMETROS_IMPORTACION!$C:$C,0),0)</f>
        <v>0</v>
      </c>
      <c r="K1351" s="2">
        <f ca="1">IFERROR(_xludf.XLOOKUP("Gastos_Aduana",PARAMETROS_IMPORTACION!$A:$A,PARAMETROS_IMPORTACION!$C:$C,0),0)</f>
        <v>0</v>
      </c>
      <c r="L1351" s="2">
        <f t="shared" si="43"/>
        <v>0</v>
      </c>
    </row>
    <row r="1352" spans="5:12" x14ac:dyDescent="0.35">
      <c r="E1352" s="2"/>
      <c r="F1352" s="2">
        <f>_xlfn.XLOOKUP(D1352,TIPOS_CAMBIO!A:A,TIPOS_CAMBIO!B:B,"",0)</f>
        <v>0</v>
      </c>
      <c r="G1352" s="3">
        <f t="shared" si="42"/>
        <v>0</v>
      </c>
      <c r="H1352" s="3"/>
      <c r="I1352" s="3">
        <f ca="1">IFERROR(_xludf.XLOOKUP("Seguro",PARAMETROS_IMPORTACION!$A:$A,PARAMETROS_IMPORTACION!$C:$C,0),0)</f>
        <v>0</v>
      </c>
      <c r="J1352" s="3">
        <f ca="1">IFERROR(_xludf.XLOOKUP("Arancel",PARAMETROS_IMPORTACION!$A:$A,PARAMETROS_IMPORTACION!$C:$C,0),0)</f>
        <v>0</v>
      </c>
      <c r="K1352" s="2">
        <f ca="1">IFERROR(_xludf.XLOOKUP("Gastos_Aduana",PARAMETROS_IMPORTACION!$A:$A,PARAMETROS_IMPORTACION!$C:$C,0),0)</f>
        <v>0</v>
      </c>
      <c r="L1352" s="2">
        <f t="shared" si="43"/>
        <v>0</v>
      </c>
    </row>
    <row r="1353" spans="5:12" x14ac:dyDescent="0.35">
      <c r="E1353" s="2"/>
      <c r="F1353" s="2">
        <f>_xlfn.XLOOKUP(D1353,TIPOS_CAMBIO!A:A,TIPOS_CAMBIO!B:B,"",0)</f>
        <v>0</v>
      </c>
      <c r="G1353" s="3">
        <f t="shared" si="42"/>
        <v>0</v>
      </c>
      <c r="H1353" s="3"/>
      <c r="I1353" s="3">
        <f ca="1">IFERROR(_xludf.XLOOKUP("Seguro",PARAMETROS_IMPORTACION!$A:$A,PARAMETROS_IMPORTACION!$C:$C,0),0)</f>
        <v>0</v>
      </c>
      <c r="J1353" s="3">
        <f ca="1">IFERROR(_xludf.XLOOKUP("Arancel",PARAMETROS_IMPORTACION!$A:$A,PARAMETROS_IMPORTACION!$C:$C,0),0)</f>
        <v>0</v>
      </c>
      <c r="K1353" s="2">
        <f ca="1">IFERROR(_xludf.XLOOKUP("Gastos_Aduana",PARAMETROS_IMPORTACION!$A:$A,PARAMETROS_IMPORTACION!$C:$C,0),0)</f>
        <v>0</v>
      </c>
      <c r="L1353" s="2">
        <f t="shared" si="43"/>
        <v>0</v>
      </c>
    </row>
    <row r="1354" spans="5:12" x14ac:dyDescent="0.35">
      <c r="E1354" s="2"/>
      <c r="F1354" s="2">
        <f>_xlfn.XLOOKUP(D1354,TIPOS_CAMBIO!A:A,TIPOS_CAMBIO!B:B,"",0)</f>
        <v>0</v>
      </c>
      <c r="G1354" s="3">
        <f t="shared" si="42"/>
        <v>0</v>
      </c>
      <c r="H1354" s="3"/>
      <c r="I1354" s="3">
        <f ca="1">IFERROR(_xludf.XLOOKUP("Seguro",PARAMETROS_IMPORTACION!$A:$A,PARAMETROS_IMPORTACION!$C:$C,0),0)</f>
        <v>0</v>
      </c>
      <c r="J1354" s="3">
        <f ca="1">IFERROR(_xludf.XLOOKUP("Arancel",PARAMETROS_IMPORTACION!$A:$A,PARAMETROS_IMPORTACION!$C:$C,0),0)</f>
        <v>0</v>
      </c>
      <c r="K1354" s="2">
        <f ca="1">IFERROR(_xludf.XLOOKUP("Gastos_Aduana",PARAMETROS_IMPORTACION!$A:$A,PARAMETROS_IMPORTACION!$C:$C,0),0)</f>
        <v>0</v>
      </c>
      <c r="L1354" s="2">
        <f t="shared" si="43"/>
        <v>0</v>
      </c>
    </row>
    <row r="1355" spans="5:12" x14ac:dyDescent="0.35">
      <c r="E1355" s="2"/>
      <c r="F1355" s="2">
        <f>_xlfn.XLOOKUP(D1355,TIPOS_CAMBIO!A:A,TIPOS_CAMBIO!B:B,"",0)</f>
        <v>0</v>
      </c>
      <c r="G1355" s="3">
        <f t="shared" si="42"/>
        <v>0</v>
      </c>
      <c r="H1355" s="3"/>
      <c r="I1355" s="3">
        <f ca="1">IFERROR(_xludf.XLOOKUP("Seguro",PARAMETROS_IMPORTACION!$A:$A,PARAMETROS_IMPORTACION!$C:$C,0),0)</f>
        <v>0</v>
      </c>
      <c r="J1355" s="3">
        <f ca="1">IFERROR(_xludf.XLOOKUP("Arancel",PARAMETROS_IMPORTACION!$A:$A,PARAMETROS_IMPORTACION!$C:$C,0),0)</f>
        <v>0</v>
      </c>
      <c r="K1355" s="2">
        <f ca="1">IFERROR(_xludf.XLOOKUP("Gastos_Aduana",PARAMETROS_IMPORTACION!$A:$A,PARAMETROS_IMPORTACION!$C:$C,0),0)</f>
        <v>0</v>
      </c>
      <c r="L1355" s="2">
        <f t="shared" si="43"/>
        <v>0</v>
      </c>
    </row>
    <row r="1356" spans="5:12" x14ac:dyDescent="0.35">
      <c r="E1356" s="2"/>
      <c r="F1356" s="2">
        <f>_xlfn.XLOOKUP(D1356,TIPOS_CAMBIO!A:A,TIPOS_CAMBIO!B:B,"",0)</f>
        <v>0</v>
      </c>
      <c r="G1356" s="3">
        <f t="shared" si="42"/>
        <v>0</v>
      </c>
      <c r="H1356" s="3"/>
      <c r="I1356" s="3">
        <f ca="1">IFERROR(_xludf.XLOOKUP("Seguro",PARAMETROS_IMPORTACION!$A:$A,PARAMETROS_IMPORTACION!$C:$C,0),0)</f>
        <v>0</v>
      </c>
      <c r="J1356" s="3">
        <f ca="1">IFERROR(_xludf.XLOOKUP("Arancel",PARAMETROS_IMPORTACION!$A:$A,PARAMETROS_IMPORTACION!$C:$C,0),0)</f>
        <v>0</v>
      </c>
      <c r="K1356" s="2">
        <f ca="1">IFERROR(_xludf.XLOOKUP("Gastos_Aduana",PARAMETROS_IMPORTACION!$A:$A,PARAMETROS_IMPORTACION!$C:$C,0),0)</f>
        <v>0</v>
      </c>
      <c r="L1356" s="2">
        <f t="shared" si="43"/>
        <v>0</v>
      </c>
    </row>
    <row r="1357" spans="5:12" x14ac:dyDescent="0.35">
      <c r="E1357" s="2"/>
      <c r="F1357" s="2">
        <f>_xlfn.XLOOKUP(D1357,TIPOS_CAMBIO!A:A,TIPOS_CAMBIO!B:B,"",0)</f>
        <v>0</v>
      </c>
      <c r="G1357" s="3">
        <f t="shared" si="42"/>
        <v>0</v>
      </c>
      <c r="H1357" s="3"/>
      <c r="I1357" s="3">
        <f ca="1">IFERROR(_xludf.XLOOKUP("Seguro",PARAMETROS_IMPORTACION!$A:$A,PARAMETROS_IMPORTACION!$C:$C,0),0)</f>
        <v>0</v>
      </c>
      <c r="J1357" s="3">
        <f ca="1">IFERROR(_xludf.XLOOKUP("Arancel",PARAMETROS_IMPORTACION!$A:$A,PARAMETROS_IMPORTACION!$C:$C,0),0)</f>
        <v>0</v>
      </c>
      <c r="K1357" s="2">
        <f ca="1">IFERROR(_xludf.XLOOKUP("Gastos_Aduana",PARAMETROS_IMPORTACION!$A:$A,PARAMETROS_IMPORTACION!$C:$C,0),0)</f>
        <v>0</v>
      </c>
      <c r="L1357" s="2">
        <f t="shared" si="43"/>
        <v>0</v>
      </c>
    </row>
    <row r="1358" spans="5:12" x14ac:dyDescent="0.35">
      <c r="E1358" s="2"/>
      <c r="F1358" s="2">
        <f>_xlfn.XLOOKUP(D1358,TIPOS_CAMBIO!A:A,TIPOS_CAMBIO!B:B,"",0)</f>
        <v>0</v>
      </c>
      <c r="G1358" s="3">
        <f t="shared" si="42"/>
        <v>0</v>
      </c>
      <c r="H1358" s="3"/>
      <c r="I1358" s="3">
        <f ca="1">IFERROR(_xludf.XLOOKUP("Seguro",PARAMETROS_IMPORTACION!$A:$A,PARAMETROS_IMPORTACION!$C:$C,0),0)</f>
        <v>0</v>
      </c>
      <c r="J1358" s="3">
        <f ca="1">IFERROR(_xludf.XLOOKUP("Arancel",PARAMETROS_IMPORTACION!$A:$A,PARAMETROS_IMPORTACION!$C:$C,0),0)</f>
        <v>0</v>
      </c>
      <c r="K1358" s="2">
        <f ca="1">IFERROR(_xludf.XLOOKUP("Gastos_Aduana",PARAMETROS_IMPORTACION!$A:$A,PARAMETROS_IMPORTACION!$C:$C,0),0)</f>
        <v>0</v>
      </c>
      <c r="L1358" s="2">
        <f t="shared" si="43"/>
        <v>0</v>
      </c>
    </row>
    <row r="1359" spans="5:12" x14ac:dyDescent="0.35">
      <c r="E1359" s="2"/>
      <c r="F1359" s="2">
        <f>_xlfn.XLOOKUP(D1359,TIPOS_CAMBIO!A:A,TIPOS_CAMBIO!B:B,"",0)</f>
        <v>0</v>
      </c>
      <c r="G1359" s="3">
        <f t="shared" si="42"/>
        <v>0</v>
      </c>
      <c r="H1359" s="3"/>
      <c r="I1359" s="3">
        <f ca="1">IFERROR(_xludf.XLOOKUP("Seguro",PARAMETROS_IMPORTACION!$A:$A,PARAMETROS_IMPORTACION!$C:$C,0),0)</f>
        <v>0</v>
      </c>
      <c r="J1359" s="3">
        <f ca="1">IFERROR(_xludf.XLOOKUP("Arancel",PARAMETROS_IMPORTACION!$A:$A,PARAMETROS_IMPORTACION!$C:$C,0),0)</f>
        <v>0</v>
      </c>
      <c r="K1359" s="2">
        <f ca="1">IFERROR(_xludf.XLOOKUP("Gastos_Aduana",PARAMETROS_IMPORTACION!$A:$A,PARAMETROS_IMPORTACION!$C:$C,0),0)</f>
        <v>0</v>
      </c>
      <c r="L1359" s="2">
        <f t="shared" si="43"/>
        <v>0</v>
      </c>
    </row>
    <row r="1360" spans="5:12" x14ac:dyDescent="0.35">
      <c r="E1360" s="2"/>
      <c r="F1360" s="2">
        <f>_xlfn.XLOOKUP(D1360,TIPOS_CAMBIO!A:A,TIPOS_CAMBIO!B:B,"",0)</f>
        <v>0</v>
      </c>
      <c r="G1360" s="3">
        <f t="shared" si="42"/>
        <v>0</v>
      </c>
      <c r="H1360" s="3"/>
      <c r="I1360" s="3">
        <f ca="1">IFERROR(_xludf.XLOOKUP("Seguro",PARAMETROS_IMPORTACION!$A:$A,PARAMETROS_IMPORTACION!$C:$C,0),0)</f>
        <v>0</v>
      </c>
      <c r="J1360" s="3">
        <f ca="1">IFERROR(_xludf.XLOOKUP("Arancel",PARAMETROS_IMPORTACION!$A:$A,PARAMETROS_IMPORTACION!$C:$C,0),0)</f>
        <v>0</v>
      </c>
      <c r="K1360" s="2">
        <f ca="1">IFERROR(_xludf.XLOOKUP("Gastos_Aduana",PARAMETROS_IMPORTACION!$A:$A,PARAMETROS_IMPORTACION!$C:$C,0),0)</f>
        <v>0</v>
      </c>
      <c r="L1360" s="2">
        <f t="shared" si="43"/>
        <v>0</v>
      </c>
    </row>
    <row r="1361" spans="5:12" x14ac:dyDescent="0.35">
      <c r="E1361" s="2"/>
      <c r="F1361" s="2">
        <f>_xlfn.XLOOKUP(D1361,TIPOS_CAMBIO!A:A,TIPOS_CAMBIO!B:B,"",0)</f>
        <v>0</v>
      </c>
      <c r="G1361" s="3">
        <f t="shared" si="42"/>
        <v>0</v>
      </c>
      <c r="H1361" s="3"/>
      <c r="I1361" s="3">
        <f ca="1">IFERROR(_xludf.XLOOKUP("Seguro",PARAMETROS_IMPORTACION!$A:$A,PARAMETROS_IMPORTACION!$C:$C,0),0)</f>
        <v>0</v>
      </c>
      <c r="J1361" s="3">
        <f ca="1">IFERROR(_xludf.XLOOKUP("Arancel",PARAMETROS_IMPORTACION!$A:$A,PARAMETROS_IMPORTACION!$C:$C,0),0)</f>
        <v>0</v>
      </c>
      <c r="K1361" s="2">
        <f ca="1">IFERROR(_xludf.XLOOKUP("Gastos_Aduana",PARAMETROS_IMPORTACION!$A:$A,PARAMETROS_IMPORTACION!$C:$C,0),0)</f>
        <v>0</v>
      </c>
      <c r="L1361" s="2">
        <f t="shared" si="43"/>
        <v>0</v>
      </c>
    </row>
    <row r="1362" spans="5:12" x14ac:dyDescent="0.35">
      <c r="E1362" s="2"/>
      <c r="F1362" s="2">
        <f>_xlfn.XLOOKUP(D1362,TIPOS_CAMBIO!A:A,TIPOS_CAMBIO!B:B,"",0)</f>
        <v>0</v>
      </c>
      <c r="G1362" s="3">
        <f t="shared" si="42"/>
        <v>0</v>
      </c>
      <c r="H1362" s="3"/>
      <c r="I1362" s="3">
        <f ca="1">IFERROR(_xludf.XLOOKUP("Seguro",PARAMETROS_IMPORTACION!$A:$A,PARAMETROS_IMPORTACION!$C:$C,0),0)</f>
        <v>0</v>
      </c>
      <c r="J1362" s="3">
        <f ca="1">IFERROR(_xludf.XLOOKUP("Arancel",PARAMETROS_IMPORTACION!$A:$A,PARAMETROS_IMPORTACION!$C:$C,0),0)</f>
        <v>0</v>
      </c>
      <c r="K1362" s="2">
        <f ca="1">IFERROR(_xludf.XLOOKUP("Gastos_Aduana",PARAMETROS_IMPORTACION!$A:$A,PARAMETROS_IMPORTACION!$C:$C,0),0)</f>
        <v>0</v>
      </c>
      <c r="L1362" s="2">
        <f t="shared" si="43"/>
        <v>0</v>
      </c>
    </row>
    <row r="1363" spans="5:12" x14ac:dyDescent="0.35">
      <c r="E1363" s="2"/>
      <c r="F1363" s="2">
        <f>_xlfn.XLOOKUP(D1363,TIPOS_CAMBIO!A:A,TIPOS_CAMBIO!B:B,"",0)</f>
        <v>0</v>
      </c>
      <c r="G1363" s="3">
        <f t="shared" si="42"/>
        <v>0</v>
      </c>
      <c r="H1363" s="3"/>
      <c r="I1363" s="3">
        <f ca="1">IFERROR(_xludf.XLOOKUP("Seguro",PARAMETROS_IMPORTACION!$A:$A,PARAMETROS_IMPORTACION!$C:$C,0),0)</f>
        <v>0</v>
      </c>
      <c r="J1363" s="3">
        <f ca="1">IFERROR(_xludf.XLOOKUP("Arancel",PARAMETROS_IMPORTACION!$A:$A,PARAMETROS_IMPORTACION!$C:$C,0),0)</f>
        <v>0</v>
      </c>
      <c r="K1363" s="2">
        <f ca="1">IFERROR(_xludf.XLOOKUP("Gastos_Aduana",PARAMETROS_IMPORTACION!$A:$A,PARAMETROS_IMPORTACION!$C:$C,0),0)</f>
        <v>0</v>
      </c>
      <c r="L1363" s="2">
        <f t="shared" si="43"/>
        <v>0</v>
      </c>
    </row>
    <row r="1364" spans="5:12" x14ac:dyDescent="0.35">
      <c r="E1364" s="2"/>
      <c r="F1364" s="2">
        <f>_xlfn.XLOOKUP(D1364,TIPOS_CAMBIO!A:A,TIPOS_CAMBIO!B:B,"",0)</f>
        <v>0</v>
      </c>
      <c r="G1364" s="3">
        <f t="shared" si="42"/>
        <v>0</v>
      </c>
      <c r="H1364" s="3"/>
      <c r="I1364" s="3">
        <f ca="1">IFERROR(_xludf.XLOOKUP("Seguro",PARAMETROS_IMPORTACION!$A:$A,PARAMETROS_IMPORTACION!$C:$C,0),0)</f>
        <v>0</v>
      </c>
      <c r="J1364" s="3">
        <f ca="1">IFERROR(_xludf.XLOOKUP("Arancel",PARAMETROS_IMPORTACION!$A:$A,PARAMETROS_IMPORTACION!$C:$C,0),0)</f>
        <v>0</v>
      </c>
      <c r="K1364" s="2">
        <f ca="1">IFERROR(_xludf.XLOOKUP("Gastos_Aduana",PARAMETROS_IMPORTACION!$A:$A,PARAMETROS_IMPORTACION!$C:$C,0),0)</f>
        <v>0</v>
      </c>
      <c r="L1364" s="2">
        <f t="shared" si="43"/>
        <v>0</v>
      </c>
    </row>
    <row r="1365" spans="5:12" x14ac:dyDescent="0.35">
      <c r="E1365" s="2"/>
      <c r="F1365" s="2">
        <f>_xlfn.XLOOKUP(D1365,TIPOS_CAMBIO!A:A,TIPOS_CAMBIO!B:B,"",0)</f>
        <v>0</v>
      </c>
      <c r="G1365" s="3">
        <f t="shared" si="42"/>
        <v>0</v>
      </c>
      <c r="H1365" s="3"/>
      <c r="I1365" s="3">
        <f ca="1">IFERROR(_xludf.XLOOKUP("Seguro",PARAMETROS_IMPORTACION!$A:$A,PARAMETROS_IMPORTACION!$C:$C,0),0)</f>
        <v>0</v>
      </c>
      <c r="J1365" s="3">
        <f ca="1">IFERROR(_xludf.XLOOKUP("Arancel",PARAMETROS_IMPORTACION!$A:$A,PARAMETROS_IMPORTACION!$C:$C,0),0)</f>
        <v>0</v>
      </c>
      <c r="K1365" s="2">
        <f ca="1">IFERROR(_xludf.XLOOKUP("Gastos_Aduana",PARAMETROS_IMPORTACION!$A:$A,PARAMETROS_IMPORTACION!$C:$C,0),0)</f>
        <v>0</v>
      </c>
      <c r="L1365" s="2">
        <f t="shared" si="43"/>
        <v>0</v>
      </c>
    </row>
    <row r="1366" spans="5:12" x14ac:dyDescent="0.35">
      <c r="E1366" s="2"/>
      <c r="F1366" s="2">
        <f>_xlfn.XLOOKUP(D1366,TIPOS_CAMBIO!A:A,TIPOS_CAMBIO!B:B,"",0)</f>
        <v>0</v>
      </c>
      <c r="G1366" s="3">
        <f t="shared" si="42"/>
        <v>0</v>
      </c>
      <c r="H1366" s="3"/>
      <c r="I1366" s="3">
        <f ca="1">IFERROR(_xludf.XLOOKUP("Seguro",PARAMETROS_IMPORTACION!$A:$A,PARAMETROS_IMPORTACION!$C:$C,0),0)</f>
        <v>0</v>
      </c>
      <c r="J1366" s="3">
        <f ca="1">IFERROR(_xludf.XLOOKUP("Arancel",PARAMETROS_IMPORTACION!$A:$A,PARAMETROS_IMPORTACION!$C:$C,0),0)</f>
        <v>0</v>
      </c>
      <c r="K1366" s="2">
        <f ca="1">IFERROR(_xludf.XLOOKUP("Gastos_Aduana",PARAMETROS_IMPORTACION!$A:$A,PARAMETROS_IMPORTACION!$C:$C,0),0)</f>
        <v>0</v>
      </c>
      <c r="L1366" s="2">
        <f t="shared" si="43"/>
        <v>0</v>
      </c>
    </row>
    <row r="1367" spans="5:12" x14ac:dyDescent="0.35">
      <c r="E1367" s="2"/>
      <c r="F1367" s="2">
        <f>_xlfn.XLOOKUP(D1367,TIPOS_CAMBIO!A:A,TIPOS_CAMBIO!B:B,"",0)</f>
        <v>0</v>
      </c>
      <c r="G1367" s="3">
        <f t="shared" si="42"/>
        <v>0</v>
      </c>
      <c r="H1367" s="3"/>
      <c r="I1367" s="3">
        <f ca="1">IFERROR(_xludf.XLOOKUP("Seguro",PARAMETROS_IMPORTACION!$A:$A,PARAMETROS_IMPORTACION!$C:$C,0),0)</f>
        <v>0</v>
      </c>
      <c r="J1367" s="3">
        <f ca="1">IFERROR(_xludf.XLOOKUP("Arancel",PARAMETROS_IMPORTACION!$A:$A,PARAMETROS_IMPORTACION!$C:$C,0),0)</f>
        <v>0</v>
      </c>
      <c r="K1367" s="2">
        <f ca="1">IFERROR(_xludf.XLOOKUP("Gastos_Aduana",PARAMETROS_IMPORTACION!$A:$A,PARAMETROS_IMPORTACION!$C:$C,0),0)</f>
        <v>0</v>
      </c>
      <c r="L1367" s="2">
        <f t="shared" si="43"/>
        <v>0</v>
      </c>
    </row>
    <row r="1368" spans="5:12" x14ac:dyDescent="0.35">
      <c r="E1368" s="2"/>
      <c r="F1368" s="2">
        <f>_xlfn.XLOOKUP(D1368,TIPOS_CAMBIO!A:A,TIPOS_CAMBIO!B:B,"",0)</f>
        <v>0</v>
      </c>
      <c r="G1368" s="3">
        <f t="shared" si="42"/>
        <v>0</v>
      </c>
      <c r="H1368" s="3"/>
      <c r="I1368" s="3">
        <f ca="1">IFERROR(_xludf.XLOOKUP("Seguro",PARAMETROS_IMPORTACION!$A:$A,PARAMETROS_IMPORTACION!$C:$C,0),0)</f>
        <v>0</v>
      </c>
      <c r="J1368" s="3">
        <f ca="1">IFERROR(_xludf.XLOOKUP("Arancel",PARAMETROS_IMPORTACION!$A:$A,PARAMETROS_IMPORTACION!$C:$C,0),0)</f>
        <v>0</v>
      </c>
      <c r="K1368" s="2">
        <f ca="1">IFERROR(_xludf.XLOOKUP("Gastos_Aduana",PARAMETROS_IMPORTACION!$A:$A,PARAMETROS_IMPORTACION!$C:$C,0),0)</f>
        <v>0</v>
      </c>
      <c r="L1368" s="2">
        <f t="shared" si="43"/>
        <v>0</v>
      </c>
    </row>
    <row r="1369" spans="5:12" x14ac:dyDescent="0.35">
      <c r="E1369" s="2"/>
      <c r="F1369" s="2">
        <f>_xlfn.XLOOKUP(D1369,TIPOS_CAMBIO!A:A,TIPOS_CAMBIO!B:B,"",0)</f>
        <v>0</v>
      </c>
      <c r="G1369" s="3">
        <f t="shared" si="42"/>
        <v>0</v>
      </c>
      <c r="H1369" s="3"/>
      <c r="I1369" s="3">
        <f ca="1">IFERROR(_xludf.XLOOKUP("Seguro",PARAMETROS_IMPORTACION!$A:$A,PARAMETROS_IMPORTACION!$C:$C,0),0)</f>
        <v>0</v>
      </c>
      <c r="J1369" s="3">
        <f ca="1">IFERROR(_xludf.XLOOKUP("Arancel",PARAMETROS_IMPORTACION!$A:$A,PARAMETROS_IMPORTACION!$C:$C,0),0)</f>
        <v>0</v>
      </c>
      <c r="K1369" s="2">
        <f ca="1">IFERROR(_xludf.XLOOKUP("Gastos_Aduana",PARAMETROS_IMPORTACION!$A:$A,PARAMETROS_IMPORTACION!$C:$C,0),0)</f>
        <v>0</v>
      </c>
      <c r="L1369" s="2">
        <f t="shared" si="43"/>
        <v>0</v>
      </c>
    </row>
    <row r="1370" spans="5:12" x14ac:dyDescent="0.35">
      <c r="E1370" s="2"/>
      <c r="F1370" s="2">
        <f>_xlfn.XLOOKUP(D1370,TIPOS_CAMBIO!A:A,TIPOS_CAMBIO!B:B,"",0)</f>
        <v>0</v>
      </c>
      <c r="G1370" s="3">
        <f t="shared" si="42"/>
        <v>0</v>
      </c>
      <c r="H1370" s="3"/>
      <c r="I1370" s="3">
        <f ca="1">IFERROR(_xludf.XLOOKUP("Seguro",PARAMETROS_IMPORTACION!$A:$A,PARAMETROS_IMPORTACION!$C:$C,0),0)</f>
        <v>0</v>
      </c>
      <c r="J1370" s="3">
        <f ca="1">IFERROR(_xludf.XLOOKUP("Arancel",PARAMETROS_IMPORTACION!$A:$A,PARAMETROS_IMPORTACION!$C:$C,0),0)</f>
        <v>0</v>
      </c>
      <c r="K1370" s="2">
        <f ca="1">IFERROR(_xludf.XLOOKUP("Gastos_Aduana",PARAMETROS_IMPORTACION!$A:$A,PARAMETROS_IMPORTACION!$C:$C,0),0)</f>
        <v>0</v>
      </c>
      <c r="L1370" s="2">
        <f t="shared" si="43"/>
        <v>0</v>
      </c>
    </row>
    <row r="1371" spans="5:12" x14ac:dyDescent="0.35">
      <c r="E1371" s="2"/>
      <c r="F1371" s="2">
        <f>_xlfn.XLOOKUP(D1371,TIPOS_CAMBIO!A:A,TIPOS_CAMBIO!B:B,"",0)</f>
        <v>0</v>
      </c>
      <c r="G1371" s="3">
        <f t="shared" si="42"/>
        <v>0</v>
      </c>
      <c r="H1371" s="3"/>
      <c r="I1371" s="3">
        <f ca="1">IFERROR(_xludf.XLOOKUP("Seguro",PARAMETROS_IMPORTACION!$A:$A,PARAMETROS_IMPORTACION!$C:$C,0),0)</f>
        <v>0</v>
      </c>
      <c r="J1371" s="3">
        <f ca="1">IFERROR(_xludf.XLOOKUP("Arancel",PARAMETROS_IMPORTACION!$A:$A,PARAMETROS_IMPORTACION!$C:$C,0),0)</f>
        <v>0</v>
      </c>
      <c r="K1371" s="2">
        <f ca="1">IFERROR(_xludf.XLOOKUP("Gastos_Aduana",PARAMETROS_IMPORTACION!$A:$A,PARAMETROS_IMPORTACION!$C:$C,0),0)</f>
        <v>0</v>
      </c>
      <c r="L1371" s="2">
        <f t="shared" si="43"/>
        <v>0</v>
      </c>
    </row>
    <row r="1372" spans="5:12" x14ac:dyDescent="0.35">
      <c r="E1372" s="2"/>
      <c r="F1372" s="2">
        <f>_xlfn.XLOOKUP(D1372,TIPOS_CAMBIO!A:A,TIPOS_CAMBIO!B:B,"",0)</f>
        <v>0</v>
      </c>
      <c r="G1372" s="3">
        <f t="shared" si="42"/>
        <v>0</v>
      </c>
      <c r="H1372" s="3"/>
      <c r="I1372" s="3">
        <f ca="1">IFERROR(_xludf.XLOOKUP("Seguro",PARAMETROS_IMPORTACION!$A:$A,PARAMETROS_IMPORTACION!$C:$C,0),0)</f>
        <v>0</v>
      </c>
      <c r="J1372" s="3">
        <f ca="1">IFERROR(_xludf.XLOOKUP("Arancel",PARAMETROS_IMPORTACION!$A:$A,PARAMETROS_IMPORTACION!$C:$C,0),0)</f>
        <v>0</v>
      </c>
      <c r="K1372" s="2">
        <f ca="1">IFERROR(_xludf.XLOOKUP("Gastos_Aduana",PARAMETROS_IMPORTACION!$A:$A,PARAMETROS_IMPORTACION!$C:$C,0),0)</f>
        <v>0</v>
      </c>
      <c r="L1372" s="2">
        <f t="shared" si="43"/>
        <v>0</v>
      </c>
    </row>
    <row r="1373" spans="5:12" x14ac:dyDescent="0.35">
      <c r="E1373" s="2"/>
      <c r="F1373" s="2">
        <f>_xlfn.XLOOKUP(D1373,TIPOS_CAMBIO!A:A,TIPOS_CAMBIO!B:B,"",0)</f>
        <v>0</v>
      </c>
      <c r="G1373" s="3">
        <f t="shared" si="42"/>
        <v>0</v>
      </c>
      <c r="H1373" s="3"/>
      <c r="I1373" s="3">
        <f ca="1">IFERROR(_xludf.XLOOKUP("Seguro",PARAMETROS_IMPORTACION!$A:$A,PARAMETROS_IMPORTACION!$C:$C,0),0)</f>
        <v>0</v>
      </c>
      <c r="J1373" s="3">
        <f ca="1">IFERROR(_xludf.XLOOKUP("Arancel",PARAMETROS_IMPORTACION!$A:$A,PARAMETROS_IMPORTACION!$C:$C,0),0)</f>
        <v>0</v>
      </c>
      <c r="K1373" s="2">
        <f ca="1">IFERROR(_xludf.XLOOKUP("Gastos_Aduana",PARAMETROS_IMPORTACION!$A:$A,PARAMETROS_IMPORTACION!$C:$C,0),0)</f>
        <v>0</v>
      </c>
      <c r="L1373" s="2">
        <f t="shared" si="43"/>
        <v>0</v>
      </c>
    </row>
    <row r="1374" spans="5:12" x14ac:dyDescent="0.35">
      <c r="E1374" s="2"/>
      <c r="F1374" s="2">
        <f>_xlfn.XLOOKUP(D1374,TIPOS_CAMBIO!A:A,TIPOS_CAMBIO!B:B,"",0)</f>
        <v>0</v>
      </c>
      <c r="G1374" s="3">
        <f t="shared" si="42"/>
        <v>0</v>
      </c>
      <c r="H1374" s="3"/>
      <c r="I1374" s="3">
        <f ca="1">IFERROR(_xludf.XLOOKUP("Seguro",PARAMETROS_IMPORTACION!$A:$A,PARAMETROS_IMPORTACION!$C:$C,0),0)</f>
        <v>0</v>
      </c>
      <c r="J1374" s="3">
        <f ca="1">IFERROR(_xludf.XLOOKUP("Arancel",PARAMETROS_IMPORTACION!$A:$A,PARAMETROS_IMPORTACION!$C:$C,0),0)</f>
        <v>0</v>
      </c>
      <c r="K1374" s="2">
        <f ca="1">IFERROR(_xludf.XLOOKUP("Gastos_Aduana",PARAMETROS_IMPORTACION!$A:$A,PARAMETROS_IMPORTACION!$C:$C,0),0)</f>
        <v>0</v>
      </c>
      <c r="L1374" s="2">
        <f t="shared" si="43"/>
        <v>0</v>
      </c>
    </row>
    <row r="1375" spans="5:12" x14ac:dyDescent="0.35">
      <c r="E1375" s="2"/>
      <c r="F1375" s="2">
        <f>_xlfn.XLOOKUP(D1375,TIPOS_CAMBIO!A:A,TIPOS_CAMBIO!B:B,"",0)</f>
        <v>0</v>
      </c>
      <c r="G1375" s="3">
        <f t="shared" si="42"/>
        <v>0</v>
      </c>
      <c r="H1375" s="3"/>
      <c r="I1375" s="3">
        <f ca="1">IFERROR(_xludf.XLOOKUP("Seguro",PARAMETROS_IMPORTACION!$A:$A,PARAMETROS_IMPORTACION!$C:$C,0),0)</f>
        <v>0</v>
      </c>
      <c r="J1375" s="3">
        <f ca="1">IFERROR(_xludf.XLOOKUP("Arancel",PARAMETROS_IMPORTACION!$A:$A,PARAMETROS_IMPORTACION!$C:$C,0),0)</f>
        <v>0</v>
      </c>
      <c r="K1375" s="2">
        <f ca="1">IFERROR(_xludf.XLOOKUP("Gastos_Aduana",PARAMETROS_IMPORTACION!$A:$A,PARAMETROS_IMPORTACION!$C:$C,0),0)</f>
        <v>0</v>
      </c>
      <c r="L1375" s="2">
        <f t="shared" si="43"/>
        <v>0</v>
      </c>
    </row>
    <row r="1376" spans="5:12" x14ac:dyDescent="0.35">
      <c r="E1376" s="2"/>
      <c r="F1376" s="2">
        <f>_xlfn.XLOOKUP(D1376,TIPOS_CAMBIO!A:A,TIPOS_CAMBIO!B:B,"",0)</f>
        <v>0</v>
      </c>
      <c r="G1376" s="3">
        <f t="shared" si="42"/>
        <v>0</v>
      </c>
      <c r="H1376" s="3"/>
      <c r="I1376" s="3">
        <f ca="1">IFERROR(_xludf.XLOOKUP("Seguro",PARAMETROS_IMPORTACION!$A:$A,PARAMETROS_IMPORTACION!$C:$C,0),0)</f>
        <v>0</v>
      </c>
      <c r="J1376" s="3">
        <f ca="1">IFERROR(_xludf.XLOOKUP("Arancel",PARAMETROS_IMPORTACION!$A:$A,PARAMETROS_IMPORTACION!$C:$C,0),0)</f>
        <v>0</v>
      </c>
      <c r="K1376" s="2">
        <f ca="1">IFERROR(_xludf.XLOOKUP("Gastos_Aduana",PARAMETROS_IMPORTACION!$A:$A,PARAMETROS_IMPORTACION!$C:$C,0),0)</f>
        <v>0</v>
      </c>
      <c r="L1376" s="2">
        <f t="shared" si="43"/>
        <v>0</v>
      </c>
    </row>
    <row r="1377" spans="5:12" x14ac:dyDescent="0.35">
      <c r="E1377" s="2"/>
      <c r="F1377" s="2">
        <f>_xlfn.XLOOKUP(D1377,TIPOS_CAMBIO!A:A,TIPOS_CAMBIO!B:B,"",0)</f>
        <v>0</v>
      </c>
      <c r="G1377" s="3">
        <f t="shared" si="42"/>
        <v>0</v>
      </c>
      <c r="H1377" s="3"/>
      <c r="I1377" s="3">
        <f ca="1">IFERROR(_xludf.XLOOKUP("Seguro",PARAMETROS_IMPORTACION!$A:$A,PARAMETROS_IMPORTACION!$C:$C,0),0)</f>
        <v>0</v>
      </c>
      <c r="J1377" s="3">
        <f ca="1">IFERROR(_xludf.XLOOKUP("Arancel",PARAMETROS_IMPORTACION!$A:$A,PARAMETROS_IMPORTACION!$C:$C,0),0)</f>
        <v>0</v>
      </c>
      <c r="K1377" s="2">
        <f ca="1">IFERROR(_xludf.XLOOKUP("Gastos_Aduana",PARAMETROS_IMPORTACION!$A:$A,PARAMETROS_IMPORTACION!$C:$C,0),0)</f>
        <v>0</v>
      </c>
      <c r="L1377" s="2">
        <f t="shared" si="43"/>
        <v>0</v>
      </c>
    </row>
    <row r="1378" spans="5:12" x14ac:dyDescent="0.35">
      <c r="E1378" s="2"/>
      <c r="F1378" s="2">
        <f>_xlfn.XLOOKUP(D1378,TIPOS_CAMBIO!A:A,TIPOS_CAMBIO!B:B,"",0)</f>
        <v>0</v>
      </c>
      <c r="G1378" s="3">
        <f t="shared" si="42"/>
        <v>0</v>
      </c>
      <c r="H1378" s="3"/>
      <c r="I1378" s="3">
        <f ca="1">IFERROR(_xludf.XLOOKUP("Seguro",PARAMETROS_IMPORTACION!$A:$A,PARAMETROS_IMPORTACION!$C:$C,0),0)</f>
        <v>0</v>
      </c>
      <c r="J1378" s="3">
        <f ca="1">IFERROR(_xludf.XLOOKUP("Arancel",PARAMETROS_IMPORTACION!$A:$A,PARAMETROS_IMPORTACION!$C:$C,0),0)</f>
        <v>0</v>
      </c>
      <c r="K1378" s="2">
        <f ca="1">IFERROR(_xludf.XLOOKUP("Gastos_Aduana",PARAMETROS_IMPORTACION!$A:$A,PARAMETROS_IMPORTACION!$C:$C,0),0)</f>
        <v>0</v>
      </c>
      <c r="L1378" s="2">
        <f t="shared" si="43"/>
        <v>0</v>
      </c>
    </row>
    <row r="1379" spans="5:12" x14ac:dyDescent="0.35">
      <c r="E1379" s="2"/>
      <c r="F1379" s="2">
        <f>_xlfn.XLOOKUP(D1379,TIPOS_CAMBIO!A:A,TIPOS_CAMBIO!B:B,"",0)</f>
        <v>0</v>
      </c>
      <c r="G1379" s="3">
        <f t="shared" si="42"/>
        <v>0</v>
      </c>
      <c r="H1379" s="3"/>
      <c r="I1379" s="3">
        <f ca="1">IFERROR(_xludf.XLOOKUP("Seguro",PARAMETROS_IMPORTACION!$A:$A,PARAMETROS_IMPORTACION!$C:$C,0),0)</f>
        <v>0</v>
      </c>
      <c r="J1379" s="3">
        <f ca="1">IFERROR(_xludf.XLOOKUP("Arancel",PARAMETROS_IMPORTACION!$A:$A,PARAMETROS_IMPORTACION!$C:$C,0),0)</f>
        <v>0</v>
      </c>
      <c r="K1379" s="2">
        <f ca="1">IFERROR(_xludf.XLOOKUP("Gastos_Aduana",PARAMETROS_IMPORTACION!$A:$A,PARAMETROS_IMPORTACION!$C:$C,0),0)</f>
        <v>0</v>
      </c>
      <c r="L1379" s="2">
        <f t="shared" si="43"/>
        <v>0</v>
      </c>
    </row>
    <row r="1380" spans="5:12" x14ac:dyDescent="0.35">
      <c r="E1380" s="2"/>
      <c r="F1380" s="2">
        <f>_xlfn.XLOOKUP(D1380,TIPOS_CAMBIO!A:A,TIPOS_CAMBIO!B:B,"",0)</f>
        <v>0</v>
      </c>
      <c r="G1380" s="3">
        <f t="shared" si="42"/>
        <v>0</v>
      </c>
      <c r="H1380" s="3"/>
      <c r="I1380" s="3">
        <f ca="1">IFERROR(_xludf.XLOOKUP("Seguro",PARAMETROS_IMPORTACION!$A:$A,PARAMETROS_IMPORTACION!$C:$C,0),0)</f>
        <v>0</v>
      </c>
      <c r="J1380" s="3">
        <f ca="1">IFERROR(_xludf.XLOOKUP("Arancel",PARAMETROS_IMPORTACION!$A:$A,PARAMETROS_IMPORTACION!$C:$C,0),0)</f>
        <v>0</v>
      </c>
      <c r="K1380" s="2">
        <f ca="1">IFERROR(_xludf.XLOOKUP("Gastos_Aduana",PARAMETROS_IMPORTACION!$A:$A,PARAMETROS_IMPORTACION!$C:$C,0),0)</f>
        <v>0</v>
      </c>
      <c r="L1380" s="2">
        <f t="shared" si="43"/>
        <v>0</v>
      </c>
    </row>
    <row r="1381" spans="5:12" x14ac:dyDescent="0.35">
      <c r="E1381" s="2"/>
      <c r="F1381" s="2">
        <f>_xlfn.XLOOKUP(D1381,TIPOS_CAMBIO!A:A,TIPOS_CAMBIO!B:B,"",0)</f>
        <v>0</v>
      </c>
      <c r="G1381" s="3">
        <f t="shared" si="42"/>
        <v>0</v>
      </c>
      <c r="H1381" s="3"/>
      <c r="I1381" s="3">
        <f ca="1">IFERROR(_xludf.XLOOKUP("Seguro",PARAMETROS_IMPORTACION!$A:$A,PARAMETROS_IMPORTACION!$C:$C,0),0)</f>
        <v>0</v>
      </c>
      <c r="J1381" s="3">
        <f ca="1">IFERROR(_xludf.XLOOKUP("Arancel",PARAMETROS_IMPORTACION!$A:$A,PARAMETROS_IMPORTACION!$C:$C,0),0)</f>
        <v>0</v>
      </c>
      <c r="K1381" s="2">
        <f ca="1">IFERROR(_xludf.XLOOKUP("Gastos_Aduana",PARAMETROS_IMPORTACION!$A:$A,PARAMETROS_IMPORTACION!$C:$C,0),0)</f>
        <v>0</v>
      </c>
      <c r="L1381" s="2">
        <f t="shared" si="43"/>
        <v>0</v>
      </c>
    </row>
    <row r="1382" spans="5:12" x14ac:dyDescent="0.35">
      <c r="E1382" s="2"/>
      <c r="F1382" s="2">
        <f>_xlfn.XLOOKUP(D1382,TIPOS_CAMBIO!A:A,TIPOS_CAMBIO!B:B,"",0)</f>
        <v>0</v>
      </c>
      <c r="G1382" s="3">
        <f t="shared" si="42"/>
        <v>0</v>
      </c>
      <c r="H1382" s="3"/>
      <c r="I1382" s="3">
        <f ca="1">IFERROR(_xludf.XLOOKUP("Seguro",PARAMETROS_IMPORTACION!$A:$A,PARAMETROS_IMPORTACION!$C:$C,0),0)</f>
        <v>0</v>
      </c>
      <c r="J1382" s="3">
        <f ca="1">IFERROR(_xludf.XLOOKUP("Arancel",PARAMETROS_IMPORTACION!$A:$A,PARAMETROS_IMPORTACION!$C:$C,0),0)</f>
        <v>0</v>
      </c>
      <c r="K1382" s="2">
        <f ca="1">IFERROR(_xludf.XLOOKUP("Gastos_Aduana",PARAMETROS_IMPORTACION!$A:$A,PARAMETROS_IMPORTACION!$C:$C,0),0)</f>
        <v>0</v>
      </c>
      <c r="L1382" s="2">
        <f t="shared" si="43"/>
        <v>0</v>
      </c>
    </row>
    <row r="1383" spans="5:12" x14ac:dyDescent="0.35">
      <c r="E1383" s="2"/>
      <c r="F1383" s="2">
        <f>_xlfn.XLOOKUP(D1383,TIPOS_CAMBIO!A:A,TIPOS_CAMBIO!B:B,"",0)</f>
        <v>0</v>
      </c>
      <c r="G1383" s="3">
        <f t="shared" si="42"/>
        <v>0</v>
      </c>
      <c r="H1383" s="3"/>
      <c r="I1383" s="3">
        <f ca="1">IFERROR(_xludf.XLOOKUP("Seguro",PARAMETROS_IMPORTACION!$A:$A,PARAMETROS_IMPORTACION!$C:$C,0),0)</f>
        <v>0</v>
      </c>
      <c r="J1383" s="3">
        <f ca="1">IFERROR(_xludf.XLOOKUP("Arancel",PARAMETROS_IMPORTACION!$A:$A,PARAMETROS_IMPORTACION!$C:$C,0),0)</f>
        <v>0</v>
      </c>
      <c r="K1383" s="2">
        <f ca="1">IFERROR(_xludf.XLOOKUP("Gastos_Aduana",PARAMETROS_IMPORTACION!$A:$A,PARAMETROS_IMPORTACION!$C:$C,0),0)</f>
        <v>0</v>
      </c>
      <c r="L1383" s="2">
        <f t="shared" si="43"/>
        <v>0</v>
      </c>
    </row>
    <row r="1384" spans="5:12" x14ac:dyDescent="0.35">
      <c r="E1384" s="2"/>
      <c r="F1384" s="2">
        <f>_xlfn.XLOOKUP(D1384,TIPOS_CAMBIO!A:A,TIPOS_CAMBIO!B:B,"",0)</f>
        <v>0</v>
      </c>
      <c r="G1384" s="3">
        <f t="shared" si="42"/>
        <v>0</v>
      </c>
      <c r="H1384" s="3"/>
      <c r="I1384" s="3">
        <f ca="1">IFERROR(_xludf.XLOOKUP("Seguro",PARAMETROS_IMPORTACION!$A:$A,PARAMETROS_IMPORTACION!$C:$C,0),0)</f>
        <v>0</v>
      </c>
      <c r="J1384" s="3">
        <f ca="1">IFERROR(_xludf.XLOOKUP("Arancel",PARAMETROS_IMPORTACION!$A:$A,PARAMETROS_IMPORTACION!$C:$C,0),0)</f>
        <v>0</v>
      </c>
      <c r="K1384" s="2">
        <f ca="1">IFERROR(_xludf.XLOOKUP("Gastos_Aduana",PARAMETROS_IMPORTACION!$A:$A,PARAMETROS_IMPORTACION!$C:$C,0),0)</f>
        <v>0</v>
      </c>
      <c r="L1384" s="2">
        <f t="shared" si="43"/>
        <v>0</v>
      </c>
    </row>
    <row r="1385" spans="5:12" x14ac:dyDescent="0.35">
      <c r="E1385" s="2"/>
      <c r="F1385" s="2">
        <f>_xlfn.XLOOKUP(D1385,TIPOS_CAMBIO!A:A,TIPOS_CAMBIO!B:B,"",0)</f>
        <v>0</v>
      </c>
      <c r="G1385" s="3">
        <f t="shared" si="42"/>
        <v>0</v>
      </c>
      <c r="H1385" s="3"/>
      <c r="I1385" s="3">
        <f ca="1">IFERROR(_xludf.XLOOKUP("Seguro",PARAMETROS_IMPORTACION!$A:$A,PARAMETROS_IMPORTACION!$C:$C,0),0)</f>
        <v>0</v>
      </c>
      <c r="J1385" s="3">
        <f ca="1">IFERROR(_xludf.XLOOKUP("Arancel",PARAMETROS_IMPORTACION!$A:$A,PARAMETROS_IMPORTACION!$C:$C,0),0)</f>
        <v>0</v>
      </c>
      <c r="K1385" s="2">
        <f ca="1">IFERROR(_xludf.XLOOKUP("Gastos_Aduana",PARAMETROS_IMPORTACION!$A:$A,PARAMETROS_IMPORTACION!$C:$C,0),0)</f>
        <v>0</v>
      </c>
      <c r="L1385" s="2">
        <f t="shared" si="43"/>
        <v>0</v>
      </c>
    </row>
    <row r="1386" spans="5:12" x14ac:dyDescent="0.35">
      <c r="E1386" s="2"/>
      <c r="F1386" s="2">
        <f>_xlfn.XLOOKUP(D1386,TIPOS_CAMBIO!A:A,TIPOS_CAMBIO!B:B,"",0)</f>
        <v>0</v>
      </c>
      <c r="G1386" s="3">
        <f t="shared" si="42"/>
        <v>0</v>
      </c>
      <c r="H1386" s="3"/>
      <c r="I1386" s="3">
        <f ca="1">IFERROR(_xludf.XLOOKUP("Seguro",PARAMETROS_IMPORTACION!$A:$A,PARAMETROS_IMPORTACION!$C:$C,0),0)</f>
        <v>0</v>
      </c>
      <c r="J1386" s="3">
        <f ca="1">IFERROR(_xludf.XLOOKUP("Arancel",PARAMETROS_IMPORTACION!$A:$A,PARAMETROS_IMPORTACION!$C:$C,0),0)</f>
        <v>0</v>
      </c>
      <c r="K1386" s="2">
        <f ca="1">IFERROR(_xludf.XLOOKUP("Gastos_Aduana",PARAMETROS_IMPORTACION!$A:$A,PARAMETROS_IMPORTACION!$C:$C,0),0)</f>
        <v>0</v>
      </c>
      <c r="L1386" s="2">
        <f t="shared" si="43"/>
        <v>0</v>
      </c>
    </row>
    <row r="1387" spans="5:12" x14ac:dyDescent="0.35">
      <c r="E1387" s="2"/>
      <c r="F1387" s="2">
        <f>_xlfn.XLOOKUP(D1387,TIPOS_CAMBIO!A:A,TIPOS_CAMBIO!B:B,"",0)</f>
        <v>0</v>
      </c>
      <c r="G1387" s="3">
        <f t="shared" si="42"/>
        <v>0</v>
      </c>
      <c r="H1387" s="3"/>
      <c r="I1387" s="3">
        <f ca="1">IFERROR(_xludf.XLOOKUP("Seguro",PARAMETROS_IMPORTACION!$A:$A,PARAMETROS_IMPORTACION!$C:$C,0),0)</f>
        <v>0</v>
      </c>
      <c r="J1387" s="3">
        <f ca="1">IFERROR(_xludf.XLOOKUP("Arancel",PARAMETROS_IMPORTACION!$A:$A,PARAMETROS_IMPORTACION!$C:$C,0),0)</f>
        <v>0</v>
      </c>
      <c r="K1387" s="2">
        <f ca="1">IFERROR(_xludf.XLOOKUP("Gastos_Aduana",PARAMETROS_IMPORTACION!$A:$A,PARAMETROS_IMPORTACION!$C:$C,0),0)</f>
        <v>0</v>
      </c>
      <c r="L1387" s="2">
        <f t="shared" si="43"/>
        <v>0</v>
      </c>
    </row>
    <row r="1388" spans="5:12" x14ac:dyDescent="0.35">
      <c r="E1388" s="2"/>
      <c r="F1388" s="2">
        <f>_xlfn.XLOOKUP(D1388,TIPOS_CAMBIO!A:A,TIPOS_CAMBIO!B:B,"",0)</f>
        <v>0</v>
      </c>
      <c r="G1388" s="3">
        <f t="shared" si="42"/>
        <v>0</v>
      </c>
      <c r="H1388" s="3"/>
      <c r="I1388" s="3">
        <f ca="1">IFERROR(_xludf.XLOOKUP("Seguro",PARAMETROS_IMPORTACION!$A:$A,PARAMETROS_IMPORTACION!$C:$C,0),0)</f>
        <v>0</v>
      </c>
      <c r="J1388" s="3">
        <f ca="1">IFERROR(_xludf.XLOOKUP("Arancel",PARAMETROS_IMPORTACION!$A:$A,PARAMETROS_IMPORTACION!$C:$C,0),0)</f>
        <v>0</v>
      </c>
      <c r="K1388" s="2">
        <f ca="1">IFERROR(_xludf.XLOOKUP("Gastos_Aduana",PARAMETROS_IMPORTACION!$A:$A,PARAMETROS_IMPORTACION!$C:$C,0),0)</f>
        <v>0</v>
      </c>
      <c r="L1388" s="2">
        <f t="shared" si="43"/>
        <v>0</v>
      </c>
    </row>
    <row r="1389" spans="5:12" x14ac:dyDescent="0.35">
      <c r="E1389" s="2"/>
      <c r="F1389" s="2">
        <f>_xlfn.XLOOKUP(D1389,TIPOS_CAMBIO!A:A,TIPOS_CAMBIO!B:B,"",0)</f>
        <v>0</v>
      </c>
      <c r="G1389" s="3">
        <f t="shared" si="42"/>
        <v>0</v>
      </c>
      <c r="H1389" s="3"/>
      <c r="I1389" s="3">
        <f ca="1">IFERROR(_xludf.XLOOKUP("Seguro",PARAMETROS_IMPORTACION!$A:$A,PARAMETROS_IMPORTACION!$C:$C,0),0)</f>
        <v>0</v>
      </c>
      <c r="J1389" s="3">
        <f ca="1">IFERROR(_xludf.XLOOKUP("Arancel",PARAMETROS_IMPORTACION!$A:$A,PARAMETROS_IMPORTACION!$C:$C,0),0)</f>
        <v>0</v>
      </c>
      <c r="K1389" s="2">
        <f ca="1">IFERROR(_xludf.XLOOKUP("Gastos_Aduana",PARAMETROS_IMPORTACION!$A:$A,PARAMETROS_IMPORTACION!$C:$C,0),0)</f>
        <v>0</v>
      </c>
      <c r="L1389" s="2">
        <f t="shared" si="43"/>
        <v>0</v>
      </c>
    </row>
    <row r="1390" spans="5:12" x14ac:dyDescent="0.35">
      <c r="E1390" s="2"/>
      <c r="F1390" s="2">
        <f>_xlfn.XLOOKUP(D1390,TIPOS_CAMBIO!A:A,TIPOS_CAMBIO!B:B,"",0)</f>
        <v>0</v>
      </c>
      <c r="G1390" s="3">
        <f t="shared" si="42"/>
        <v>0</v>
      </c>
      <c r="H1390" s="3"/>
      <c r="I1390" s="3">
        <f ca="1">IFERROR(_xludf.XLOOKUP("Seguro",PARAMETROS_IMPORTACION!$A:$A,PARAMETROS_IMPORTACION!$C:$C,0),0)</f>
        <v>0</v>
      </c>
      <c r="J1390" s="3">
        <f ca="1">IFERROR(_xludf.XLOOKUP("Arancel",PARAMETROS_IMPORTACION!$A:$A,PARAMETROS_IMPORTACION!$C:$C,0),0)</f>
        <v>0</v>
      </c>
      <c r="K1390" s="2">
        <f ca="1">IFERROR(_xludf.XLOOKUP("Gastos_Aduana",PARAMETROS_IMPORTACION!$A:$A,PARAMETROS_IMPORTACION!$C:$C,0),0)</f>
        <v>0</v>
      </c>
      <c r="L1390" s="2">
        <f t="shared" si="43"/>
        <v>0</v>
      </c>
    </row>
    <row r="1391" spans="5:12" x14ac:dyDescent="0.35">
      <c r="E1391" s="2"/>
      <c r="F1391" s="2">
        <f>_xlfn.XLOOKUP(D1391,TIPOS_CAMBIO!A:A,TIPOS_CAMBIO!B:B,"",0)</f>
        <v>0</v>
      </c>
      <c r="G1391" s="3">
        <f t="shared" si="42"/>
        <v>0</v>
      </c>
      <c r="H1391" s="3"/>
      <c r="I1391" s="3">
        <f ca="1">IFERROR(_xludf.XLOOKUP("Seguro",PARAMETROS_IMPORTACION!$A:$A,PARAMETROS_IMPORTACION!$C:$C,0),0)</f>
        <v>0</v>
      </c>
      <c r="J1391" s="3">
        <f ca="1">IFERROR(_xludf.XLOOKUP("Arancel",PARAMETROS_IMPORTACION!$A:$A,PARAMETROS_IMPORTACION!$C:$C,0),0)</f>
        <v>0</v>
      </c>
      <c r="K1391" s="2">
        <f ca="1">IFERROR(_xludf.XLOOKUP("Gastos_Aduana",PARAMETROS_IMPORTACION!$A:$A,PARAMETROS_IMPORTACION!$C:$C,0),0)</f>
        <v>0</v>
      </c>
      <c r="L1391" s="2">
        <f t="shared" si="43"/>
        <v>0</v>
      </c>
    </row>
    <row r="1392" spans="5:12" x14ac:dyDescent="0.35">
      <c r="E1392" s="2"/>
      <c r="F1392" s="2">
        <f>_xlfn.XLOOKUP(D1392,TIPOS_CAMBIO!A:A,TIPOS_CAMBIO!B:B,"",0)</f>
        <v>0</v>
      </c>
      <c r="G1392" s="3">
        <f t="shared" si="42"/>
        <v>0</v>
      </c>
      <c r="H1392" s="3"/>
      <c r="I1392" s="3">
        <f ca="1">IFERROR(_xludf.XLOOKUP("Seguro",PARAMETROS_IMPORTACION!$A:$A,PARAMETROS_IMPORTACION!$C:$C,0),0)</f>
        <v>0</v>
      </c>
      <c r="J1392" s="3">
        <f ca="1">IFERROR(_xludf.XLOOKUP("Arancel",PARAMETROS_IMPORTACION!$A:$A,PARAMETROS_IMPORTACION!$C:$C,0),0)</f>
        <v>0</v>
      </c>
      <c r="K1392" s="2">
        <f ca="1">IFERROR(_xludf.XLOOKUP("Gastos_Aduana",PARAMETROS_IMPORTACION!$A:$A,PARAMETROS_IMPORTACION!$C:$C,0),0)</f>
        <v>0</v>
      </c>
      <c r="L1392" s="2">
        <f t="shared" si="43"/>
        <v>0</v>
      </c>
    </row>
    <row r="1393" spans="5:12" x14ac:dyDescent="0.35">
      <c r="E1393" s="2"/>
      <c r="F1393" s="2">
        <f>_xlfn.XLOOKUP(D1393,TIPOS_CAMBIO!A:A,TIPOS_CAMBIO!B:B,"",0)</f>
        <v>0</v>
      </c>
      <c r="G1393" s="3">
        <f t="shared" si="42"/>
        <v>0</v>
      </c>
      <c r="H1393" s="3"/>
      <c r="I1393" s="3">
        <f ca="1">IFERROR(_xludf.XLOOKUP("Seguro",PARAMETROS_IMPORTACION!$A:$A,PARAMETROS_IMPORTACION!$C:$C,0),0)</f>
        <v>0</v>
      </c>
      <c r="J1393" s="3">
        <f ca="1">IFERROR(_xludf.XLOOKUP("Arancel",PARAMETROS_IMPORTACION!$A:$A,PARAMETROS_IMPORTACION!$C:$C,0),0)</f>
        <v>0</v>
      </c>
      <c r="K1393" s="2">
        <f ca="1">IFERROR(_xludf.XLOOKUP("Gastos_Aduana",PARAMETROS_IMPORTACION!$A:$A,PARAMETROS_IMPORTACION!$C:$C,0),0)</f>
        <v>0</v>
      </c>
      <c r="L1393" s="2">
        <f t="shared" si="43"/>
        <v>0</v>
      </c>
    </row>
    <row r="1394" spans="5:12" x14ac:dyDescent="0.35">
      <c r="E1394" s="2"/>
      <c r="F1394" s="2">
        <f>_xlfn.XLOOKUP(D1394,TIPOS_CAMBIO!A:A,TIPOS_CAMBIO!B:B,"",0)</f>
        <v>0</v>
      </c>
      <c r="G1394" s="3">
        <f t="shared" si="42"/>
        <v>0</v>
      </c>
      <c r="H1394" s="3"/>
      <c r="I1394" s="3">
        <f ca="1">IFERROR(_xludf.XLOOKUP("Seguro",PARAMETROS_IMPORTACION!$A:$A,PARAMETROS_IMPORTACION!$C:$C,0),0)</f>
        <v>0</v>
      </c>
      <c r="J1394" s="3">
        <f ca="1">IFERROR(_xludf.XLOOKUP("Arancel",PARAMETROS_IMPORTACION!$A:$A,PARAMETROS_IMPORTACION!$C:$C,0),0)</f>
        <v>0</v>
      </c>
      <c r="K1394" s="2">
        <f ca="1">IFERROR(_xludf.XLOOKUP("Gastos_Aduana",PARAMETROS_IMPORTACION!$A:$A,PARAMETROS_IMPORTACION!$C:$C,0),0)</f>
        <v>0</v>
      </c>
      <c r="L1394" s="2">
        <f t="shared" si="43"/>
        <v>0</v>
      </c>
    </row>
    <row r="1395" spans="5:12" x14ac:dyDescent="0.35">
      <c r="E1395" s="2"/>
      <c r="F1395" s="2">
        <f>_xlfn.XLOOKUP(D1395,TIPOS_CAMBIO!A:A,TIPOS_CAMBIO!B:B,"",0)</f>
        <v>0</v>
      </c>
      <c r="G1395" s="3">
        <f t="shared" si="42"/>
        <v>0</v>
      </c>
      <c r="H1395" s="3"/>
      <c r="I1395" s="3">
        <f ca="1">IFERROR(_xludf.XLOOKUP("Seguro",PARAMETROS_IMPORTACION!$A:$A,PARAMETROS_IMPORTACION!$C:$C,0),0)</f>
        <v>0</v>
      </c>
      <c r="J1395" s="3">
        <f ca="1">IFERROR(_xludf.XLOOKUP("Arancel",PARAMETROS_IMPORTACION!$A:$A,PARAMETROS_IMPORTACION!$C:$C,0),0)</f>
        <v>0</v>
      </c>
      <c r="K1395" s="2">
        <f ca="1">IFERROR(_xludf.XLOOKUP("Gastos_Aduana",PARAMETROS_IMPORTACION!$A:$A,PARAMETROS_IMPORTACION!$C:$C,0),0)</f>
        <v>0</v>
      </c>
      <c r="L1395" s="2">
        <f t="shared" si="43"/>
        <v>0</v>
      </c>
    </row>
    <row r="1396" spans="5:12" x14ac:dyDescent="0.35">
      <c r="E1396" s="2"/>
      <c r="F1396" s="2">
        <f>_xlfn.XLOOKUP(D1396,TIPOS_CAMBIO!A:A,TIPOS_CAMBIO!B:B,"",0)</f>
        <v>0</v>
      </c>
      <c r="G1396" s="3">
        <f t="shared" si="42"/>
        <v>0</v>
      </c>
      <c r="H1396" s="3"/>
      <c r="I1396" s="3">
        <f ca="1">IFERROR(_xludf.XLOOKUP("Seguro",PARAMETROS_IMPORTACION!$A:$A,PARAMETROS_IMPORTACION!$C:$C,0),0)</f>
        <v>0</v>
      </c>
      <c r="J1396" s="3">
        <f ca="1">IFERROR(_xludf.XLOOKUP("Arancel",PARAMETROS_IMPORTACION!$A:$A,PARAMETROS_IMPORTACION!$C:$C,0),0)</f>
        <v>0</v>
      </c>
      <c r="K1396" s="2">
        <f ca="1">IFERROR(_xludf.XLOOKUP("Gastos_Aduana",PARAMETROS_IMPORTACION!$A:$A,PARAMETROS_IMPORTACION!$C:$C,0),0)</f>
        <v>0</v>
      </c>
      <c r="L1396" s="2">
        <f t="shared" si="43"/>
        <v>0</v>
      </c>
    </row>
    <row r="1397" spans="5:12" x14ac:dyDescent="0.35">
      <c r="E1397" s="2"/>
      <c r="F1397" s="2">
        <f>_xlfn.XLOOKUP(D1397,TIPOS_CAMBIO!A:A,TIPOS_CAMBIO!B:B,"",0)</f>
        <v>0</v>
      </c>
      <c r="G1397" s="3">
        <f t="shared" si="42"/>
        <v>0</v>
      </c>
      <c r="H1397" s="3"/>
      <c r="I1397" s="3">
        <f ca="1">IFERROR(_xludf.XLOOKUP("Seguro",PARAMETROS_IMPORTACION!$A:$A,PARAMETROS_IMPORTACION!$C:$C,0),0)</f>
        <v>0</v>
      </c>
      <c r="J1397" s="3">
        <f ca="1">IFERROR(_xludf.XLOOKUP("Arancel",PARAMETROS_IMPORTACION!$A:$A,PARAMETROS_IMPORTACION!$C:$C,0),0)</f>
        <v>0</v>
      </c>
      <c r="K1397" s="2">
        <f ca="1">IFERROR(_xludf.XLOOKUP("Gastos_Aduana",PARAMETROS_IMPORTACION!$A:$A,PARAMETROS_IMPORTACION!$C:$C,0),0)</f>
        <v>0</v>
      </c>
      <c r="L1397" s="2">
        <f t="shared" si="43"/>
        <v>0</v>
      </c>
    </row>
    <row r="1398" spans="5:12" x14ac:dyDescent="0.35">
      <c r="E1398" s="2"/>
      <c r="F1398" s="2">
        <f>_xlfn.XLOOKUP(D1398,TIPOS_CAMBIO!A:A,TIPOS_CAMBIO!B:B,"",0)</f>
        <v>0</v>
      </c>
      <c r="G1398" s="3">
        <f t="shared" si="42"/>
        <v>0</v>
      </c>
      <c r="H1398" s="3"/>
      <c r="I1398" s="3">
        <f ca="1">IFERROR(_xludf.XLOOKUP("Seguro",PARAMETROS_IMPORTACION!$A:$A,PARAMETROS_IMPORTACION!$C:$C,0),0)</f>
        <v>0</v>
      </c>
      <c r="J1398" s="3">
        <f ca="1">IFERROR(_xludf.XLOOKUP("Arancel",PARAMETROS_IMPORTACION!$A:$A,PARAMETROS_IMPORTACION!$C:$C,0),0)</f>
        <v>0</v>
      </c>
      <c r="K1398" s="2">
        <f ca="1">IFERROR(_xludf.XLOOKUP("Gastos_Aduana",PARAMETROS_IMPORTACION!$A:$A,PARAMETROS_IMPORTACION!$C:$C,0),0)</f>
        <v>0</v>
      </c>
      <c r="L1398" s="2">
        <f t="shared" si="43"/>
        <v>0</v>
      </c>
    </row>
    <row r="1399" spans="5:12" x14ac:dyDescent="0.35">
      <c r="E1399" s="2"/>
      <c r="F1399" s="2">
        <f>_xlfn.XLOOKUP(D1399,TIPOS_CAMBIO!A:A,TIPOS_CAMBIO!B:B,"",0)</f>
        <v>0</v>
      </c>
      <c r="G1399" s="3">
        <f t="shared" si="42"/>
        <v>0</v>
      </c>
      <c r="H1399" s="3"/>
      <c r="I1399" s="3">
        <f ca="1">IFERROR(_xludf.XLOOKUP("Seguro",PARAMETROS_IMPORTACION!$A:$A,PARAMETROS_IMPORTACION!$C:$C,0),0)</f>
        <v>0</v>
      </c>
      <c r="J1399" s="3">
        <f ca="1">IFERROR(_xludf.XLOOKUP("Arancel",PARAMETROS_IMPORTACION!$A:$A,PARAMETROS_IMPORTACION!$C:$C,0),0)</f>
        <v>0</v>
      </c>
      <c r="K1399" s="2">
        <f ca="1">IFERROR(_xludf.XLOOKUP("Gastos_Aduana",PARAMETROS_IMPORTACION!$A:$A,PARAMETROS_IMPORTACION!$C:$C,0),0)</f>
        <v>0</v>
      </c>
      <c r="L1399" s="2">
        <f t="shared" si="43"/>
        <v>0</v>
      </c>
    </row>
    <row r="1400" spans="5:12" x14ac:dyDescent="0.35">
      <c r="E1400" s="2"/>
      <c r="F1400" s="2">
        <f>_xlfn.XLOOKUP(D1400,TIPOS_CAMBIO!A:A,TIPOS_CAMBIO!B:B,"",0)</f>
        <v>0</v>
      </c>
      <c r="G1400" s="3">
        <f t="shared" si="42"/>
        <v>0</v>
      </c>
      <c r="H1400" s="3"/>
      <c r="I1400" s="3">
        <f ca="1">IFERROR(_xludf.XLOOKUP("Seguro",PARAMETROS_IMPORTACION!$A:$A,PARAMETROS_IMPORTACION!$C:$C,0),0)</f>
        <v>0</v>
      </c>
      <c r="J1400" s="3">
        <f ca="1">IFERROR(_xludf.XLOOKUP("Arancel",PARAMETROS_IMPORTACION!$A:$A,PARAMETROS_IMPORTACION!$C:$C,0),0)</f>
        <v>0</v>
      </c>
      <c r="K1400" s="2">
        <f ca="1">IFERROR(_xludf.XLOOKUP("Gastos_Aduana",PARAMETROS_IMPORTACION!$A:$A,PARAMETROS_IMPORTACION!$C:$C,0),0)</f>
        <v>0</v>
      </c>
      <c r="L1400" s="2">
        <f t="shared" si="43"/>
        <v>0</v>
      </c>
    </row>
    <row r="1401" spans="5:12" x14ac:dyDescent="0.35">
      <c r="E1401" s="2"/>
      <c r="F1401" s="2">
        <f>_xlfn.XLOOKUP(D1401,TIPOS_CAMBIO!A:A,TIPOS_CAMBIO!B:B,"",0)</f>
        <v>0</v>
      </c>
      <c r="G1401" s="3">
        <f t="shared" si="42"/>
        <v>0</v>
      </c>
      <c r="H1401" s="3"/>
      <c r="I1401" s="3">
        <f ca="1">IFERROR(_xludf.XLOOKUP("Seguro",PARAMETROS_IMPORTACION!$A:$A,PARAMETROS_IMPORTACION!$C:$C,0),0)</f>
        <v>0</v>
      </c>
      <c r="J1401" s="3">
        <f ca="1">IFERROR(_xludf.XLOOKUP("Arancel",PARAMETROS_IMPORTACION!$A:$A,PARAMETROS_IMPORTACION!$C:$C,0),0)</f>
        <v>0</v>
      </c>
      <c r="K1401" s="2">
        <f ca="1">IFERROR(_xludf.XLOOKUP("Gastos_Aduana",PARAMETROS_IMPORTACION!$A:$A,PARAMETROS_IMPORTACION!$C:$C,0),0)</f>
        <v>0</v>
      </c>
      <c r="L1401" s="2">
        <f t="shared" si="43"/>
        <v>0</v>
      </c>
    </row>
    <row r="1402" spans="5:12" x14ac:dyDescent="0.35">
      <c r="E1402" s="2"/>
      <c r="F1402" s="2">
        <f>_xlfn.XLOOKUP(D1402,TIPOS_CAMBIO!A:A,TIPOS_CAMBIO!B:B,"",0)</f>
        <v>0</v>
      </c>
      <c r="G1402" s="3">
        <f t="shared" si="42"/>
        <v>0</v>
      </c>
      <c r="H1402" s="3"/>
      <c r="I1402" s="3">
        <f ca="1">IFERROR(_xludf.XLOOKUP("Seguro",PARAMETROS_IMPORTACION!$A:$A,PARAMETROS_IMPORTACION!$C:$C,0),0)</f>
        <v>0</v>
      </c>
      <c r="J1402" s="3">
        <f ca="1">IFERROR(_xludf.XLOOKUP("Arancel",PARAMETROS_IMPORTACION!$A:$A,PARAMETROS_IMPORTACION!$C:$C,0),0)</f>
        <v>0</v>
      </c>
      <c r="K1402" s="2">
        <f ca="1">IFERROR(_xludf.XLOOKUP("Gastos_Aduana",PARAMETROS_IMPORTACION!$A:$A,PARAMETROS_IMPORTACION!$C:$C,0),0)</f>
        <v>0</v>
      </c>
      <c r="L1402" s="2">
        <f t="shared" si="43"/>
        <v>0</v>
      </c>
    </row>
    <row r="1403" spans="5:12" x14ac:dyDescent="0.35">
      <c r="E1403" s="2"/>
      <c r="F1403" s="2">
        <f>_xlfn.XLOOKUP(D1403,TIPOS_CAMBIO!A:A,TIPOS_CAMBIO!B:B,"",0)</f>
        <v>0</v>
      </c>
      <c r="G1403" s="3">
        <f t="shared" si="42"/>
        <v>0</v>
      </c>
      <c r="H1403" s="3"/>
      <c r="I1403" s="3">
        <f ca="1">IFERROR(_xludf.XLOOKUP("Seguro",PARAMETROS_IMPORTACION!$A:$A,PARAMETROS_IMPORTACION!$C:$C,0),0)</f>
        <v>0</v>
      </c>
      <c r="J1403" s="3">
        <f ca="1">IFERROR(_xludf.XLOOKUP("Arancel",PARAMETROS_IMPORTACION!$A:$A,PARAMETROS_IMPORTACION!$C:$C,0),0)</f>
        <v>0</v>
      </c>
      <c r="K1403" s="2">
        <f ca="1">IFERROR(_xludf.XLOOKUP("Gastos_Aduana",PARAMETROS_IMPORTACION!$A:$A,PARAMETROS_IMPORTACION!$C:$C,0),0)</f>
        <v>0</v>
      </c>
      <c r="L1403" s="2">
        <f t="shared" si="43"/>
        <v>0</v>
      </c>
    </row>
    <row r="1404" spans="5:12" x14ac:dyDescent="0.35">
      <c r="E1404" s="2"/>
      <c r="F1404" s="2">
        <f>_xlfn.XLOOKUP(D1404,TIPOS_CAMBIO!A:A,TIPOS_CAMBIO!B:B,"",0)</f>
        <v>0</v>
      </c>
      <c r="G1404" s="3">
        <f t="shared" si="42"/>
        <v>0</v>
      </c>
      <c r="H1404" s="3"/>
      <c r="I1404" s="3">
        <f ca="1">IFERROR(_xludf.XLOOKUP("Seguro",PARAMETROS_IMPORTACION!$A:$A,PARAMETROS_IMPORTACION!$C:$C,0),0)</f>
        <v>0</v>
      </c>
      <c r="J1404" s="3">
        <f ca="1">IFERROR(_xludf.XLOOKUP("Arancel",PARAMETROS_IMPORTACION!$A:$A,PARAMETROS_IMPORTACION!$C:$C,0),0)</f>
        <v>0</v>
      </c>
      <c r="K1404" s="2">
        <f ca="1">IFERROR(_xludf.XLOOKUP("Gastos_Aduana",PARAMETROS_IMPORTACION!$A:$A,PARAMETROS_IMPORTACION!$C:$C,0),0)</f>
        <v>0</v>
      </c>
      <c r="L1404" s="2">
        <f t="shared" si="43"/>
        <v>0</v>
      </c>
    </row>
    <row r="1405" spans="5:12" x14ac:dyDescent="0.35">
      <c r="E1405" s="2"/>
      <c r="F1405" s="2">
        <f>_xlfn.XLOOKUP(D1405,TIPOS_CAMBIO!A:A,TIPOS_CAMBIO!B:B,"",0)</f>
        <v>0</v>
      </c>
      <c r="G1405" s="3">
        <f t="shared" si="42"/>
        <v>0</v>
      </c>
      <c r="H1405" s="3"/>
      <c r="I1405" s="3">
        <f ca="1">IFERROR(_xludf.XLOOKUP("Seguro",PARAMETROS_IMPORTACION!$A:$A,PARAMETROS_IMPORTACION!$C:$C,0),0)</f>
        <v>0</v>
      </c>
      <c r="J1405" s="3">
        <f ca="1">IFERROR(_xludf.XLOOKUP("Arancel",PARAMETROS_IMPORTACION!$A:$A,PARAMETROS_IMPORTACION!$C:$C,0),0)</f>
        <v>0</v>
      </c>
      <c r="K1405" s="2">
        <f ca="1">IFERROR(_xludf.XLOOKUP("Gastos_Aduana",PARAMETROS_IMPORTACION!$A:$A,PARAMETROS_IMPORTACION!$C:$C,0),0)</f>
        <v>0</v>
      </c>
      <c r="L1405" s="2">
        <f t="shared" si="43"/>
        <v>0</v>
      </c>
    </row>
    <row r="1406" spans="5:12" x14ac:dyDescent="0.35">
      <c r="E1406" s="2"/>
      <c r="F1406" s="2">
        <f>_xlfn.XLOOKUP(D1406,TIPOS_CAMBIO!A:A,TIPOS_CAMBIO!B:B,"",0)</f>
        <v>0</v>
      </c>
      <c r="G1406" s="3">
        <f t="shared" si="42"/>
        <v>0</v>
      </c>
      <c r="H1406" s="3"/>
      <c r="I1406" s="3">
        <f ca="1">IFERROR(_xludf.XLOOKUP("Seguro",PARAMETROS_IMPORTACION!$A:$A,PARAMETROS_IMPORTACION!$C:$C,0),0)</f>
        <v>0</v>
      </c>
      <c r="J1406" s="3">
        <f ca="1">IFERROR(_xludf.XLOOKUP("Arancel",PARAMETROS_IMPORTACION!$A:$A,PARAMETROS_IMPORTACION!$C:$C,0),0)</f>
        <v>0</v>
      </c>
      <c r="K1406" s="2">
        <f ca="1">IFERROR(_xludf.XLOOKUP("Gastos_Aduana",PARAMETROS_IMPORTACION!$A:$A,PARAMETROS_IMPORTACION!$C:$C,0),0)</f>
        <v>0</v>
      </c>
      <c r="L1406" s="2">
        <f t="shared" si="43"/>
        <v>0</v>
      </c>
    </row>
    <row r="1407" spans="5:12" x14ac:dyDescent="0.35">
      <c r="E1407" s="2"/>
      <c r="F1407" s="2">
        <f>_xlfn.XLOOKUP(D1407,TIPOS_CAMBIO!A:A,TIPOS_CAMBIO!B:B,"",0)</f>
        <v>0</v>
      </c>
      <c r="G1407" s="3">
        <f t="shared" si="42"/>
        <v>0</v>
      </c>
      <c r="H1407" s="3"/>
      <c r="I1407" s="3">
        <f ca="1">IFERROR(_xludf.XLOOKUP("Seguro",PARAMETROS_IMPORTACION!$A:$A,PARAMETROS_IMPORTACION!$C:$C,0),0)</f>
        <v>0</v>
      </c>
      <c r="J1407" s="3">
        <f ca="1">IFERROR(_xludf.XLOOKUP("Arancel",PARAMETROS_IMPORTACION!$A:$A,PARAMETROS_IMPORTACION!$C:$C,0),0)</f>
        <v>0</v>
      </c>
      <c r="K1407" s="2">
        <f ca="1">IFERROR(_xludf.XLOOKUP("Gastos_Aduana",PARAMETROS_IMPORTACION!$A:$A,PARAMETROS_IMPORTACION!$C:$C,0),0)</f>
        <v>0</v>
      </c>
      <c r="L1407" s="2">
        <f t="shared" si="43"/>
        <v>0</v>
      </c>
    </row>
    <row r="1408" spans="5:12" x14ac:dyDescent="0.35">
      <c r="E1408" s="2"/>
      <c r="F1408" s="2">
        <f>_xlfn.XLOOKUP(D1408,TIPOS_CAMBIO!A:A,TIPOS_CAMBIO!B:B,"",0)</f>
        <v>0</v>
      </c>
      <c r="G1408" s="3">
        <f t="shared" si="42"/>
        <v>0</v>
      </c>
      <c r="H1408" s="3"/>
      <c r="I1408" s="3">
        <f ca="1">IFERROR(_xludf.XLOOKUP("Seguro",PARAMETROS_IMPORTACION!$A:$A,PARAMETROS_IMPORTACION!$C:$C,0),0)</f>
        <v>0</v>
      </c>
      <c r="J1408" s="3">
        <f ca="1">IFERROR(_xludf.XLOOKUP("Arancel",PARAMETROS_IMPORTACION!$A:$A,PARAMETROS_IMPORTACION!$C:$C,0),0)</f>
        <v>0</v>
      </c>
      <c r="K1408" s="2">
        <f ca="1">IFERROR(_xludf.XLOOKUP("Gastos_Aduana",PARAMETROS_IMPORTACION!$A:$A,PARAMETROS_IMPORTACION!$C:$C,0),0)</f>
        <v>0</v>
      </c>
      <c r="L1408" s="2">
        <f t="shared" si="43"/>
        <v>0</v>
      </c>
    </row>
    <row r="1409" spans="5:12" x14ac:dyDescent="0.35">
      <c r="E1409" s="2"/>
      <c r="F1409" s="2">
        <f>_xlfn.XLOOKUP(D1409,TIPOS_CAMBIO!A:A,TIPOS_CAMBIO!B:B,"",0)</f>
        <v>0</v>
      </c>
      <c r="G1409" s="3">
        <f t="shared" si="42"/>
        <v>0</v>
      </c>
      <c r="H1409" s="3"/>
      <c r="I1409" s="3">
        <f ca="1">IFERROR(_xludf.XLOOKUP("Seguro",PARAMETROS_IMPORTACION!$A:$A,PARAMETROS_IMPORTACION!$C:$C,0),0)</f>
        <v>0</v>
      </c>
      <c r="J1409" s="3">
        <f ca="1">IFERROR(_xludf.XLOOKUP("Arancel",PARAMETROS_IMPORTACION!$A:$A,PARAMETROS_IMPORTACION!$C:$C,0),0)</f>
        <v>0</v>
      </c>
      <c r="K1409" s="2">
        <f ca="1">IFERROR(_xludf.XLOOKUP("Gastos_Aduana",PARAMETROS_IMPORTACION!$A:$A,PARAMETROS_IMPORTACION!$C:$C,0),0)</f>
        <v>0</v>
      </c>
      <c r="L1409" s="2">
        <f t="shared" si="43"/>
        <v>0</v>
      </c>
    </row>
    <row r="1410" spans="5:12" x14ac:dyDescent="0.35">
      <c r="E1410" s="2"/>
      <c r="F1410" s="2">
        <f>_xlfn.XLOOKUP(D1410,TIPOS_CAMBIO!A:A,TIPOS_CAMBIO!B:B,"",0)</f>
        <v>0</v>
      </c>
      <c r="G1410" s="3">
        <f t="shared" ref="G1410:G1473" si="44">$E1410*$F1410</f>
        <v>0</v>
      </c>
      <c r="H1410" s="3"/>
      <c r="I1410" s="3">
        <f ca="1">IFERROR(_xludf.XLOOKUP("Seguro",PARAMETROS_IMPORTACION!$A:$A,PARAMETROS_IMPORTACION!$C:$C,0),0)</f>
        <v>0</v>
      </c>
      <c r="J1410" s="3">
        <f ca="1">IFERROR(_xludf.XLOOKUP("Arancel",PARAMETROS_IMPORTACION!$A:$A,PARAMETROS_IMPORTACION!$C:$C,0),0)</f>
        <v>0</v>
      </c>
      <c r="K1410" s="2">
        <f ca="1">IFERROR(_xludf.XLOOKUP("Gastos_Aduana",PARAMETROS_IMPORTACION!$A:$A,PARAMETROS_IMPORTACION!$C:$C,0),0)</f>
        <v>0</v>
      </c>
      <c r="L1410" s="2">
        <f t="shared" si="43"/>
        <v>0</v>
      </c>
    </row>
    <row r="1411" spans="5:12" x14ac:dyDescent="0.35">
      <c r="E1411" s="2"/>
      <c r="F1411" s="2">
        <f>_xlfn.XLOOKUP(D1411,TIPOS_CAMBIO!A:A,TIPOS_CAMBIO!B:B,"",0)</f>
        <v>0</v>
      </c>
      <c r="G1411" s="3">
        <f t="shared" si="44"/>
        <v>0</v>
      </c>
      <c r="H1411" s="3"/>
      <c r="I1411" s="3">
        <f ca="1">IFERROR(_xludf.XLOOKUP("Seguro",PARAMETROS_IMPORTACION!$A:$A,PARAMETROS_IMPORTACION!$C:$C,0),0)</f>
        <v>0</v>
      </c>
      <c r="J1411" s="3">
        <f ca="1">IFERROR(_xludf.XLOOKUP("Arancel",PARAMETROS_IMPORTACION!$A:$A,PARAMETROS_IMPORTACION!$C:$C,0),0)</f>
        <v>0</v>
      </c>
      <c r="K1411" s="2">
        <f ca="1">IFERROR(_xludf.XLOOKUP("Gastos_Aduana",PARAMETROS_IMPORTACION!$A:$A,PARAMETROS_IMPORTACION!$C:$C,0),0)</f>
        <v>0</v>
      </c>
      <c r="L1411" s="2">
        <f t="shared" ref="L1411:L1474" si="45">IF($C1411="Importado",$G1411*(1+$H1411+$I1411+$J1411)+$K1411,$G1411)</f>
        <v>0</v>
      </c>
    </row>
    <row r="1412" spans="5:12" x14ac:dyDescent="0.35">
      <c r="E1412" s="2"/>
      <c r="F1412" s="2">
        <f>_xlfn.XLOOKUP(D1412,TIPOS_CAMBIO!A:A,TIPOS_CAMBIO!B:B,"",0)</f>
        <v>0</v>
      </c>
      <c r="G1412" s="3">
        <f t="shared" si="44"/>
        <v>0</v>
      </c>
      <c r="H1412" s="3"/>
      <c r="I1412" s="3">
        <f ca="1">IFERROR(_xludf.XLOOKUP("Seguro",PARAMETROS_IMPORTACION!$A:$A,PARAMETROS_IMPORTACION!$C:$C,0),0)</f>
        <v>0</v>
      </c>
      <c r="J1412" s="3">
        <f ca="1">IFERROR(_xludf.XLOOKUP("Arancel",PARAMETROS_IMPORTACION!$A:$A,PARAMETROS_IMPORTACION!$C:$C,0),0)</f>
        <v>0</v>
      </c>
      <c r="K1412" s="2">
        <f ca="1">IFERROR(_xludf.XLOOKUP("Gastos_Aduana",PARAMETROS_IMPORTACION!$A:$A,PARAMETROS_IMPORTACION!$C:$C,0),0)</f>
        <v>0</v>
      </c>
      <c r="L1412" s="2">
        <f t="shared" si="45"/>
        <v>0</v>
      </c>
    </row>
    <row r="1413" spans="5:12" x14ac:dyDescent="0.35">
      <c r="E1413" s="2"/>
      <c r="F1413" s="2">
        <f>_xlfn.XLOOKUP(D1413,TIPOS_CAMBIO!A:A,TIPOS_CAMBIO!B:B,"",0)</f>
        <v>0</v>
      </c>
      <c r="G1413" s="3">
        <f t="shared" si="44"/>
        <v>0</v>
      </c>
      <c r="H1413" s="3"/>
      <c r="I1413" s="3">
        <f ca="1">IFERROR(_xludf.XLOOKUP("Seguro",PARAMETROS_IMPORTACION!$A:$A,PARAMETROS_IMPORTACION!$C:$C,0),0)</f>
        <v>0</v>
      </c>
      <c r="J1413" s="3">
        <f ca="1">IFERROR(_xludf.XLOOKUP("Arancel",PARAMETROS_IMPORTACION!$A:$A,PARAMETROS_IMPORTACION!$C:$C,0),0)</f>
        <v>0</v>
      </c>
      <c r="K1413" s="2">
        <f ca="1">IFERROR(_xludf.XLOOKUP("Gastos_Aduana",PARAMETROS_IMPORTACION!$A:$A,PARAMETROS_IMPORTACION!$C:$C,0),0)</f>
        <v>0</v>
      </c>
      <c r="L1413" s="2">
        <f t="shared" si="45"/>
        <v>0</v>
      </c>
    </row>
    <row r="1414" spans="5:12" x14ac:dyDescent="0.35">
      <c r="E1414" s="2"/>
      <c r="F1414" s="2">
        <f>_xlfn.XLOOKUP(D1414,TIPOS_CAMBIO!A:A,TIPOS_CAMBIO!B:B,"",0)</f>
        <v>0</v>
      </c>
      <c r="G1414" s="3">
        <f t="shared" si="44"/>
        <v>0</v>
      </c>
      <c r="H1414" s="3"/>
      <c r="I1414" s="3">
        <f ca="1">IFERROR(_xludf.XLOOKUP("Seguro",PARAMETROS_IMPORTACION!$A:$A,PARAMETROS_IMPORTACION!$C:$C,0),0)</f>
        <v>0</v>
      </c>
      <c r="J1414" s="3">
        <f ca="1">IFERROR(_xludf.XLOOKUP("Arancel",PARAMETROS_IMPORTACION!$A:$A,PARAMETROS_IMPORTACION!$C:$C,0),0)</f>
        <v>0</v>
      </c>
      <c r="K1414" s="2">
        <f ca="1">IFERROR(_xludf.XLOOKUP("Gastos_Aduana",PARAMETROS_IMPORTACION!$A:$A,PARAMETROS_IMPORTACION!$C:$C,0),0)</f>
        <v>0</v>
      </c>
      <c r="L1414" s="2">
        <f t="shared" si="45"/>
        <v>0</v>
      </c>
    </row>
    <row r="1415" spans="5:12" x14ac:dyDescent="0.35">
      <c r="E1415" s="2"/>
      <c r="F1415" s="2">
        <f>_xlfn.XLOOKUP(D1415,TIPOS_CAMBIO!A:A,TIPOS_CAMBIO!B:B,"",0)</f>
        <v>0</v>
      </c>
      <c r="G1415" s="3">
        <f t="shared" si="44"/>
        <v>0</v>
      </c>
      <c r="H1415" s="3"/>
      <c r="I1415" s="3">
        <f ca="1">IFERROR(_xludf.XLOOKUP("Seguro",PARAMETROS_IMPORTACION!$A:$A,PARAMETROS_IMPORTACION!$C:$C,0),0)</f>
        <v>0</v>
      </c>
      <c r="J1415" s="3">
        <f ca="1">IFERROR(_xludf.XLOOKUP("Arancel",PARAMETROS_IMPORTACION!$A:$A,PARAMETROS_IMPORTACION!$C:$C,0),0)</f>
        <v>0</v>
      </c>
      <c r="K1415" s="2">
        <f ca="1">IFERROR(_xludf.XLOOKUP("Gastos_Aduana",PARAMETROS_IMPORTACION!$A:$A,PARAMETROS_IMPORTACION!$C:$C,0),0)</f>
        <v>0</v>
      </c>
      <c r="L1415" s="2">
        <f t="shared" si="45"/>
        <v>0</v>
      </c>
    </row>
    <row r="1416" spans="5:12" x14ac:dyDescent="0.35">
      <c r="E1416" s="2"/>
      <c r="F1416" s="2">
        <f>_xlfn.XLOOKUP(D1416,TIPOS_CAMBIO!A:A,TIPOS_CAMBIO!B:B,"",0)</f>
        <v>0</v>
      </c>
      <c r="G1416" s="3">
        <f t="shared" si="44"/>
        <v>0</v>
      </c>
      <c r="H1416" s="3"/>
      <c r="I1416" s="3">
        <f ca="1">IFERROR(_xludf.XLOOKUP("Seguro",PARAMETROS_IMPORTACION!$A:$A,PARAMETROS_IMPORTACION!$C:$C,0),0)</f>
        <v>0</v>
      </c>
      <c r="J1416" s="3">
        <f ca="1">IFERROR(_xludf.XLOOKUP("Arancel",PARAMETROS_IMPORTACION!$A:$A,PARAMETROS_IMPORTACION!$C:$C,0),0)</f>
        <v>0</v>
      </c>
      <c r="K1416" s="2">
        <f ca="1">IFERROR(_xludf.XLOOKUP("Gastos_Aduana",PARAMETROS_IMPORTACION!$A:$A,PARAMETROS_IMPORTACION!$C:$C,0),0)</f>
        <v>0</v>
      </c>
      <c r="L1416" s="2">
        <f t="shared" si="45"/>
        <v>0</v>
      </c>
    </row>
    <row r="1417" spans="5:12" x14ac:dyDescent="0.35">
      <c r="E1417" s="2"/>
      <c r="F1417" s="2">
        <f>_xlfn.XLOOKUP(D1417,TIPOS_CAMBIO!A:A,TIPOS_CAMBIO!B:B,"",0)</f>
        <v>0</v>
      </c>
      <c r="G1417" s="3">
        <f t="shared" si="44"/>
        <v>0</v>
      </c>
      <c r="H1417" s="3"/>
      <c r="I1417" s="3">
        <f ca="1">IFERROR(_xludf.XLOOKUP("Seguro",PARAMETROS_IMPORTACION!$A:$A,PARAMETROS_IMPORTACION!$C:$C,0),0)</f>
        <v>0</v>
      </c>
      <c r="J1417" s="3">
        <f ca="1">IFERROR(_xludf.XLOOKUP("Arancel",PARAMETROS_IMPORTACION!$A:$A,PARAMETROS_IMPORTACION!$C:$C,0),0)</f>
        <v>0</v>
      </c>
      <c r="K1417" s="2">
        <f ca="1">IFERROR(_xludf.XLOOKUP("Gastos_Aduana",PARAMETROS_IMPORTACION!$A:$A,PARAMETROS_IMPORTACION!$C:$C,0),0)</f>
        <v>0</v>
      </c>
      <c r="L1417" s="2">
        <f t="shared" si="45"/>
        <v>0</v>
      </c>
    </row>
    <row r="1418" spans="5:12" x14ac:dyDescent="0.35">
      <c r="E1418" s="2"/>
      <c r="F1418" s="2">
        <f>_xlfn.XLOOKUP(D1418,TIPOS_CAMBIO!A:A,TIPOS_CAMBIO!B:B,"",0)</f>
        <v>0</v>
      </c>
      <c r="G1418" s="3">
        <f t="shared" si="44"/>
        <v>0</v>
      </c>
      <c r="H1418" s="3"/>
      <c r="I1418" s="3">
        <f ca="1">IFERROR(_xludf.XLOOKUP("Seguro",PARAMETROS_IMPORTACION!$A:$A,PARAMETROS_IMPORTACION!$C:$C,0),0)</f>
        <v>0</v>
      </c>
      <c r="J1418" s="3">
        <f ca="1">IFERROR(_xludf.XLOOKUP("Arancel",PARAMETROS_IMPORTACION!$A:$A,PARAMETROS_IMPORTACION!$C:$C,0),0)</f>
        <v>0</v>
      </c>
      <c r="K1418" s="2">
        <f ca="1">IFERROR(_xludf.XLOOKUP("Gastos_Aduana",PARAMETROS_IMPORTACION!$A:$A,PARAMETROS_IMPORTACION!$C:$C,0),0)</f>
        <v>0</v>
      </c>
      <c r="L1418" s="2">
        <f t="shared" si="45"/>
        <v>0</v>
      </c>
    </row>
    <row r="1419" spans="5:12" x14ac:dyDescent="0.35">
      <c r="E1419" s="2"/>
      <c r="F1419" s="2">
        <f>_xlfn.XLOOKUP(D1419,TIPOS_CAMBIO!A:A,TIPOS_CAMBIO!B:B,"",0)</f>
        <v>0</v>
      </c>
      <c r="G1419" s="3">
        <f t="shared" si="44"/>
        <v>0</v>
      </c>
      <c r="H1419" s="3"/>
      <c r="I1419" s="3">
        <f ca="1">IFERROR(_xludf.XLOOKUP("Seguro",PARAMETROS_IMPORTACION!$A:$A,PARAMETROS_IMPORTACION!$C:$C,0),0)</f>
        <v>0</v>
      </c>
      <c r="J1419" s="3">
        <f ca="1">IFERROR(_xludf.XLOOKUP("Arancel",PARAMETROS_IMPORTACION!$A:$A,PARAMETROS_IMPORTACION!$C:$C,0),0)</f>
        <v>0</v>
      </c>
      <c r="K1419" s="2">
        <f ca="1">IFERROR(_xludf.XLOOKUP("Gastos_Aduana",PARAMETROS_IMPORTACION!$A:$A,PARAMETROS_IMPORTACION!$C:$C,0),0)</f>
        <v>0</v>
      </c>
      <c r="L1419" s="2">
        <f t="shared" si="45"/>
        <v>0</v>
      </c>
    </row>
    <row r="1420" spans="5:12" x14ac:dyDescent="0.35">
      <c r="E1420" s="2"/>
      <c r="F1420" s="2">
        <f>_xlfn.XLOOKUP(D1420,TIPOS_CAMBIO!A:A,TIPOS_CAMBIO!B:B,"",0)</f>
        <v>0</v>
      </c>
      <c r="G1420" s="3">
        <f t="shared" si="44"/>
        <v>0</v>
      </c>
      <c r="H1420" s="3"/>
      <c r="I1420" s="3">
        <f ca="1">IFERROR(_xludf.XLOOKUP("Seguro",PARAMETROS_IMPORTACION!$A:$A,PARAMETROS_IMPORTACION!$C:$C,0),0)</f>
        <v>0</v>
      </c>
      <c r="J1420" s="3">
        <f ca="1">IFERROR(_xludf.XLOOKUP("Arancel",PARAMETROS_IMPORTACION!$A:$A,PARAMETROS_IMPORTACION!$C:$C,0),0)</f>
        <v>0</v>
      </c>
      <c r="K1420" s="2">
        <f ca="1">IFERROR(_xludf.XLOOKUP("Gastos_Aduana",PARAMETROS_IMPORTACION!$A:$A,PARAMETROS_IMPORTACION!$C:$C,0),0)</f>
        <v>0</v>
      </c>
      <c r="L1420" s="2">
        <f t="shared" si="45"/>
        <v>0</v>
      </c>
    </row>
    <row r="1421" spans="5:12" x14ac:dyDescent="0.35">
      <c r="E1421" s="2"/>
      <c r="F1421" s="2">
        <f>_xlfn.XLOOKUP(D1421,TIPOS_CAMBIO!A:A,TIPOS_CAMBIO!B:B,"",0)</f>
        <v>0</v>
      </c>
      <c r="G1421" s="3">
        <f t="shared" si="44"/>
        <v>0</v>
      </c>
      <c r="H1421" s="3"/>
      <c r="I1421" s="3">
        <f ca="1">IFERROR(_xludf.XLOOKUP("Seguro",PARAMETROS_IMPORTACION!$A:$A,PARAMETROS_IMPORTACION!$C:$C,0),0)</f>
        <v>0</v>
      </c>
      <c r="J1421" s="3">
        <f ca="1">IFERROR(_xludf.XLOOKUP("Arancel",PARAMETROS_IMPORTACION!$A:$A,PARAMETROS_IMPORTACION!$C:$C,0),0)</f>
        <v>0</v>
      </c>
      <c r="K1421" s="2">
        <f ca="1">IFERROR(_xludf.XLOOKUP("Gastos_Aduana",PARAMETROS_IMPORTACION!$A:$A,PARAMETROS_IMPORTACION!$C:$C,0),0)</f>
        <v>0</v>
      </c>
      <c r="L1421" s="2">
        <f t="shared" si="45"/>
        <v>0</v>
      </c>
    </row>
    <row r="1422" spans="5:12" x14ac:dyDescent="0.35">
      <c r="E1422" s="2"/>
      <c r="F1422" s="2">
        <f>_xlfn.XLOOKUP(D1422,TIPOS_CAMBIO!A:A,TIPOS_CAMBIO!B:B,"",0)</f>
        <v>0</v>
      </c>
      <c r="G1422" s="3">
        <f t="shared" si="44"/>
        <v>0</v>
      </c>
      <c r="H1422" s="3"/>
      <c r="I1422" s="3">
        <f ca="1">IFERROR(_xludf.XLOOKUP("Seguro",PARAMETROS_IMPORTACION!$A:$A,PARAMETROS_IMPORTACION!$C:$C,0),0)</f>
        <v>0</v>
      </c>
      <c r="J1422" s="3">
        <f ca="1">IFERROR(_xludf.XLOOKUP("Arancel",PARAMETROS_IMPORTACION!$A:$A,PARAMETROS_IMPORTACION!$C:$C,0),0)</f>
        <v>0</v>
      </c>
      <c r="K1422" s="2">
        <f ca="1">IFERROR(_xludf.XLOOKUP("Gastos_Aduana",PARAMETROS_IMPORTACION!$A:$A,PARAMETROS_IMPORTACION!$C:$C,0),0)</f>
        <v>0</v>
      </c>
      <c r="L1422" s="2">
        <f t="shared" si="45"/>
        <v>0</v>
      </c>
    </row>
    <row r="1423" spans="5:12" x14ac:dyDescent="0.35">
      <c r="E1423" s="2"/>
      <c r="F1423" s="2">
        <f>_xlfn.XLOOKUP(D1423,TIPOS_CAMBIO!A:A,TIPOS_CAMBIO!B:B,"",0)</f>
        <v>0</v>
      </c>
      <c r="G1423" s="3">
        <f t="shared" si="44"/>
        <v>0</v>
      </c>
      <c r="H1423" s="3"/>
      <c r="I1423" s="3">
        <f ca="1">IFERROR(_xludf.XLOOKUP("Seguro",PARAMETROS_IMPORTACION!$A:$A,PARAMETROS_IMPORTACION!$C:$C,0),0)</f>
        <v>0</v>
      </c>
      <c r="J1423" s="3">
        <f ca="1">IFERROR(_xludf.XLOOKUP("Arancel",PARAMETROS_IMPORTACION!$A:$A,PARAMETROS_IMPORTACION!$C:$C,0),0)</f>
        <v>0</v>
      </c>
      <c r="K1423" s="2">
        <f ca="1">IFERROR(_xludf.XLOOKUP("Gastos_Aduana",PARAMETROS_IMPORTACION!$A:$A,PARAMETROS_IMPORTACION!$C:$C,0),0)</f>
        <v>0</v>
      </c>
      <c r="L1423" s="2">
        <f t="shared" si="45"/>
        <v>0</v>
      </c>
    </row>
    <row r="1424" spans="5:12" x14ac:dyDescent="0.35">
      <c r="E1424" s="2"/>
      <c r="F1424" s="2">
        <f>_xlfn.XLOOKUP(D1424,TIPOS_CAMBIO!A:A,TIPOS_CAMBIO!B:B,"",0)</f>
        <v>0</v>
      </c>
      <c r="G1424" s="3">
        <f t="shared" si="44"/>
        <v>0</v>
      </c>
      <c r="H1424" s="3"/>
      <c r="I1424" s="3">
        <f ca="1">IFERROR(_xludf.XLOOKUP("Seguro",PARAMETROS_IMPORTACION!$A:$A,PARAMETROS_IMPORTACION!$C:$C,0),0)</f>
        <v>0</v>
      </c>
      <c r="J1424" s="3">
        <f ca="1">IFERROR(_xludf.XLOOKUP("Arancel",PARAMETROS_IMPORTACION!$A:$A,PARAMETROS_IMPORTACION!$C:$C,0),0)</f>
        <v>0</v>
      </c>
      <c r="K1424" s="2">
        <f ca="1">IFERROR(_xludf.XLOOKUP("Gastos_Aduana",PARAMETROS_IMPORTACION!$A:$A,PARAMETROS_IMPORTACION!$C:$C,0),0)</f>
        <v>0</v>
      </c>
      <c r="L1424" s="2">
        <f t="shared" si="45"/>
        <v>0</v>
      </c>
    </row>
    <row r="1425" spans="5:12" x14ac:dyDescent="0.35">
      <c r="E1425" s="2"/>
      <c r="F1425" s="2">
        <f>_xlfn.XLOOKUP(D1425,TIPOS_CAMBIO!A:A,TIPOS_CAMBIO!B:B,"",0)</f>
        <v>0</v>
      </c>
      <c r="G1425" s="3">
        <f t="shared" si="44"/>
        <v>0</v>
      </c>
      <c r="H1425" s="3"/>
      <c r="I1425" s="3">
        <f ca="1">IFERROR(_xludf.XLOOKUP("Seguro",PARAMETROS_IMPORTACION!$A:$A,PARAMETROS_IMPORTACION!$C:$C,0),0)</f>
        <v>0</v>
      </c>
      <c r="J1425" s="3">
        <f ca="1">IFERROR(_xludf.XLOOKUP("Arancel",PARAMETROS_IMPORTACION!$A:$A,PARAMETROS_IMPORTACION!$C:$C,0),0)</f>
        <v>0</v>
      </c>
      <c r="K1425" s="2">
        <f ca="1">IFERROR(_xludf.XLOOKUP("Gastos_Aduana",PARAMETROS_IMPORTACION!$A:$A,PARAMETROS_IMPORTACION!$C:$C,0),0)</f>
        <v>0</v>
      </c>
      <c r="L1425" s="2">
        <f t="shared" si="45"/>
        <v>0</v>
      </c>
    </row>
    <row r="1426" spans="5:12" x14ac:dyDescent="0.35">
      <c r="E1426" s="2"/>
      <c r="F1426" s="2">
        <f>_xlfn.XLOOKUP(D1426,TIPOS_CAMBIO!A:A,TIPOS_CAMBIO!B:B,"",0)</f>
        <v>0</v>
      </c>
      <c r="G1426" s="3">
        <f t="shared" si="44"/>
        <v>0</v>
      </c>
      <c r="H1426" s="3"/>
      <c r="I1426" s="3">
        <f ca="1">IFERROR(_xludf.XLOOKUP("Seguro",PARAMETROS_IMPORTACION!$A:$A,PARAMETROS_IMPORTACION!$C:$C,0),0)</f>
        <v>0</v>
      </c>
      <c r="J1426" s="3">
        <f ca="1">IFERROR(_xludf.XLOOKUP("Arancel",PARAMETROS_IMPORTACION!$A:$A,PARAMETROS_IMPORTACION!$C:$C,0),0)</f>
        <v>0</v>
      </c>
      <c r="K1426" s="2">
        <f ca="1">IFERROR(_xludf.XLOOKUP("Gastos_Aduana",PARAMETROS_IMPORTACION!$A:$A,PARAMETROS_IMPORTACION!$C:$C,0),0)</f>
        <v>0</v>
      </c>
      <c r="L1426" s="2">
        <f t="shared" si="45"/>
        <v>0</v>
      </c>
    </row>
    <row r="1427" spans="5:12" x14ac:dyDescent="0.35">
      <c r="E1427" s="2"/>
      <c r="F1427" s="2">
        <f>_xlfn.XLOOKUP(D1427,TIPOS_CAMBIO!A:A,TIPOS_CAMBIO!B:B,"",0)</f>
        <v>0</v>
      </c>
      <c r="G1427" s="3">
        <f t="shared" si="44"/>
        <v>0</v>
      </c>
      <c r="H1427" s="3"/>
      <c r="I1427" s="3">
        <f ca="1">IFERROR(_xludf.XLOOKUP("Seguro",PARAMETROS_IMPORTACION!$A:$A,PARAMETROS_IMPORTACION!$C:$C,0),0)</f>
        <v>0</v>
      </c>
      <c r="J1427" s="3">
        <f ca="1">IFERROR(_xludf.XLOOKUP("Arancel",PARAMETROS_IMPORTACION!$A:$A,PARAMETROS_IMPORTACION!$C:$C,0),0)</f>
        <v>0</v>
      </c>
      <c r="K1427" s="2">
        <f ca="1">IFERROR(_xludf.XLOOKUP("Gastos_Aduana",PARAMETROS_IMPORTACION!$A:$A,PARAMETROS_IMPORTACION!$C:$C,0),0)</f>
        <v>0</v>
      </c>
      <c r="L1427" s="2">
        <f t="shared" si="45"/>
        <v>0</v>
      </c>
    </row>
    <row r="1428" spans="5:12" x14ac:dyDescent="0.35">
      <c r="E1428" s="2"/>
      <c r="F1428" s="2">
        <f>_xlfn.XLOOKUP(D1428,TIPOS_CAMBIO!A:A,TIPOS_CAMBIO!B:B,"",0)</f>
        <v>0</v>
      </c>
      <c r="G1428" s="3">
        <f t="shared" si="44"/>
        <v>0</v>
      </c>
      <c r="H1428" s="3"/>
      <c r="I1428" s="3">
        <f ca="1">IFERROR(_xludf.XLOOKUP("Seguro",PARAMETROS_IMPORTACION!$A:$A,PARAMETROS_IMPORTACION!$C:$C,0),0)</f>
        <v>0</v>
      </c>
      <c r="J1428" s="3">
        <f ca="1">IFERROR(_xludf.XLOOKUP("Arancel",PARAMETROS_IMPORTACION!$A:$A,PARAMETROS_IMPORTACION!$C:$C,0),0)</f>
        <v>0</v>
      </c>
      <c r="K1428" s="2">
        <f ca="1">IFERROR(_xludf.XLOOKUP("Gastos_Aduana",PARAMETROS_IMPORTACION!$A:$A,PARAMETROS_IMPORTACION!$C:$C,0),0)</f>
        <v>0</v>
      </c>
      <c r="L1428" s="2">
        <f t="shared" si="45"/>
        <v>0</v>
      </c>
    </row>
    <row r="1429" spans="5:12" x14ac:dyDescent="0.35">
      <c r="E1429" s="2"/>
      <c r="F1429" s="2">
        <f>_xlfn.XLOOKUP(D1429,TIPOS_CAMBIO!A:A,TIPOS_CAMBIO!B:B,"",0)</f>
        <v>0</v>
      </c>
      <c r="G1429" s="3">
        <f t="shared" si="44"/>
        <v>0</v>
      </c>
      <c r="H1429" s="3"/>
      <c r="I1429" s="3">
        <f ca="1">IFERROR(_xludf.XLOOKUP("Seguro",PARAMETROS_IMPORTACION!$A:$A,PARAMETROS_IMPORTACION!$C:$C,0),0)</f>
        <v>0</v>
      </c>
      <c r="J1429" s="3">
        <f ca="1">IFERROR(_xludf.XLOOKUP("Arancel",PARAMETROS_IMPORTACION!$A:$A,PARAMETROS_IMPORTACION!$C:$C,0),0)</f>
        <v>0</v>
      </c>
      <c r="K1429" s="2">
        <f ca="1">IFERROR(_xludf.XLOOKUP("Gastos_Aduana",PARAMETROS_IMPORTACION!$A:$A,PARAMETROS_IMPORTACION!$C:$C,0),0)</f>
        <v>0</v>
      </c>
      <c r="L1429" s="2">
        <f t="shared" si="45"/>
        <v>0</v>
      </c>
    </row>
    <row r="1430" spans="5:12" x14ac:dyDescent="0.35">
      <c r="E1430" s="2"/>
      <c r="F1430" s="2">
        <f>_xlfn.XLOOKUP(D1430,TIPOS_CAMBIO!A:A,TIPOS_CAMBIO!B:B,"",0)</f>
        <v>0</v>
      </c>
      <c r="G1430" s="3">
        <f t="shared" si="44"/>
        <v>0</v>
      </c>
      <c r="H1430" s="3"/>
      <c r="I1430" s="3">
        <f ca="1">IFERROR(_xludf.XLOOKUP("Seguro",PARAMETROS_IMPORTACION!$A:$A,PARAMETROS_IMPORTACION!$C:$C,0),0)</f>
        <v>0</v>
      </c>
      <c r="J1430" s="3">
        <f ca="1">IFERROR(_xludf.XLOOKUP("Arancel",PARAMETROS_IMPORTACION!$A:$A,PARAMETROS_IMPORTACION!$C:$C,0),0)</f>
        <v>0</v>
      </c>
      <c r="K1430" s="2">
        <f ca="1">IFERROR(_xludf.XLOOKUP("Gastos_Aduana",PARAMETROS_IMPORTACION!$A:$A,PARAMETROS_IMPORTACION!$C:$C,0),0)</f>
        <v>0</v>
      </c>
      <c r="L1430" s="2">
        <f t="shared" si="45"/>
        <v>0</v>
      </c>
    </row>
    <row r="1431" spans="5:12" x14ac:dyDescent="0.35">
      <c r="E1431" s="2"/>
      <c r="F1431" s="2">
        <f>_xlfn.XLOOKUP(D1431,TIPOS_CAMBIO!A:A,TIPOS_CAMBIO!B:B,"",0)</f>
        <v>0</v>
      </c>
      <c r="G1431" s="3">
        <f t="shared" si="44"/>
        <v>0</v>
      </c>
      <c r="H1431" s="3"/>
      <c r="I1431" s="3">
        <f ca="1">IFERROR(_xludf.XLOOKUP("Seguro",PARAMETROS_IMPORTACION!$A:$A,PARAMETROS_IMPORTACION!$C:$C,0),0)</f>
        <v>0</v>
      </c>
      <c r="J1431" s="3">
        <f ca="1">IFERROR(_xludf.XLOOKUP("Arancel",PARAMETROS_IMPORTACION!$A:$A,PARAMETROS_IMPORTACION!$C:$C,0),0)</f>
        <v>0</v>
      </c>
      <c r="K1431" s="2">
        <f ca="1">IFERROR(_xludf.XLOOKUP("Gastos_Aduana",PARAMETROS_IMPORTACION!$A:$A,PARAMETROS_IMPORTACION!$C:$C,0),0)</f>
        <v>0</v>
      </c>
      <c r="L1431" s="2">
        <f t="shared" si="45"/>
        <v>0</v>
      </c>
    </row>
    <row r="1432" spans="5:12" x14ac:dyDescent="0.35">
      <c r="E1432" s="2"/>
      <c r="F1432" s="2">
        <f>_xlfn.XLOOKUP(D1432,TIPOS_CAMBIO!A:A,TIPOS_CAMBIO!B:B,"",0)</f>
        <v>0</v>
      </c>
      <c r="G1432" s="3">
        <f t="shared" si="44"/>
        <v>0</v>
      </c>
      <c r="H1432" s="3"/>
      <c r="I1432" s="3">
        <f ca="1">IFERROR(_xludf.XLOOKUP("Seguro",PARAMETROS_IMPORTACION!$A:$A,PARAMETROS_IMPORTACION!$C:$C,0),0)</f>
        <v>0</v>
      </c>
      <c r="J1432" s="3">
        <f ca="1">IFERROR(_xludf.XLOOKUP("Arancel",PARAMETROS_IMPORTACION!$A:$A,PARAMETROS_IMPORTACION!$C:$C,0),0)</f>
        <v>0</v>
      </c>
      <c r="K1432" s="2">
        <f ca="1">IFERROR(_xludf.XLOOKUP("Gastos_Aduana",PARAMETROS_IMPORTACION!$A:$A,PARAMETROS_IMPORTACION!$C:$C,0),0)</f>
        <v>0</v>
      </c>
      <c r="L1432" s="2">
        <f t="shared" si="45"/>
        <v>0</v>
      </c>
    </row>
    <row r="1433" spans="5:12" x14ac:dyDescent="0.35">
      <c r="E1433" s="2"/>
      <c r="F1433" s="2">
        <f>_xlfn.XLOOKUP(D1433,TIPOS_CAMBIO!A:A,TIPOS_CAMBIO!B:B,"",0)</f>
        <v>0</v>
      </c>
      <c r="G1433" s="3">
        <f t="shared" si="44"/>
        <v>0</v>
      </c>
      <c r="H1433" s="3"/>
      <c r="I1433" s="3">
        <f ca="1">IFERROR(_xludf.XLOOKUP("Seguro",PARAMETROS_IMPORTACION!$A:$A,PARAMETROS_IMPORTACION!$C:$C,0),0)</f>
        <v>0</v>
      </c>
      <c r="J1433" s="3">
        <f ca="1">IFERROR(_xludf.XLOOKUP("Arancel",PARAMETROS_IMPORTACION!$A:$A,PARAMETROS_IMPORTACION!$C:$C,0),0)</f>
        <v>0</v>
      </c>
      <c r="K1433" s="2">
        <f ca="1">IFERROR(_xludf.XLOOKUP("Gastos_Aduana",PARAMETROS_IMPORTACION!$A:$A,PARAMETROS_IMPORTACION!$C:$C,0),0)</f>
        <v>0</v>
      </c>
      <c r="L1433" s="2">
        <f t="shared" si="45"/>
        <v>0</v>
      </c>
    </row>
    <row r="1434" spans="5:12" x14ac:dyDescent="0.35">
      <c r="E1434" s="2"/>
      <c r="F1434" s="2">
        <f>_xlfn.XLOOKUP(D1434,TIPOS_CAMBIO!A:A,TIPOS_CAMBIO!B:B,"",0)</f>
        <v>0</v>
      </c>
      <c r="G1434" s="3">
        <f t="shared" si="44"/>
        <v>0</v>
      </c>
      <c r="H1434" s="3"/>
      <c r="I1434" s="3">
        <f ca="1">IFERROR(_xludf.XLOOKUP("Seguro",PARAMETROS_IMPORTACION!$A:$A,PARAMETROS_IMPORTACION!$C:$C,0),0)</f>
        <v>0</v>
      </c>
      <c r="J1434" s="3">
        <f ca="1">IFERROR(_xludf.XLOOKUP("Arancel",PARAMETROS_IMPORTACION!$A:$A,PARAMETROS_IMPORTACION!$C:$C,0),0)</f>
        <v>0</v>
      </c>
      <c r="K1434" s="2">
        <f ca="1">IFERROR(_xludf.XLOOKUP("Gastos_Aduana",PARAMETROS_IMPORTACION!$A:$A,PARAMETROS_IMPORTACION!$C:$C,0),0)</f>
        <v>0</v>
      </c>
      <c r="L1434" s="2">
        <f t="shared" si="45"/>
        <v>0</v>
      </c>
    </row>
    <row r="1435" spans="5:12" x14ac:dyDescent="0.35">
      <c r="E1435" s="2"/>
      <c r="F1435" s="2">
        <f>_xlfn.XLOOKUP(D1435,TIPOS_CAMBIO!A:A,TIPOS_CAMBIO!B:B,"",0)</f>
        <v>0</v>
      </c>
      <c r="G1435" s="3">
        <f t="shared" si="44"/>
        <v>0</v>
      </c>
      <c r="H1435" s="3"/>
      <c r="I1435" s="3">
        <f ca="1">IFERROR(_xludf.XLOOKUP("Seguro",PARAMETROS_IMPORTACION!$A:$A,PARAMETROS_IMPORTACION!$C:$C,0),0)</f>
        <v>0</v>
      </c>
      <c r="J1435" s="3">
        <f ca="1">IFERROR(_xludf.XLOOKUP("Arancel",PARAMETROS_IMPORTACION!$A:$A,PARAMETROS_IMPORTACION!$C:$C,0),0)</f>
        <v>0</v>
      </c>
      <c r="K1435" s="2">
        <f ca="1">IFERROR(_xludf.XLOOKUP("Gastos_Aduana",PARAMETROS_IMPORTACION!$A:$A,PARAMETROS_IMPORTACION!$C:$C,0),0)</f>
        <v>0</v>
      </c>
      <c r="L1435" s="2">
        <f t="shared" si="45"/>
        <v>0</v>
      </c>
    </row>
    <row r="1436" spans="5:12" x14ac:dyDescent="0.35">
      <c r="E1436" s="2"/>
      <c r="F1436" s="2">
        <f>_xlfn.XLOOKUP(D1436,TIPOS_CAMBIO!A:A,TIPOS_CAMBIO!B:B,"",0)</f>
        <v>0</v>
      </c>
      <c r="G1436" s="3">
        <f t="shared" si="44"/>
        <v>0</v>
      </c>
      <c r="H1436" s="3"/>
      <c r="I1436" s="3">
        <f ca="1">IFERROR(_xludf.XLOOKUP("Seguro",PARAMETROS_IMPORTACION!$A:$A,PARAMETROS_IMPORTACION!$C:$C,0),0)</f>
        <v>0</v>
      </c>
      <c r="J1436" s="3">
        <f ca="1">IFERROR(_xludf.XLOOKUP("Arancel",PARAMETROS_IMPORTACION!$A:$A,PARAMETROS_IMPORTACION!$C:$C,0),0)</f>
        <v>0</v>
      </c>
      <c r="K1436" s="2">
        <f ca="1">IFERROR(_xludf.XLOOKUP("Gastos_Aduana",PARAMETROS_IMPORTACION!$A:$A,PARAMETROS_IMPORTACION!$C:$C,0),0)</f>
        <v>0</v>
      </c>
      <c r="L1436" s="2">
        <f t="shared" si="45"/>
        <v>0</v>
      </c>
    </row>
    <row r="1437" spans="5:12" x14ac:dyDescent="0.35">
      <c r="E1437" s="2"/>
      <c r="F1437" s="2">
        <f>_xlfn.XLOOKUP(D1437,TIPOS_CAMBIO!A:A,TIPOS_CAMBIO!B:B,"",0)</f>
        <v>0</v>
      </c>
      <c r="G1437" s="3">
        <f t="shared" si="44"/>
        <v>0</v>
      </c>
      <c r="H1437" s="3"/>
      <c r="I1437" s="3">
        <f ca="1">IFERROR(_xludf.XLOOKUP("Seguro",PARAMETROS_IMPORTACION!$A:$A,PARAMETROS_IMPORTACION!$C:$C,0),0)</f>
        <v>0</v>
      </c>
      <c r="J1437" s="3">
        <f ca="1">IFERROR(_xludf.XLOOKUP("Arancel",PARAMETROS_IMPORTACION!$A:$A,PARAMETROS_IMPORTACION!$C:$C,0),0)</f>
        <v>0</v>
      </c>
      <c r="K1437" s="2">
        <f ca="1">IFERROR(_xludf.XLOOKUP("Gastos_Aduana",PARAMETROS_IMPORTACION!$A:$A,PARAMETROS_IMPORTACION!$C:$C,0),0)</f>
        <v>0</v>
      </c>
      <c r="L1437" s="2">
        <f t="shared" si="45"/>
        <v>0</v>
      </c>
    </row>
    <row r="1438" spans="5:12" x14ac:dyDescent="0.35">
      <c r="E1438" s="2"/>
      <c r="F1438" s="2">
        <f>_xlfn.XLOOKUP(D1438,TIPOS_CAMBIO!A:A,TIPOS_CAMBIO!B:B,"",0)</f>
        <v>0</v>
      </c>
      <c r="G1438" s="3">
        <f t="shared" si="44"/>
        <v>0</v>
      </c>
      <c r="H1438" s="3"/>
      <c r="I1438" s="3">
        <f ca="1">IFERROR(_xludf.XLOOKUP("Seguro",PARAMETROS_IMPORTACION!$A:$A,PARAMETROS_IMPORTACION!$C:$C,0),0)</f>
        <v>0</v>
      </c>
      <c r="J1438" s="3">
        <f ca="1">IFERROR(_xludf.XLOOKUP("Arancel",PARAMETROS_IMPORTACION!$A:$A,PARAMETROS_IMPORTACION!$C:$C,0),0)</f>
        <v>0</v>
      </c>
      <c r="K1438" s="2">
        <f ca="1">IFERROR(_xludf.XLOOKUP("Gastos_Aduana",PARAMETROS_IMPORTACION!$A:$A,PARAMETROS_IMPORTACION!$C:$C,0),0)</f>
        <v>0</v>
      </c>
      <c r="L1438" s="2">
        <f t="shared" si="45"/>
        <v>0</v>
      </c>
    </row>
    <row r="1439" spans="5:12" x14ac:dyDescent="0.35">
      <c r="E1439" s="2"/>
      <c r="F1439" s="2">
        <f>_xlfn.XLOOKUP(D1439,TIPOS_CAMBIO!A:A,TIPOS_CAMBIO!B:B,"",0)</f>
        <v>0</v>
      </c>
      <c r="G1439" s="3">
        <f t="shared" si="44"/>
        <v>0</v>
      </c>
      <c r="H1439" s="3"/>
      <c r="I1439" s="3">
        <f ca="1">IFERROR(_xludf.XLOOKUP("Seguro",PARAMETROS_IMPORTACION!$A:$A,PARAMETROS_IMPORTACION!$C:$C,0),0)</f>
        <v>0</v>
      </c>
      <c r="J1439" s="3">
        <f ca="1">IFERROR(_xludf.XLOOKUP("Arancel",PARAMETROS_IMPORTACION!$A:$A,PARAMETROS_IMPORTACION!$C:$C,0),0)</f>
        <v>0</v>
      </c>
      <c r="K1439" s="2">
        <f ca="1">IFERROR(_xludf.XLOOKUP("Gastos_Aduana",PARAMETROS_IMPORTACION!$A:$A,PARAMETROS_IMPORTACION!$C:$C,0),0)</f>
        <v>0</v>
      </c>
      <c r="L1439" s="2">
        <f t="shared" si="45"/>
        <v>0</v>
      </c>
    </row>
    <row r="1440" spans="5:12" x14ac:dyDescent="0.35">
      <c r="E1440" s="2"/>
      <c r="F1440" s="2">
        <f>_xlfn.XLOOKUP(D1440,TIPOS_CAMBIO!A:A,TIPOS_CAMBIO!B:B,"",0)</f>
        <v>0</v>
      </c>
      <c r="G1440" s="3">
        <f t="shared" si="44"/>
        <v>0</v>
      </c>
      <c r="H1440" s="3"/>
      <c r="I1440" s="3">
        <f ca="1">IFERROR(_xludf.XLOOKUP("Seguro",PARAMETROS_IMPORTACION!$A:$A,PARAMETROS_IMPORTACION!$C:$C,0),0)</f>
        <v>0</v>
      </c>
      <c r="J1440" s="3">
        <f ca="1">IFERROR(_xludf.XLOOKUP("Arancel",PARAMETROS_IMPORTACION!$A:$A,PARAMETROS_IMPORTACION!$C:$C,0),0)</f>
        <v>0</v>
      </c>
      <c r="K1440" s="2">
        <f ca="1">IFERROR(_xludf.XLOOKUP("Gastos_Aduana",PARAMETROS_IMPORTACION!$A:$A,PARAMETROS_IMPORTACION!$C:$C,0),0)</f>
        <v>0</v>
      </c>
      <c r="L1440" s="2">
        <f t="shared" si="45"/>
        <v>0</v>
      </c>
    </row>
    <row r="1441" spans="5:12" x14ac:dyDescent="0.35">
      <c r="E1441" s="2"/>
      <c r="F1441" s="2">
        <f>_xlfn.XLOOKUP(D1441,TIPOS_CAMBIO!A:A,TIPOS_CAMBIO!B:B,"",0)</f>
        <v>0</v>
      </c>
      <c r="G1441" s="3">
        <f t="shared" si="44"/>
        <v>0</v>
      </c>
      <c r="H1441" s="3"/>
      <c r="I1441" s="3">
        <f ca="1">IFERROR(_xludf.XLOOKUP("Seguro",PARAMETROS_IMPORTACION!$A:$A,PARAMETROS_IMPORTACION!$C:$C,0),0)</f>
        <v>0</v>
      </c>
      <c r="J1441" s="3">
        <f ca="1">IFERROR(_xludf.XLOOKUP("Arancel",PARAMETROS_IMPORTACION!$A:$A,PARAMETROS_IMPORTACION!$C:$C,0),0)</f>
        <v>0</v>
      </c>
      <c r="K1441" s="2">
        <f ca="1">IFERROR(_xludf.XLOOKUP("Gastos_Aduana",PARAMETROS_IMPORTACION!$A:$A,PARAMETROS_IMPORTACION!$C:$C,0),0)</f>
        <v>0</v>
      </c>
      <c r="L1441" s="2">
        <f t="shared" si="45"/>
        <v>0</v>
      </c>
    </row>
    <row r="1442" spans="5:12" x14ac:dyDescent="0.35">
      <c r="E1442" s="2"/>
      <c r="F1442" s="2">
        <f>_xlfn.XLOOKUP(D1442,TIPOS_CAMBIO!A:A,TIPOS_CAMBIO!B:B,"",0)</f>
        <v>0</v>
      </c>
      <c r="G1442" s="3">
        <f t="shared" si="44"/>
        <v>0</v>
      </c>
      <c r="H1442" s="3"/>
      <c r="I1442" s="3">
        <f ca="1">IFERROR(_xludf.XLOOKUP("Seguro",PARAMETROS_IMPORTACION!$A:$A,PARAMETROS_IMPORTACION!$C:$C,0),0)</f>
        <v>0</v>
      </c>
      <c r="J1442" s="3">
        <f ca="1">IFERROR(_xludf.XLOOKUP("Arancel",PARAMETROS_IMPORTACION!$A:$A,PARAMETROS_IMPORTACION!$C:$C,0),0)</f>
        <v>0</v>
      </c>
      <c r="K1442" s="2">
        <f ca="1">IFERROR(_xludf.XLOOKUP("Gastos_Aduana",PARAMETROS_IMPORTACION!$A:$A,PARAMETROS_IMPORTACION!$C:$C,0),0)</f>
        <v>0</v>
      </c>
      <c r="L1442" s="2">
        <f t="shared" si="45"/>
        <v>0</v>
      </c>
    </row>
    <row r="1443" spans="5:12" x14ac:dyDescent="0.35">
      <c r="E1443" s="2"/>
      <c r="F1443" s="2">
        <f>_xlfn.XLOOKUP(D1443,TIPOS_CAMBIO!A:A,TIPOS_CAMBIO!B:B,"",0)</f>
        <v>0</v>
      </c>
      <c r="G1443" s="3">
        <f t="shared" si="44"/>
        <v>0</v>
      </c>
      <c r="H1443" s="3"/>
      <c r="I1443" s="3">
        <f ca="1">IFERROR(_xludf.XLOOKUP("Seguro",PARAMETROS_IMPORTACION!$A:$A,PARAMETROS_IMPORTACION!$C:$C,0),0)</f>
        <v>0</v>
      </c>
      <c r="J1443" s="3">
        <f ca="1">IFERROR(_xludf.XLOOKUP("Arancel",PARAMETROS_IMPORTACION!$A:$A,PARAMETROS_IMPORTACION!$C:$C,0),0)</f>
        <v>0</v>
      </c>
      <c r="K1443" s="2">
        <f ca="1">IFERROR(_xludf.XLOOKUP("Gastos_Aduana",PARAMETROS_IMPORTACION!$A:$A,PARAMETROS_IMPORTACION!$C:$C,0),0)</f>
        <v>0</v>
      </c>
      <c r="L1443" s="2">
        <f t="shared" si="45"/>
        <v>0</v>
      </c>
    </row>
    <row r="1444" spans="5:12" x14ac:dyDescent="0.35">
      <c r="E1444" s="2"/>
      <c r="F1444" s="2">
        <f>_xlfn.XLOOKUP(D1444,TIPOS_CAMBIO!A:A,TIPOS_CAMBIO!B:B,"",0)</f>
        <v>0</v>
      </c>
      <c r="G1444" s="3">
        <f t="shared" si="44"/>
        <v>0</v>
      </c>
      <c r="H1444" s="3"/>
      <c r="I1444" s="3">
        <f ca="1">IFERROR(_xludf.XLOOKUP("Seguro",PARAMETROS_IMPORTACION!$A:$A,PARAMETROS_IMPORTACION!$C:$C,0),0)</f>
        <v>0</v>
      </c>
      <c r="J1444" s="3">
        <f ca="1">IFERROR(_xludf.XLOOKUP("Arancel",PARAMETROS_IMPORTACION!$A:$A,PARAMETROS_IMPORTACION!$C:$C,0),0)</f>
        <v>0</v>
      </c>
      <c r="K1444" s="2">
        <f ca="1">IFERROR(_xludf.XLOOKUP("Gastos_Aduana",PARAMETROS_IMPORTACION!$A:$A,PARAMETROS_IMPORTACION!$C:$C,0),0)</f>
        <v>0</v>
      </c>
      <c r="L1444" s="2">
        <f t="shared" si="45"/>
        <v>0</v>
      </c>
    </row>
    <row r="1445" spans="5:12" x14ac:dyDescent="0.35">
      <c r="E1445" s="2"/>
      <c r="F1445" s="2">
        <f>_xlfn.XLOOKUP(D1445,TIPOS_CAMBIO!A:A,TIPOS_CAMBIO!B:B,"",0)</f>
        <v>0</v>
      </c>
      <c r="G1445" s="3">
        <f t="shared" si="44"/>
        <v>0</v>
      </c>
      <c r="H1445" s="3"/>
      <c r="I1445" s="3">
        <f ca="1">IFERROR(_xludf.XLOOKUP("Seguro",PARAMETROS_IMPORTACION!$A:$A,PARAMETROS_IMPORTACION!$C:$C,0),0)</f>
        <v>0</v>
      </c>
      <c r="J1445" s="3">
        <f ca="1">IFERROR(_xludf.XLOOKUP("Arancel",PARAMETROS_IMPORTACION!$A:$A,PARAMETROS_IMPORTACION!$C:$C,0),0)</f>
        <v>0</v>
      </c>
      <c r="K1445" s="2">
        <f ca="1">IFERROR(_xludf.XLOOKUP("Gastos_Aduana",PARAMETROS_IMPORTACION!$A:$A,PARAMETROS_IMPORTACION!$C:$C,0),0)</f>
        <v>0</v>
      </c>
      <c r="L1445" s="2">
        <f t="shared" si="45"/>
        <v>0</v>
      </c>
    </row>
    <row r="1446" spans="5:12" x14ac:dyDescent="0.35">
      <c r="E1446" s="2"/>
      <c r="F1446" s="2">
        <f>_xlfn.XLOOKUP(D1446,TIPOS_CAMBIO!A:A,TIPOS_CAMBIO!B:B,"",0)</f>
        <v>0</v>
      </c>
      <c r="G1446" s="3">
        <f t="shared" si="44"/>
        <v>0</v>
      </c>
      <c r="H1446" s="3"/>
      <c r="I1446" s="3">
        <f ca="1">IFERROR(_xludf.XLOOKUP("Seguro",PARAMETROS_IMPORTACION!$A:$A,PARAMETROS_IMPORTACION!$C:$C,0),0)</f>
        <v>0</v>
      </c>
      <c r="J1446" s="3">
        <f ca="1">IFERROR(_xludf.XLOOKUP("Arancel",PARAMETROS_IMPORTACION!$A:$A,PARAMETROS_IMPORTACION!$C:$C,0),0)</f>
        <v>0</v>
      </c>
      <c r="K1446" s="2">
        <f ca="1">IFERROR(_xludf.XLOOKUP("Gastos_Aduana",PARAMETROS_IMPORTACION!$A:$A,PARAMETROS_IMPORTACION!$C:$C,0),0)</f>
        <v>0</v>
      </c>
      <c r="L1446" s="2">
        <f t="shared" si="45"/>
        <v>0</v>
      </c>
    </row>
    <row r="1447" spans="5:12" x14ac:dyDescent="0.35">
      <c r="E1447" s="2"/>
      <c r="F1447" s="2">
        <f>_xlfn.XLOOKUP(D1447,TIPOS_CAMBIO!A:A,TIPOS_CAMBIO!B:B,"",0)</f>
        <v>0</v>
      </c>
      <c r="G1447" s="3">
        <f t="shared" si="44"/>
        <v>0</v>
      </c>
      <c r="H1447" s="3"/>
      <c r="I1447" s="3">
        <f ca="1">IFERROR(_xludf.XLOOKUP("Seguro",PARAMETROS_IMPORTACION!$A:$A,PARAMETROS_IMPORTACION!$C:$C,0),0)</f>
        <v>0</v>
      </c>
      <c r="J1447" s="3">
        <f ca="1">IFERROR(_xludf.XLOOKUP("Arancel",PARAMETROS_IMPORTACION!$A:$A,PARAMETROS_IMPORTACION!$C:$C,0),0)</f>
        <v>0</v>
      </c>
      <c r="K1447" s="2">
        <f ca="1">IFERROR(_xludf.XLOOKUP("Gastos_Aduana",PARAMETROS_IMPORTACION!$A:$A,PARAMETROS_IMPORTACION!$C:$C,0),0)</f>
        <v>0</v>
      </c>
      <c r="L1447" s="2">
        <f t="shared" si="45"/>
        <v>0</v>
      </c>
    </row>
    <row r="1448" spans="5:12" x14ac:dyDescent="0.35">
      <c r="E1448" s="2"/>
      <c r="F1448" s="2">
        <f>_xlfn.XLOOKUP(D1448,TIPOS_CAMBIO!A:A,TIPOS_CAMBIO!B:B,"",0)</f>
        <v>0</v>
      </c>
      <c r="G1448" s="3">
        <f t="shared" si="44"/>
        <v>0</v>
      </c>
      <c r="H1448" s="3"/>
      <c r="I1448" s="3">
        <f ca="1">IFERROR(_xludf.XLOOKUP("Seguro",PARAMETROS_IMPORTACION!$A:$A,PARAMETROS_IMPORTACION!$C:$C,0),0)</f>
        <v>0</v>
      </c>
      <c r="J1448" s="3">
        <f ca="1">IFERROR(_xludf.XLOOKUP("Arancel",PARAMETROS_IMPORTACION!$A:$A,PARAMETROS_IMPORTACION!$C:$C,0),0)</f>
        <v>0</v>
      </c>
      <c r="K1448" s="2">
        <f ca="1">IFERROR(_xludf.XLOOKUP("Gastos_Aduana",PARAMETROS_IMPORTACION!$A:$A,PARAMETROS_IMPORTACION!$C:$C,0),0)</f>
        <v>0</v>
      </c>
      <c r="L1448" s="2">
        <f t="shared" si="45"/>
        <v>0</v>
      </c>
    </row>
    <row r="1449" spans="5:12" x14ac:dyDescent="0.35">
      <c r="E1449" s="2"/>
      <c r="F1449" s="2">
        <f>_xlfn.XLOOKUP(D1449,TIPOS_CAMBIO!A:A,TIPOS_CAMBIO!B:B,"",0)</f>
        <v>0</v>
      </c>
      <c r="G1449" s="3">
        <f t="shared" si="44"/>
        <v>0</v>
      </c>
      <c r="H1449" s="3"/>
      <c r="I1449" s="3">
        <f ca="1">IFERROR(_xludf.XLOOKUP("Seguro",PARAMETROS_IMPORTACION!$A:$A,PARAMETROS_IMPORTACION!$C:$C,0),0)</f>
        <v>0</v>
      </c>
      <c r="J1449" s="3">
        <f ca="1">IFERROR(_xludf.XLOOKUP("Arancel",PARAMETROS_IMPORTACION!$A:$A,PARAMETROS_IMPORTACION!$C:$C,0),0)</f>
        <v>0</v>
      </c>
      <c r="K1449" s="2">
        <f ca="1">IFERROR(_xludf.XLOOKUP("Gastos_Aduana",PARAMETROS_IMPORTACION!$A:$A,PARAMETROS_IMPORTACION!$C:$C,0),0)</f>
        <v>0</v>
      </c>
      <c r="L1449" s="2">
        <f t="shared" si="45"/>
        <v>0</v>
      </c>
    </row>
    <row r="1450" spans="5:12" x14ac:dyDescent="0.35">
      <c r="E1450" s="2"/>
      <c r="F1450" s="2">
        <f>_xlfn.XLOOKUP(D1450,TIPOS_CAMBIO!A:A,TIPOS_CAMBIO!B:B,"",0)</f>
        <v>0</v>
      </c>
      <c r="G1450" s="3">
        <f t="shared" si="44"/>
        <v>0</v>
      </c>
      <c r="H1450" s="3"/>
      <c r="I1450" s="3">
        <f ca="1">IFERROR(_xludf.XLOOKUP("Seguro",PARAMETROS_IMPORTACION!$A:$A,PARAMETROS_IMPORTACION!$C:$C,0),0)</f>
        <v>0</v>
      </c>
      <c r="J1450" s="3">
        <f ca="1">IFERROR(_xludf.XLOOKUP("Arancel",PARAMETROS_IMPORTACION!$A:$A,PARAMETROS_IMPORTACION!$C:$C,0),0)</f>
        <v>0</v>
      </c>
      <c r="K1450" s="2">
        <f ca="1">IFERROR(_xludf.XLOOKUP("Gastos_Aduana",PARAMETROS_IMPORTACION!$A:$A,PARAMETROS_IMPORTACION!$C:$C,0),0)</f>
        <v>0</v>
      </c>
      <c r="L1450" s="2">
        <f t="shared" si="45"/>
        <v>0</v>
      </c>
    </row>
    <row r="1451" spans="5:12" x14ac:dyDescent="0.35">
      <c r="E1451" s="2"/>
      <c r="F1451" s="2">
        <f>_xlfn.XLOOKUP(D1451,TIPOS_CAMBIO!A:A,TIPOS_CAMBIO!B:B,"",0)</f>
        <v>0</v>
      </c>
      <c r="G1451" s="3">
        <f t="shared" si="44"/>
        <v>0</v>
      </c>
      <c r="H1451" s="3"/>
      <c r="I1451" s="3">
        <f ca="1">IFERROR(_xludf.XLOOKUP("Seguro",PARAMETROS_IMPORTACION!$A:$A,PARAMETROS_IMPORTACION!$C:$C,0),0)</f>
        <v>0</v>
      </c>
      <c r="J1451" s="3">
        <f ca="1">IFERROR(_xludf.XLOOKUP("Arancel",PARAMETROS_IMPORTACION!$A:$A,PARAMETROS_IMPORTACION!$C:$C,0),0)</f>
        <v>0</v>
      </c>
      <c r="K1451" s="2">
        <f ca="1">IFERROR(_xludf.XLOOKUP("Gastos_Aduana",PARAMETROS_IMPORTACION!$A:$A,PARAMETROS_IMPORTACION!$C:$C,0),0)</f>
        <v>0</v>
      </c>
      <c r="L1451" s="2">
        <f t="shared" si="45"/>
        <v>0</v>
      </c>
    </row>
    <row r="1452" spans="5:12" x14ac:dyDescent="0.35">
      <c r="E1452" s="2"/>
      <c r="F1452" s="2">
        <f>_xlfn.XLOOKUP(D1452,TIPOS_CAMBIO!A:A,TIPOS_CAMBIO!B:B,"",0)</f>
        <v>0</v>
      </c>
      <c r="G1452" s="3">
        <f t="shared" si="44"/>
        <v>0</v>
      </c>
      <c r="H1452" s="3"/>
      <c r="I1452" s="3">
        <f ca="1">IFERROR(_xludf.XLOOKUP("Seguro",PARAMETROS_IMPORTACION!$A:$A,PARAMETROS_IMPORTACION!$C:$C,0),0)</f>
        <v>0</v>
      </c>
      <c r="J1452" s="3">
        <f ca="1">IFERROR(_xludf.XLOOKUP("Arancel",PARAMETROS_IMPORTACION!$A:$A,PARAMETROS_IMPORTACION!$C:$C,0),0)</f>
        <v>0</v>
      </c>
      <c r="K1452" s="2">
        <f ca="1">IFERROR(_xludf.XLOOKUP("Gastos_Aduana",PARAMETROS_IMPORTACION!$A:$A,PARAMETROS_IMPORTACION!$C:$C,0),0)</f>
        <v>0</v>
      </c>
      <c r="L1452" s="2">
        <f t="shared" si="45"/>
        <v>0</v>
      </c>
    </row>
    <row r="1453" spans="5:12" x14ac:dyDescent="0.35">
      <c r="E1453" s="2"/>
      <c r="F1453" s="2">
        <f>_xlfn.XLOOKUP(D1453,TIPOS_CAMBIO!A:A,TIPOS_CAMBIO!B:B,"",0)</f>
        <v>0</v>
      </c>
      <c r="G1453" s="3">
        <f t="shared" si="44"/>
        <v>0</v>
      </c>
      <c r="H1453" s="3"/>
      <c r="I1453" s="3">
        <f ca="1">IFERROR(_xludf.XLOOKUP("Seguro",PARAMETROS_IMPORTACION!$A:$A,PARAMETROS_IMPORTACION!$C:$C,0),0)</f>
        <v>0</v>
      </c>
      <c r="J1453" s="3">
        <f ca="1">IFERROR(_xludf.XLOOKUP("Arancel",PARAMETROS_IMPORTACION!$A:$A,PARAMETROS_IMPORTACION!$C:$C,0),0)</f>
        <v>0</v>
      </c>
      <c r="K1453" s="2">
        <f ca="1">IFERROR(_xludf.XLOOKUP("Gastos_Aduana",PARAMETROS_IMPORTACION!$A:$A,PARAMETROS_IMPORTACION!$C:$C,0),0)</f>
        <v>0</v>
      </c>
      <c r="L1453" s="2">
        <f t="shared" si="45"/>
        <v>0</v>
      </c>
    </row>
    <row r="1454" spans="5:12" x14ac:dyDescent="0.35">
      <c r="E1454" s="2"/>
      <c r="F1454" s="2">
        <f>_xlfn.XLOOKUP(D1454,TIPOS_CAMBIO!A:A,TIPOS_CAMBIO!B:B,"",0)</f>
        <v>0</v>
      </c>
      <c r="G1454" s="3">
        <f t="shared" si="44"/>
        <v>0</v>
      </c>
      <c r="H1454" s="3"/>
      <c r="I1454" s="3">
        <f ca="1">IFERROR(_xludf.XLOOKUP("Seguro",PARAMETROS_IMPORTACION!$A:$A,PARAMETROS_IMPORTACION!$C:$C,0),0)</f>
        <v>0</v>
      </c>
      <c r="J1454" s="3">
        <f ca="1">IFERROR(_xludf.XLOOKUP("Arancel",PARAMETROS_IMPORTACION!$A:$A,PARAMETROS_IMPORTACION!$C:$C,0),0)</f>
        <v>0</v>
      </c>
      <c r="K1454" s="2">
        <f ca="1">IFERROR(_xludf.XLOOKUP("Gastos_Aduana",PARAMETROS_IMPORTACION!$A:$A,PARAMETROS_IMPORTACION!$C:$C,0),0)</f>
        <v>0</v>
      </c>
      <c r="L1454" s="2">
        <f t="shared" si="45"/>
        <v>0</v>
      </c>
    </row>
    <row r="1455" spans="5:12" x14ac:dyDescent="0.35">
      <c r="E1455" s="2"/>
      <c r="F1455" s="2">
        <f>_xlfn.XLOOKUP(D1455,TIPOS_CAMBIO!A:A,TIPOS_CAMBIO!B:B,"",0)</f>
        <v>0</v>
      </c>
      <c r="G1455" s="3">
        <f t="shared" si="44"/>
        <v>0</v>
      </c>
      <c r="H1455" s="3"/>
      <c r="I1455" s="3">
        <f ca="1">IFERROR(_xludf.XLOOKUP("Seguro",PARAMETROS_IMPORTACION!$A:$A,PARAMETROS_IMPORTACION!$C:$C,0),0)</f>
        <v>0</v>
      </c>
      <c r="J1455" s="3">
        <f ca="1">IFERROR(_xludf.XLOOKUP("Arancel",PARAMETROS_IMPORTACION!$A:$A,PARAMETROS_IMPORTACION!$C:$C,0),0)</f>
        <v>0</v>
      </c>
      <c r="K1455" s="2">
        <f ca="1">IFERROR(_xludf.XLOOKUP("Gastos_Aduana",PARAMETROS_IMPORTACION!$A:$A,PARAMETROS_IMPORTACION!$C:$C,0),0)</f>
        <v>0</v>
      </c>
      <c r="L1455" s="2">
        <f t="shared" si="45"/>
        <v>0</v>
      </c>
    </row>
    <row r="1456" spans="5:12" x14ac:dyDescent="0.35">
      <c r="E1456" s="2"/>
      <c r="F1456" s="2">
        <f>_xlfn.XLOOKUP(D1456,TIPOS_CAMBIO!A:A,TIPOS_CAMBIO!B:B,"",0)</f>
        <v>0</v>
      </c>
      <c r="G1456" s="3">
        <f t="shared" si="44"/>
        <v>0</v>
      </c>
      <c r="H1456" s="3"/>
      <c r="I1456" s="3">
        <f ca="1">IFERROR(_xludf.XLOOKUP("Seguro",PARAMETROS_IMPORTACION!$A:$A,PARAMETROS_IMPORTACION!$C:$C,0),0)</f>
        <v>0</v>
      </c>
      <c r="J1456" s="3">
        <f ca="1">IFERROR(_xludf.XLOOKUP("Arancel",PARAMETROS_IMPORTACION!$A:$A,PARAMETROS_IMPORTACION!$C:$C,0),0)</f>
        <v>0</v>
      </c>
      <c r="K1456" s="2">
        <f ca="1">IFERROR(_xludf.XLOOKUP("Gastos_Aduana",PARAMETROS_IMPORTACION!$A:$A,PARAMETROS_IMPORTACION!$C:$C,0),0)</f>
        <v>0</v>
      </c>
      <c r="L1456" s="2">
        <f t="shared" si="45"/>
        <v>0</v>
      </c>
    </row>
    <row r="1457" spans="5:12" x14ac:dyDescent="0.35">
      <c r="E1457" s="2"/>
      <c r="F1457" s="2">
        <f>_xlfn.XLOOKUP(D1457,TIPOS_CAMBIO!A:A,TIPOS_CAMBIO!B:B,"",0)</f>
        <v>0</v>
      </c>
      <c r="G1457" s="3">
        <f t="shared" si="44"/>
        <v>0</v>
      </c>
      <c r="H1457" s="3"/>
      <c r="I1457" s="3">
        <f ca="1">IFERROR(_xludf.XLOOKUP("Seguro",PARAMETROS_IMPORTACION!$A:$A,PARAMETROS_IMPORTACION!$C:$C,0),0)</f>
        <v>0</v>
      </c>
      <c r="J1457" s="3">
        <f ca="1">IFERROR(_xludf.XLOOKUP("Arancel",PARAMETROS_IMPORTACION!$A:$A,PARAMETROS_IMPORTACION!$C:$C,0),0)</f>
        <v>0</v>
      </c>
      <c r="K1457" s="2">
        <f ca="1">IFERROR(_xludf.XLOOKUP("Gastos_Aduana",PARAMETROS_IMPORTACION!$A:$A,PARAMETROS_IMPORTACION!$C:$C,0),0)</f>
        <v>0</v>
      </c>
      <c r="L1457" s="2">
        <f t="shared" si="45"/>
        <v>0</v>
      </c>
    </row>
    <row r="1458" spans="5:12" x14ac:dyDescent="0.35">
      <c r="E1458" s="2"/>
      <c r="F1458" s="2">
        <f>_xlfn.XLOOKUP(D1458,TIPOS_CAMBIO!A:A,TIPOS_CAMBIO!B:B,"",0)</f>
        <v>0</v>
      </c>
      <c r="G1458" s="3">
        <f t="shared" si="44"/>
        <v>0</v>
      </c>
      <c r="H1458" s="3"/>
      <c r="I1458" s="3">
        <f ca="1">IFERROR(_xludf.XLOOKUP("Seguro",PARAMETROS_IMPORTACION!$A:$A,PARAMETROS_IMPORTACION!$C:$C,0),0)</f>
        <v>0</v>
      </c>
      <c r="J1458" s="3">
        <f ca="1">IFERROR(_xludf.XLOOKUP("Arancel",PARAMETROS_IMPORTACION!$A:$A,PARAMETROS_IMPORTACION!$C:$C,0),0)</f>
        <v>0</v>
      </c>
      <c r="K1458" s="2">
        <f ca="1">IFERROR(_xludf.XLOOKUP("Gastos_Aduana",PARAMETROS_IMPORTACION!$A:$A,PARAMETROS_IMPORTACION!$C:$C,0),0)</f>
        <v>0</v>
      </c>
      <c r="L1458" s="2">
        <f t="shared" si="45"/>
        <v>0</v>
      </c>
    </row>
    <row r="1459" spans="5:12" x14ac:dyDescent="0.35">
      <c r="E1459" s="2"/>
      <c r="F1459" s="2">
        <f>_xlfn.XLOOKUP(D1459,TIPOS_CAMBIO!A:A,TIPOS_CAMBIO!B:B,"",0)</f>
        <v>0</v>
      </c>
      <c r="G1459" s="3">
        <f t="shared" si="44"/>
        <v>0</v>
      </c>
      <c r="H1459" s="3"/>
      <c r="I1459" s="3">
        <f ca="1">IFERROR(_xludf.XLOOKUP("Seguro",PARAMETROS_IMPORTACION!$A:$A,PARAMETROS_IMPORTACION!$C:$C,0),0)</f>
        <v>0</v>
      </c>
      <c r="J1459" s="3">
        <f ca="1">IFERROR(_xludf.XLOOKUP("Arancel",PARAMETROS_IMPORTACION!$A:$A,PARAMETROS_IMPORTACION!$C:$C,0),0)</f>
        <v>0</v>
      </c>
      <c r="K1459" s="2">
        <f ca="1">IFERROR(_xludf.XLOOKUP("Gastos_Aduana",PARAMETROS_IMPORTACION!$A:$A,PARAMETROS_IMPORTACION!$C:$C,0),0)</f>
        <v>0</v>
      </c>
      <c r="L1459" s="2">
        <f t="shared" si="45"/>
        <v>0</v>
      </c>
    </row>
    <row r="1460" spans="5:12" x14ac:dyDescent="0.35">
      <c r="E1460" s="2"/>
      <c r="F1460" s="2">
        <f>_xlfn.XLOOKUP(D1460,TIPOS_CAMBIO!A:A,TIPOS_CAMBIO!B:B,"",0)</f>
        <v>0</v>
      </c>
      <c r="G1460" s="3">
        <f t="shared" si="44"/>
        <v>0</v>
      </c>
      <c r="H1460" s="3"/>
      <c r="I1460" s="3">
        <f ca="1">IFERROR(_xludf.XLOOKUP("Seguro",PARAMETROS_IMPORTACION!$A:$A,PARAMETROS_IMPORTACION!$C:$C,0),0)</f>
        <v>0</v>
      </c>
      <c r="J1460" s="3">
        <f ca="1">IFERROR(_xludf.XLOOKUP("Arancel",PARAMETROS_IMPORTACION!$A:$A,PARAMETROS_IMPORTACION!$C:$C,0),0)</f>
        <v>0</v>
      </c>
      <c r="K1460" s="2">
        <f ca="1">IFERROR(_xludf.XLOOKUP("Gastos_Aduana",PARAMETROS_IMPORTACION!$A:$A,PARAMETROS_IMPORTACION!$C:$C,0),0)</f>
        <v>0</v>
      </c>
      <c r="L1460" s="2">
        <f t="shared" si="45"/>
        <v>0</v>
      </c>
    </row>
    <row r="1461" spans="5:12" x14ac:dyDescent="0.35">
      <c r="E1461" s="2"/>
      <c r="F1461" s="2">
        <f>_xlfn.XLOOKUP(D1461,TIPOS_CAMBIO!A:A,TIPOS_CAMBIO!B:B,"",0)</f>
        <v>0</v>
      </c>
      <c r="G1461" s="3">
        <f t="shared" si="44"/>
        <v>0</v>
      </c>
      <c r="H1461" s="3"/>
      <c r="I1461" s="3">
        <f ca="1">IFERROR(_xludf.XLOOKUP("Seguro",PARAMETROS_IMPORTACION!$A:$A,PARAMETROS_IMPORTACION!$C:$C,0),0)</f>
        <v>0</v>
      </c>
      <c r="J1461" s="3">
        <f ca="1">IFERROR(_xludf.XLOOKUP("Arancel",PARAMETROS_IMPORTACION!$A:$A,PARAMETROS_IMPORTACION!$C:$C,0),0)</f>
        <v>0</v>
      </c>
      <c r="K1461" s="2">
        <f ca="1">IFERROR(_xludf.XLOOKUP("Gastos_Aduana",PARAMETROS_IMPORTACION!$A:$A,PARAMETROS_IMPORTACION!$C:$C,0),0)</f>
        <v>0</v>
      </c>
      <c r="L1461" s="2">
        <f t="shared" si="45"/>
        <v>0</v>
      </c>
    </row>
    <row r="1462" spans="5:12" x14ac:dyDescent="0.35">
      <c r="E1462" s="2"/>
      <c r="F1462" s="2">
        <f>_xlfn.XLOOKUP(D1462,TIPOS_CAMBIO!A:A,TIPOS_CAMBIO!B:B,"",0)</f>
        <v>0</v>
      </c>
      <c r="G1462" s="3">
        <f t="shared" si="44"/>
        <v>0</v>
      </c>
      <c r="H1462" s="3"/>
      <c r="I1462" s="3">
        <f ca="1">IFERROR(_xludf.XLOOKUP("Seguro",PARAMETROS_IMPORTACION!$A:$A,PARAMETROS_IMPORTACION!$C:$C,0),0)</f>
        <v>0</v>
      </c>
      <c r="J1462" s="3">
        <f ca="1">IFERROR(_xludf.XLOOKUP("Arancel",PARAMETROS_IMPORTACION!$A:$A,PARAMETROS_IMPORTACION!$C:$C,0),0)</f>
        <v>0</v>
      </c>
      <c r="K1462" s="2">
        <f ca="1">IFERROR(_xludf.XLOOKUP("Gastos_Aduana",PARAMETROS_IMPORTACION!$A:$A,PARAMETROS_IMPORTACION!$C:$C,0),0)</f>
        <v>0</v>
      </c>
      <c r="L1462" s="2">
        <f t="shared" si="45"/>
        <v>0</v>
      </c>
    </row>
    <row r="1463" spans="5:12" x14ac:dyDescent="0.35">
      <c r="E1463" s="2"/>
      <c r="F1463" s="2">
        <f>_xlfn.XLOOKUP(D1463,TIPOS_CAMBIO!A:A,TIPOS_CAMBIO!B:B,"",0)</f>
        <v>0</v>
      </c>
      <c r="G1463" s="3">
        <f t="shared" si="44"/>
        <v>0</v>
      </c>
      <c r="H1463" s="3"/>
      <c r="I1463" s="3">
        <f ca="1">IFERROR(_xludf.XLOOKUP("Seguro",PARAMETROS_IMPORTACION!$A:$A,PARAMETROS_IMPORTACION!$C:$C,0),0)</f>
        <v>0</v>
      </c>
      <c r="J1463" s="3">
        <f ca="1">IFERROR(_xludf.XLOOKUP("Arancel",PARAMETROS_IMPORTACION!$A:$A,PARAMETROS_IMPORTACION!$C:$C,0),0)</f>
        <v>0</v>
      </c>
      <c r="K1463" s="2">
        <f ca="1">IFERROR(_xludf.XLOOKUP("Gastos_Aduana",PARAMETROS_IMPORTACION!$A:$A,PARAMETROS_IMPORTACION!$C:$C,0),0)</f>
        <v>0</v>
      </c>
      <c r="L1463" s="2">
        <f t="shared" si="45"/>
        <v>0</v>
      </c>
    </row>
    <row r="1464" spans="5:12" x14ac:dyDescent="0.35">
      <c r="E1464" s="2"/>
      <c r="F1464" s="2">
        <f>_xlfn.XLOOKUP(D1464,TIPOS_CAMBIO!A:A,TIPOS_CAMBIO!B:B,"",0)</f>
        <v>0</v>
      </c>
      <c r="G1464" s="3">
        <f t="shared" si="44"/>
        <v>0</v>
      </c>
      <c r="H1464" s="3"/>
      <c r="I1464" s="3">
        <f ca="1">IFERROR(_xludf.XLOOKUP("Seguro",PARAMETROS_IMPORTACION!$A:$A,PARAMETROS_IMPORTACION!$C:$C,0),0)</f>
        <v>0</v>
      </c>
      <c r="J1464" s="3">
        <f ca="1">IFERROR(_xludf.XLOOKUP("Arancel",PARAMETROS_IMPORTACION!$A:$A,PARAMETROS_IMPORTACION!$C:$C,0),0)</f>
        <v>0</v>
      </c>
      <c r="K1464" s="2">
        <f ca="1">IFERROR(_xludf.XLOOKUP("Gastos_Aduana",PARAMETROS_IMPORTACION!$A:$A,PARAMETROS_IMPORTACION!$C:$C,0),0)</f>
        <v>0</v>
      </c>
      <c r="L1464" s="2">
        <f t="shared" si="45"/>
        <v>0</v>
      </c>
    </row>
    <row r="1465" spans="5:12" x14ac:dyDescent="0.35">
      <c r="E1465" s="2"/>
      <c r="F1465" s="2">
        <f>_xlfn.XLOOKUP(D1465,TIPOS_CAMBIO!A:A,TIPOS_CAMBIO!B:B,"",0)</f>
        <v>0</v>
      </c>
      <c r="G1465" s="3">
        <f t="shared" si="44"/>
        <v>0</v>
      </c>
      <c r="H1465" s="3"/>
      <c r="I1465" s="3">
        <f ca="1">IFERROR(_xludf.XLOOKUP("Seguro",PARAMETROS_IMPORTACION!$A:$A,PARAMETROS_IMPORTACION!$C:$C,0),0)</f>
        <v>0</v>
      </c>
      <c r="J1465" s="3">
        <f ca="1">IFERROR(_xludf.XLOOKUP("Arancel",PARAMETROS_IMPORTACION!$A:$A,PARAMETROS_IMPORTACION!$C:$C,0),0)</f>
        <v>0</v>
      </c>
      <c r="K1465" s="2">
        <f ca="1">IFERROR(_xludf.XLOOKUP("Gastos_Aduana",PARAMETROS_IMPORTACION!$A:$A,PARAMETROS_IMPORTACION!$C:$C,0),0)</f>
        <v>0</v>
      </c>
      <c r="L1465" s="2">
        <f t="shared" si="45"/>
        <v>0</v>
      </c>
    </row>
    <row r="1466" spans="5:12" x14ac:dyDescent="0.35">
      <c r="E1466" s="2"/>
      <c r="F1466" s="2">
        <f>_xlfn.XLOOKUP(D1466,TIPOS_CAMBIO!A:A,TIPOS_CAMBIO!B:B,"",0)</f>
        <v>0</v>
      </c>
      <c r="G1466" s="3">
        <f t="shared" si="44"/>
        <v>0</v>
      </c>
      <c r="H1466" s="3"/>
      <c r="I1466" s="3">
        <f ca="1">IFERROR(_xludf.XLOOKUP("Seguro",PARAMETROS_IMPORTACION!$A:$A,PARAMETROS_IMPORTACION!$C:$C,0),0)</f>
        <v>0</v>
      </c>
      <c r="J1466" s="3">
        <f ca="1">IFERROR(_xludf.XLOOKUP("Arancel",PARAMETROS_IMPORTACION!$A:$A,PARAMETROS_IMPORTACION!$C:$C,0),0)</f>
        <v>0</v>
      </c>
      <c r="K1466" s="2">
        <f ca="1">IFERROR(_xludf.XLOOKUP("Gastos_Aduana",PARAMETROS_IMPORTACION!$A:$A,PARAMETROS_IMPORTACION!$C:$C,0),0)</f>
        <v>0</v>
      </c>
      <c r="L1466" s="2">
        <f t="shared" si="45"/>
        <v>0</v>
      </c>
    </row>
    <row r="1467" spans="5:12" x14ac:dyDescent="0.35">
      <c r="E1467" s="2"/>
      <c r="F1467" s="2">
        <f>_xlfn.XLOOKUP(D1467,TIPOS_CAMBIO!A:A,TIPOS_CAMBIO!B:B,"",0)</f>
        <v>0</v>
      </c>
      <c r="G1467" s="3">
        <f t="shared" si="44"/>
        <v>0</v>
      </c>
      <c r="H1467" s="3"/>
      <c r="I1467" s="3">
        <f ca="1">IFERROR(_xludf.XLOOKUP("Seguro",PARAMETROS_IMPORTACION!$A:$A,PARAMETROS_IMPORTACION!$C:$C,0),0)</f>
        <v>0</v>
      </c>
      <c r="J1467" s="3">
        <f ca="1">IFERROR(_xludf.XLOOKUP("Arancel",PARAMETROS_IMPORTACION!$A:$A,PARAMETROS_IMPORTACION!$C:$C,0),0)</f>
        <v>0</v>
      </c>
      <c r="K1467" s="2">
        <f ca="1">IFERROR(_xludf.XLOOKUP("Gastos_Aduana",PARAMETROS_IMPORTACION!$A:$A,PARAMETROS_IMPORTACION!$C:$C,0),0)</f>
        <v>0</v>
      </c>
      <c r="L1467" s="2">
        <f t="shared" si="45"/>
        <v>0</v>
      </c>
    </row>
    <row r="1468" spans="5:12" x14ac:dyDescent="0.35">
      <c r="E1468" s="2"/>
      <c r="F1468" s="2">
        <f>_xlfn.XLOOKUP(D1468,TIPOS_CAMBIO!A:A,TIPOS_CAMBIO!B:B,"",0)</f>
        <v>0</v>
      </c>
      <c r="G1468" s="3">
        <f t="shared" si="44"/>
        <v>0</v>
      </c>
      <c r="H1468" s="3"/>
      <c r="I1468" s="3">
        <f ca="1">IFERROR(_xludf.XLOOKUP("Seguro",PARAMETROS_IMPORTACION!$A:$A,PARAMETROS_IMPORTACION!$C:$C,0),0)</f>
        <v>0</v>
      </c>
      <c r="J1468" s="3">
        <f ca="1">IFERROR(_xludf.XLOOKUP("Arancel",PARAMETROS_IMPORTACION!$A:$A,PARAMETROS_IMPORTACION!$C:$C,0),0)</f>
        <v>0</v>
      </c>
      <c r="K1468" s="2">
        <f ca="1">IFERROR(_xludf.XLOOKUP("Gastos_Aduana",PARAMETROS_IMPORTACION!$A:$A,PARAMETROS_IMPORTACION!$C:$C,0),0)</f>
        <v>0</v>
      </c>
      <c r="L1468" s="2">
        <f t="shared" si="45"/>
        <v>0</v>
      </c>
    </row>
    <row r="1469" spans="5:12" x14ac:dyDescent="0.35">
      <c r="E1469" s="2"/>
      <c r="F1469" s="2">
        <f>_xlfn.XLOOKUP(D1469,TIPOS_CAMBIO!A:A,TIPOS_CAMBIO!B:B,"",0)</f>
        <v>0</v>
      </c>
      <c r="G1469" s="3">
        <f t="shared" si="44"/>
        <v>0</v>
      </c>
      <c r="H1469" s="3"/>
      <c r="I1469" s="3">
        <f ca="1">IFERROR(_xludf.XLOOKUP("Seguro",PARAMETROS_IMPORTACION!$A:$A,PARAMETROS_IMPORTACION!$C:$C,0),0)</f>
        <v>0</v>
      </c>
      <c r="J1469" s="3">
        <f ca="1">IFERROR(_xludf.XLOOKUP("Arancel",PARAMETROS_IMPORTACION!$A:$A,PARAMETROS_IMPORTACION!$C:$C,0),0)</f>
        <v>0</v>
      </c>
      <c r="K1469" s="2">
        <f ca="1">IFERROR(_xludf.XLOOKUP("Gastos_Aduana",PARAMETROS_IMPORTACION!$A:$A,PARAMETROS_IMPORTACION!$C:$C,0),0)</f>
        <v>0</v>
      </c>
      <c r="L1469" s="2">
        <f t="shared" si="45"/>
        <v>0</v>
      </c>
    </row>
    <row r="1470" spans="5:12" x14ac:dyDescent="0.35">
      <c r="E1470" s="2"/>
      <c r="F1470" s="2">
        <f>_xlfn.XLOOKUP(D1470,TIPOS_CAMBIO!A:A,TIPOS_CAMBIO!B:B,"",0)</f>
        <v>0</v>
      </c>
      <c r="G1470" s="3">
        <f t="shared" si="44"/>
        <v>0</v>
      </c>
      <c r="H1470" s="3"/>
      <c r="I1470" s="3">
        <f ca="1">IFERROR(_xludf.XLOOKUP("Seguro",PARAMETROS_IMPORTACION!$A:$A,PARAMETROS_IMPORTACION!$C:$C,0),0)</f>
        <v>0</v>
      </c>
      <c r="J1470" s="3">
        <f ca="1">IFERROR(_xludf.XLOOKUP("Arancel",PARAMETROS_IMPORTACION!$A:$A,PARAMETROS_IMPORTACION!$C:$C,0),0)</f>
        <v>0</v>
      </c>
      <c r="K1470" s="2">
        <f ca="1">IFERROR(_xludf.XLOOKUP("Gastos_Aduana",PARAMETROS_IMPORTACION!$A:$A,PARAMETROS_IMPORTACION!$C:$C,0),0)</f>
        <v>0</v>
      </c>
      <c r="L1470" s="2">
        <f t="shared" si="45"/>
        <v>0</v>
      </c>
    </row>
    <row r="1471" spans="5:12" x14ac:dyDescent="0.35">
      <c r="E1471" s="2"/>
      <c r="F1471" s="2">
        <f>_xlfn.XLOOKUP(D1471,TIPOS_CAMBIO!A:A,TIPOS_CAMBIO!B:B,"",0)</f>
        <v>0</v>
      </c>
      <c r="G1471" s="3">
        <f t="shared" si="44"/>
        <v>0</v>
      </c>
      <c r="H1471" s="3"/>
      <c r="I1471" s="3">
        <f ca="1">IFERROR(_xludf.XLOOKUP("Seguro",PARAMETROS_IMPORTACION!$A:$A,PARAMETROS_IMPORTACION!$C:$C,0),0)</f>
        <v>0</v>
      </c>
      <c r="J1471" s="3">
        <f ca="1">IFERROR(_xludf.XLOOKUP("Arancel",PARAMETROS_IMPORTACION!$A:$A,PARAMETROS_IMPORTACION!$C:$C,0),0)</f>
        <v>0</v>
      </c>
      <c r="K1471" s="2">
        <f ca="1">IFERROR(_xludf.XLOOKUP("Gastos_Aduana",PARAMETROS_IMPORTACION!$A:$A,PARAMETROS_IMPORTACION!$C:$C,0),0)</f>
        <v>0</v>
      </c>
      <c r="L1471" s="2">
        <f t="shared" si="45"/>
        <v>0</v>
      </c>
    </row>
    <row r="1472" spans="5:12" x14ac:dyDescent="0.35">
      <c r="E1472" s="2"/>
      <c r="F1472" s="2">
        <f>_xlfn.XLOOKUP(D1472,TIPOS_CAMBIO!A:A,TIPOS_CAMBIO!B:B,"",0)</f>
        <v>0</v>
      </c>
      <c r="G1472" s="3">
        <f t="shared" si="44"/>
        <v>0</v>
      </c>
      <c r="H1472" s="3"/>
      <c r="I1472" s="3">
        <f ca="1">IFERROR(_xludf.XLOOKUP("Seguro",PARAMETROS_IMPORTACION!$A:$A,PARAMETROS_IMPORTACION!$C:$C,0),0)</f>
        <v>0</v>
      </c>
      <c r="J1472" s="3">
        <f ca="1">IFERROR(_xludf.XLOOKUP("Arancel",PARAMETROS_IMPORTACION!$A:$A,PARAMETROS_IMPORTACION!$C:$C,0),0)</f>
        <v>0</v>
      </c>
      <c r="K1472" s="2">
        <f ca="1">IFERROR(_xludf.XLOOKUP("Gastos_Aduana",PARAMETROS_IMPORTACION!$A:$A,PARAMETROS_IMPORTACION!$C:$C,0),0)</f>
        <v>0</v>
      </c>
      <c r="L1472" s="2">
        <f t="shared" si="45"/>
        <v>0</v>
      </c>
    </row>
    <row r="1473" spans="5:12" x14ac:dyDescent="0.35">
      <c r="E1473" s="2"/>
      <c r="F1473" s="2">
        <f>_xlfn.XLOOKUP(D1473,TIPOS_CAMBIO!A:A,TIPOS_CAMBIO!B:B,"",0)</f>
        <v>0</v>
      </c>
      <c r="G1473" s="3">
        <f t="shared" si="44"/>
        <v>0</v>
      </c>
      <c r="H1473" s="3"/>
      <c r="I1473" s="3">
        <f ca="1">IFERROR(_xludf.XLOOKUP("Seguro",PARAMETROS_IMPORTACION!$A:$A,PARAMETROS_IMPORTACION!$C:$C,0),0)</f>
        <v>0</v>
      </c>
      <c r="J1473" s="3">
        <f ca="1">IFERROR(_xludf.XLOOKUP("Arancel",PARAMETROS_IMPORTACION!$A:$A,PARAMETROS_IMPORTACION!$C:$C,0),0)</f>
        <v>0</v>
      </c>
      <c r="K1473" s="2">
        <f ca="1">IFERROR(_xludf.XLOOKUP("Gastos_Aduana",PARAMETROS_IMPORTACION!$A:$A,PARAMETROS_IMPORTACION!$C:$C,0),0)</f>
        <v>0</v>
      </c>
      <c r="L1473" s="2">
        <f t="shared" si="45"/>
        <v>0</v>
      </c>
    </row>
    <row r="1474" spans="5:12" x14ac:dyDescent="0.35">
      <c r="E1474" s="2"/>
      <c r="F1474" s="2">
        <f>_xlfn.XLOOKUP(D1474,TIPOS_CAMBIO!A:A,TIPOS_CAMBIO!B:B,"",0)</f>
        <v>0</v>
      </c>
      <c r="G1474" s="3">
        <f t="shared" ref="G1474:G1537" si="46">$E1474*$F1474</f>
        <v>0</v>
      </c>
      <c r="H1474" s="3"/>
      <c r="I1474" s="3">
        <f ca="1">IFERROR(_xludf.XLOOKUP("Seguro",PARAMETROS_IMPORTACION!$A:$A,PARAMETROS_IMPORTACION!$C:$C,0),0)</f>
        <v>0</v>
      </c>
      <c r="J1474" s="3">
        <f ca="1">IFERROR(_xludf.XLOOKUP("Arancel",PARAMETROS_IMPORTACION!$A:$A,PARAMETROS_IMPORTACION!$C:$C,0),0)</f>
        <v>0</v>
      </c>
      <c r="K1474" s="2">
        <f ca="1">IFERROR(_xludf.XLOOKUP("Gastos_Aduana",PARAMETROS_IMPORTACION!$A:$A,PARAMETROS_IMPORTACION!$C:$C,0),0)</f>
        <v>0</v>
      </c>
      <c r="L1474" s="2">
        <f t="shared" si="45"/>
        <v>0</v>
      </c>
    </row>
    <row r="1475" spans="5:12" x14ac:dyDescent="0.35">
      <c r="E1475" s="2"/>
      <c r="F1475" s="2">
        <f>_xlfn.XLOOKUP(D1475,TIPOS_CAMBIO!A:A,TIPOS_CAMBIO!B:B,"",0)</f>
        <v>0</v>
      </c>
      <c r="G1475" s="3">
        <f t="shared" si="46"/>
        <v>0</v>
      </c>
      <c r="H1475" s="3"/>
      <c r="I1475" s="3">
        <f ca="1">IFERROR(_xludf.XLOOKUP("Seguro",PARAMETROS_IMPORTACION!$A:$A,PARAMETROS_IMPORTACION!$C:$C,0),0)</f>
        <v>0</v>
      </c>
      <c r="J1475" s="3">
        <f ca="1">IFERROR(_xludf.XLOOKUP("Arancel",PARAMETROS_IMPORTACION!$A:$A,PARAMETROS_IMPORTACION!$C:$C,0),0)</f>
        <v>0</v>
      </c>
      <c r="K1475" s="2">
        <f ca="1">IFERROR(_xludf.XLOOKUP("Gastos_Aduana",PARAMETROS_IMPORTACION!$A:$A,PARAMETROS_IMPORTACION!$C:$C,0),0)</f>
        <v>0</v>
      </c>
      <c r="L1475" s="2">
        <f t="shared" ref="L1475:L1538" si="47">IF($C1475="Importado",$G1475*(1+$H1475+$I1475+$J1475)+$K1475,$G1475)</f>
        <v>0</v>
      </c>
    </row>
    <row r="1476" spans="5:12" x14ac:dyDescent="0.35">
      <c r="E1476" s="2"/>
      <c r="F1476" s="2">
        <f>_xlfn.XLOOKUP(D1476,TIPOS_CAMBIO!A:A,TIPOS_CAMBIO!B:B,"",0)</f>
        <v>0</v>
      </c>
      <c r="G1476" s="3">
        <f t="shared" si="46"/>
        <v>0</v>
      </c>
      <c r="H1476" s="3"/>
      <c r="I1476" s="3">
        <f ca="1">IFERROR(_xludf.XLOOKUP("Seguro",PARAMETROS_IMPORTACION!$A:$A,PARAMETROS_IMPORTACION!$C:$C,0),0)</f>
        <v>0</v>
      </c>
      <c r="J1476" s="3">
        <f ca="1">IFERROR(_xludf.XLOOKUP("Arancel",PARAMETROS_IMPORTACION!$A:$A,PARAMETROS_IMPORTACION!$C:$C,0),0)</f>
        <v>0</v>
      </c>
      <c r="K1476" s="2">
        <f ca="1">IFERROR(_xludf.XLOOKUP("Gastos_Aduana",PARAMETROS_IMPORTACION!$A:$A,PARAMETROS_IMPORTACION!$C:$C,0),0)</f>
        <v>0</v>
      </c>
      <c r="L1476" s="2">
        <f t="shared" si="47"/>
        <v>0</v>
      </c>
    </row>
    <row r="1477" spans="5:12" x14ac:dyDescent="0.35">
      <c r="E1477" s="2"/>
      <c r="F1477" s="2">
        <f>_xlfn.XLOOKUP(D1477,TIPOS_CAMBIO!A:A,TIPOS_CAMBIO!B:B,"",0)</f>
        <v>0</v>
      </c>
      <c r="G1477" s="3">
        <f t="shared" si="46"/>
        <v>0</v>
      </c>
      <c r="H1477" s="3"/>
      <c r="I1477" s="3">
        <f ca="1">IFERROR(_xludf.XLOOKUP("Seguro",PARAMETROS_IMPORTACION!$A:$A,PARAMETROS_IMPORTACION!$C:$C,0),0)</f>
        <v>0</v>
      </c>
      <c r="J1477" s="3">
        <f ca="1">IFERROR(_xludf.XLOOKUP("Arancel",PARAMETROS_IMPORTACION!$A:$A,PARAMETROS_IMPORTACION!$C:$C,0),0)</f>
        <v>0</v>
      </c>
      <c r="K1477" s="2">
        <f ca="1">IFERROR(_xludf.XLOOKUP("Gastos_Aduana",PARAMETROS_IMPORTACION!$A:$A,PARAMETROS_IMPORTACION!$C:$C,0),0)</f>
        <v>0</v>
      </c>
      <c r="L1477" s="2">
        <f t="shared" si="47"/>
        <v>0</v>
      </c>
    </row>
    <row r="1478" spans="5:12" x14ac:dyDescent="0.35">
      <c r="E1478" s="2"/>
      <c r="F1478" s="2">
        <f>_xlfn.XLOOKUP(D1478,TIPOS_CAMBIO!A:A,TIPOS_CAMBIO!B:B,"",0)</f>
        <v>0</v>
      </c>
      <c r="G1478" s="3">
        <f t="shared" si="46"/>
        <v>0</v>
      </c>
      <c r="H1478" s="3"/>
      <c r="I1478" s="3">
        <f ca="1">IFERROR(_xludf.XLOOKUP("Seguro",PARAMETROS_IMPORTACION!$A:$A,PARAMETROS_IMPORTACION!$C:$C,0),0)</f>
        <v>0</v>
      </c>
      <c r="J1478" s="3">
        <f ca="1">IFERROR(_xludf.XLOOKUP("Arancel",PARAMETROS_IMPORTACION!$A:$A,PARAMETROS_IMPORTACION!$C:$C,0),0)</f>
        <v>0</v>
      </c>
      <c r="K1478" s="2">
        <f ca="1">IFERROR(_xludf.XLOOKUP("Gastos_Aduana",PARAMETROS_IMPORTACION!$A:$A,PARAMETROS_IMPORTACION!$C:$C,0),0)</f>
        <v>0</v>
      </c>
      <c r="L1478" s="2">
        <f t="shared" si="47"/>
        <v>0</v>
      </c>
    </row>
    <row r="1479" spans="5:12" x14ac:dyDescent="0.35">
      <c r="E1479" s="2"/>
      <c r="F1479" s="2">
        <f>_xlfn.XLOOKUP(D1479,TIPOS_CAMBIO!A:A,TIPOS_CAMBIO!B:B,"",0)</f>
        <v>0</v>
      </c>
      <c r="G1479" s="3">
        <f t="shared" si="46"/>
        <v>0</v>
      </c>
      <c r="H1479" s="3"/>
      <c r="I1479" s="3">
        <f ca="1">IFERROR(_xludf.XLOOKUP("Seguro",PARAMETROS_IMPORTACION!$A:$A,PARAMETROS_IMPORTACION!$C:$C,0),0)</f>
        <v>0</v>
      </c>
      <c r="J1479" s="3">
        <f ca="1">IFERROR(_xludf.XLOOKUP("Arancel",PARAMETROS_IMPORTACION!$A:$A,PARAMETROS_IMPORTACION!$C:$C,0),0)</f>
        <v>0</v>
      </c>
      <c r="K1479" s="2">
        <f ca="1">IFERROR(_xludf.XLOOKUP("Gastos_Aduana",PARAMETROS_IMPORTACION!$A:$A,PARAMETROS_IMPORTACION!$C:$C,0),0)</f>
        <v>0</v>
      </c>
      <c r="L1479" s="2">
        <f t="shared" si="47"/>
        <v>0</v>
      </c>
    </row>
    <row r="1480" spans="5:12" x14ac:dyDescent="0.35">
      <c r="E1480" s="2"/>
      <c r="F1480" s="2">
        <f>_xlfn.XLOOKUP(D1480,TIPOS_CAMBIO!A:A,TIPOS_CAMBIO!B:B,"",0)</f>
        <v>0</v>
      </c>
      <c r="G1480" s="3">
        <f t="shared" si="46"/>
        <v>0</v>
      </c>
      <c r="H1480" s="3"/>
      <c r="I1480" s="3">
        <f ca="1">IFERROR(_xludf.XLOOKUP("Seguro",PARAMETROS_IMPORTACION!$A:$A,PARAMETROS_IMPORTACION!$C:$C,0),0)</f>
        <v>0</v>
      </c>
      <c r="J1480" s="3">
        <f ca="1">IFERROR(_xludf.XLOOKUP("Arancel",PARAMETROS_IMPORTACION!$A:$A,PARAMETROS_IMPORTACION!$C:$C,0),0)</f>
        <v>0</v>
      </c>
      <c r="K1480" s="2">
        <f ca="1">IFERROR(_xludf.XLOOKUP("Gastos_Aduana",PARAMETROS_IMPORTACION!$A:$A,PARAMETROS_IMPORTACION!$C:$C,0),0)</f>
        <v>0</v>
      </c>
      <c r="L1480" s="2">
        <f t="shared" si="47"/>
        <v>0</v>
      </c>
    </row>
    <row r="1481" spans="5:12" x14ac:dyDescent="0.35">
      <c r="E1481" s="2"/>
      <c r="F1481" s="2">
        <f>_xlfn.XLOOKUP(D1481,TIPOS_CAMBIO!A:A,TIPOS_CAMBIO!B:B,"",0)</f>
        <v>0</v>
      </c>
      <c r="G1481" s="3">
        <f t="shared" si="46"/>
        <v>0</v>
      </c>
      <c r="H1481" s="3"/>
      <c r="I1481" s="3">
        <f ca="1">IFERROR(_xludf.XLOOKUP("Seguro",PARAMETROS_IMPORTACION!$A:$A,PARAMETROS_IMPORTACION!$C:$C,0),0)</f>
        <v>0</v>
      </c>
      <c r="J1481" s="3">
        <f ca="1">IFERROR(_xludf.XLOOKUP("Arancel",PARAMETROS_IMPORTACION!$A:$A,PARAMETROS_IMPORTACION!$C:$C,0),0)</f>
        <v>0</v>
      </c>
      <c r="K1481" s="2">
        <f ca="1">IFERROR(_xludf.XLOOKUP("Gastos_Aduana",PARAMETROS_IMPORTACION!$A:$A,PARAMETROS_IMPORTACION!$C:$C,0),0)</f>
        <v>0</v>
      </c>
      <c r="L1481" s="2">
        <f t="shared" si="47"/>
        <v>0</v>
      </c>
    </row>
    <row r="1482" spans="5:12" x14ac:dyDescent="0.35">
      <c r="E1482" s="2"/>
      <c r="F1482" s="2">
        <f>_xlfn.XLOOKUP(D1482,TIPOS_CAMBIO!A:A,TIPOS_CAMBIO!B:B,"",0)</f>
        <v>0</v>
      </c>
      <c r="G1482" s="3">
        <f t="shared" si="46"/>
        <v>0</v>
      </c>
      <c r="H1482" s="3"/>
      <c r="I1482" s="3">
        <f ca="1">IFERROR(_xludf.XLOOKUP("Seguro",PARAMETROS_IMPORTACION!$A:$A,PARAMETROS_IMPORTACION!$C:$C,0),0)</f>
        <v>0</v>
      </c>
      <c r="J1482" s="3">
        <f ca="1">IFERROR(_xludf.XLOOKUP("Arancel",PARAMETROS_IMPORTACION!$A:$A,PARAMETROS_IMPORTACION!$C:$C,0),0)</f>
        <v>0</v>
      </c>
      <c r="K1482" s="2">
        <f ca="1">IFERROR(_xludf.XLOOKUP("Gastos_Aduana",PARAMETROS_IMPORTACION!$A:$A,PARAMETROS_IMPORTACION!$C:$C,0),0)</f>
        <v>0</v>
      </c>
      <c r="L1482" s="2">
        <f t="shared" si="47"/>
        <v>0</v>
      </c>
    </row>
    <row r="1483" spans="5:12" x14ac:dyDescent="0.35">
      <c r="E1483" s="2"/>
      <c r="F1483" s="2">
        <f>_xlfn.XLOOKUP(D1483,TIPOS_CAMBIO!A:A,TIPOS_CAMBIO!B:B,"",0)</f>
        <v>0</v>
      </c>
      <c r="G1483" s="3">
        <f t="shared" si="46"/>
        <v>0</v>
      </c>
      <c r="H1483" s="3"/>
      <c r="I1483" s="3">
        <f ca="1">IFERROR(_xludf.XLOOKUP("Seguro",PARAMETROS_IMPORTACION!$A:$A,PARAMETROS_IMPORTACION!$C:$C,0),0)</f>
        <v>0</v>
      </c>
      <c r="J1483" s="3">
        <f ca="1">IFERROR(_xludf.XLOOKUP("Arancel",PARAMETROS_IMPORTACION!$A:$A,PARAMETROS_IMPORTACION!$C:$C,0),0)</f>
        <v>0</v>
      </c>
      <c r="K1483" s="2">
        <f ca="1">IFERROR(_xludf.XLOOKUP("Gastos_Aduana",PARAMETROS_IMPORTACION!$A:$A,PARAMETROS_IMPORTACION!$C:$C,0),0)</f>
        <v>0</v>
      </c>
      <c r="L1483" s="2">
        <f t="shared" si="47"/>
        <v>0</v>
      </c>
    </row>
    <row r="1484" spans="5:12" x14ac:dyDescent="0.35">
      <c r="E1484" s="2"/>
      <c r="F1484" s="2">
        <f>_xlfn.XLOOKUP(D1484,TIPOS_CAMBIO!A:A,TIPOS_CAMBIO!B:B,"",0)</f>
        <v>0</v>
      </c>
      <c r="G1484" s="3">
        <f t="shared" si="46"/>
        <v>0</v>
      </c>
      <c r="H1484" s="3"/>
      <c r="I1484" s="3">
        <f ca="1">IFERROR(_xludf.XLOOKUP("Seguro",PARAMETROS_IMPORTACION!$A:$A,PARAMETROS_IMPORTACION!$C:$C,0),0)</f>
        <v>0</v>
      </c>
      <c r="J1484" s="3">
        <f ca="1">IFERROR(_xludf.XLOOKUP("Arancel",PARAMETROS_IMPORTACION!$A:$A,PARAMETROS_IMPORTACION!$C:$C,0),0)</f>
        <v>0</v>
      </c>
      <c r="K1484" s="2">
        <f ca="1">IFERROR(_xludf.XLOOKUP("Gastos_Aduana",PARAMETROS_IMPORTACION!$A:$A,PARAMETROS_IMPORTACION!$C:$C,0),0)</f>
        <v>0</v>
      </c>
      <c r="L1484" s="2">
        <f t="shared" si="47"/>
        <v>0</v>
      </c>
    </row>
    <row r="1485" spans="5:12" x14ac:dyDescent="0.35">
      <c r="E1485" s="2"/>
      <c r="F1485" s="2">
        <f>_xlfn.XLOOKUP(D1485,TIPOS_CAMBIO!A:A,TIPOS_CAMBIO!B:B,"",0)</f>
        <v>0</v>
      </c>
      <c r="G1485" s="3">
        <f t="shared" si="46"/>
        <v>0</v>
      </c>
      <c r="H1485" s="3"/>
      <c r="I1485" s="3">
        <f ca="1">IFERROR(_xludf.XLOOKUP("Seguro",PARAMETROS_IMPORTACION!$A:$A,PARAMETROS_IMPORTACION!$C:$C,0),0)</f>
        <v>0</v>
      </c>
      <c r="J1485" s="3">
        <f ca="1">IFERROR(_xludf.XLOOKUP("Arancel",PARAMETROS_IMPORTACION!$A:$A,PARAMETROS_IMPORTACION!$C:$C,0),0)</f>
        <v>0</v>
      </c>
      <c r="K1485" s="2">
        <f ca="1">IFERROR(_xludf.XLOOKUP("Gastos_Aduana",PARAMETROS_IMPORTACION!$A:$A,PARAMETROS_IMPORTACION!$C:$C,0),0)</f>
        <v>0</v>
      </c>
      <c r="L1485" s="2">
        <f t="shared" si="47"/>
        <v>0</v>
      </c>
    </row>
    <row r="1486" spans="5:12" x14ac:dyDescent="0.35">
      <c r="E1486" s="2"/>
      <c r="F1486" s="2">
        <f>_xlfn.XLOOKUP(D1486,TIPOS_CAMBIO!A:A,TIPOS_CAMBIO!B:B,"",0)</f>
        <v>0</v>
      </c>
      <c r="G1486" s="3">
        <f t="shared" si="46"/>
        <v>0</v>
      </c>
      <c r="H1486" s="3"/>
      <c r="I1486" s="3">
        <f ca="1">IFERROR(_xludf.XLOOKUP("Seguro",PARAMETROS_IMPORTACION!$A:$A,PARAMETROS_IMPORTACION!$C:$C,0),0)</f>
        <v>0</v>
      </c>
      <c r="J1486" s="3">
        <f ca="1">IFERROR(_xludf.XLOOKUP("Arancel",PARAMETROS_IMPORTACION!$A:$A,PARAMETROS_IMPORTACION!$C:$C,0),0)</f>
        <v>0</v>
      </c>
      <c r="K1486" s="2">
        <f ca="1">IFERROR(_xludf.XLOOKUP("Gastos_Aduana",PARAMETROS_IMPORTACION!$A:$A,PARAMETROS_IMPORTACION!$C:$C,0),0)</f>
        <v>0</v>
      </c>
      <c r="L1486" s="2">
        <f t="shared" si="47"/>
        <v>0</v>
      </c>
    </row>
    <row r="1487" spans="5:12" x14ac:dyDescent="0.35">
      <c r="E1487" s="2"/>
      <c r="F1487" s="2">
        <f>_xlfn.XLOOKUP(D1487,TIPOS_CAMBIO!A:A,TIPOS_CAMBIO!B:B,"",0)</f>
        <v>0</v>
      </c>
      <c r="G1487" s="3">
        <f t="shared" si="46"/>
        <v>0</v>
      </c>
      <c r="H1487" s="3"/>
      <c r="I1487" s="3">
        <f ca="1">IFERROR(_xludf.XLOOKUP("Seguro",PARAMETROS_IMPORTACION!$A:$A,PARAMETROS_IMPORTACION!$C:$C,0),0)</f>
        <v>0</v>
      </c>
      <c r="J1487" s="3">
        <f ca="1">IFERROR(_xludf.XLOOKUP("Arancel",PARAMETROS_IMPORTACION!$A:$A,PARAMETROS_IMPORTACION!$C:$C,0),0)</f>
        <v>0</v>
      </c>
      <c r="K1487" s="2">
        <f ca="1">IFERROR(_xludf.XLOOKUP("Gastos_Aduana",PARAMETROS_IMPORTACION!$A:$A,PARAMETROS_IMPORTACION!$C:$C,0),0)</f>
        <v>0</v>
      </c>
      <c r="L1487" s="2">
        <f t="shared" si="47"/>
        <v>0</v>
      </c>
    </row>
    <row r="1488" spans="5:12" x14ac:dyDescent="0.35">
      <c r="E1488" s="2"/>
      <c r="F1488" s="2">
        <f>_xlfn.XLOOKUP(D1488,TIPOS_CAMBIO!A:A,TIPOS_CAMBIO!B:B,"",0)</f>
        <v>0</v>
      </c>
      <c r="G1488" s="3">
        <f t="shared" si="46"/>
        <v>0</v>
      </c>
      <c r="H1488" s="3"/>
      <c r="I1488" s="3">
        <f ca="1">IFERROR(_xludf.XLOOKUP("Seguro",PARAMETROS_IMPORTACION!$A:$A,PARAMETROS_IMPORTACION!$C:$C,0),0)</f>
        <v>0</v>
      </c>
      <c r="J1488" s="3">
        <f ca="1">IFERROR(_xludf.XLOOKUP("Arancel",PARAMETROS_IMPORTACION!$A:$A,PARAMETROS_IMPORTACION!$C:$C,0),0)</f>
        <v>0</v>
      </c>
      <c r="K1488" s="2">
        <f ca="1">IFERROR(_xludf.XLOOKUP("Gastos_Aduana",PARAMETROS_IMPORTACION!$A:$A,PARAMETROS_IMPORTACION!$C:$C,0),0)</f>
        <v>0</v>
      </c>
      <c r="L1488" s="2">
        <f t="shared" si="47"/>
        <v>0</v>
      </c>
    </row>
    <row r="1489" spans="5:12" x14ac:dyDescent="0.35">
      <c r="E1489" s="2"/>
      <c r="F1489" s="2">
        <f>_xlfn.XLOOKUP(D1489,TIPOS_CAMBIO!A:A,TIPOS_CAMBIO!B:B,"",0)</f>
        <v>0</v>
      </c>
      <c r="G1489" s="3">
        <f t="shared" si="46"/>
        <v>0</v>
      </c>
      <c r="H1489" s="3"/>
      <c r="I1489" s="3">
        <f ca="1">IFERROR(_xludf.XLOOKUP("Seguro",PARAMETROS_IMPORTACION!$A:$A,PARAMETROS_IMPORTACION!$C:$C,0),0)</f>
        <v>0</v>
      </c>
      <c r="J1489" s="3">
        <f ca="1">IFERROR(_xludf.XLOOKUP("Arancel",PARAMETROS_IMPORTACION!$A:$A,PARAMETROS_IMPORTACION!$C:$C,0),0)</f>
        <v>0</v>
      </c>
      <c r="K1489" s="2">
        <f ca="1">IFERROR(_xludf.XLOOKUP("Gastos_Aduana",PARAMETROS_IMPORTACION!$A:$A,PARAMETROS_IMPORTACION!$C:$C,0),0)</f>
        <v>0</v>
      </c>
      <c r="L1489" s="2">
        <f t="shared" si="47"/>
        <v>0</v>
      </c>
    </row>
    <row r="1490" spans="5:12" x14ac:dyDescent="0.35">
      <c r="E1490" s="2"/>
      <c r="F1490" s="2">
        <f>_xlfn.XLOOKUP(D1490,TIPOS_CAMBIO!A:A,TIPOS_CAMBIO!B:B,"",0)</f>
        <v>0</v>
      </c>
      <c r="G1490" s="3">
        <f t="shared" si="46"/>
        <v>0</v>
      </c>
      <c r="H1490" s="3"/>
      <c r="I1490" s="3">
        <f ca="1">IFERROR(_xludf.XLOOKUP("Seguro",PARAMETROS_IMPORTACION!$A:$A,PARAMETROS_IMPORTACION!$C:$C,0),0)</f>
        <v>0</v>
      </c>
      <c r="J1490" s="3">
        <f ca="1">IFERROR(_xludf.XLOOKUP("Arancel",PARAMETROS_IMPORTACION!$A:$A,PARAMETROS_IMPORTACION!$C:$C,0),0)</f>
        <v>0</v>
      </c>
      <c r="K1490" s="2">
        <f ca="1">IFERROR(_xludf.XLOOKUP("Gastos_Aduana",PARAMETROS_IMPORTACION!$A:$A,PARAMETROS_IMPORTACION!$C:$C,0),0)</f>
        <v>0</v>
      </c>
      <c r="L1490" s="2">
        <f t="shared" si="47"/>
        <v>0</v>
      </c>
    </row>
    <row r="1491" spans="5:12" x14ac:dyDescent="0.35">
      <c r="E1491" s="2"/>
      <c r="F1491" s="2">
        <f>_xlfn.XLOOKUP(D1491,TIPOS_CAMBIO!A:A,TIPOS_CAMBIO!B:B,"",0)</f>
        <v>0</v>
      </c>
      <c r="G1491" s="3">
        <f t="shared" si="46"/>
        <v>0</v>
      </c>
      <c r="H1491" s="3"/>
      <c r="I1491" s="3">
        <f ca="1">IFERROR(_xludf.XLOOKUP("Seguro",PARAMETROS_IMPORTACION!$A:$A,PARAMETROS_IMPORTACION!$C:$C,0),0)</f>
        <v>0</v>
      </c>
      <c r="J1491" s="3">
        <f ca="1">IFERROR(_xludf.XLOOKUP("Arancel",PARAMETROS_IMPORTACION!$A:$A,PARAMETROS_IMPORTACION!$C:$C,0),0)</f>
        <v>0</v>
      </c>
      <c r="K1491" s="2">
        <f ca="1">IFERROR(_xludf.XLOOKUP("Gastos_Aduana",PARAMETROS_IMPORTACION!$A:$A,PARAMETROS_IMPORTACION!$C:$C,0),0)</f>
        <v>0</v>
      </c>
      <c r="L1491" s="2">
        <f t="shared" si="47"/>
        <v>0</v>
      </c>
    </row>
    <row r="1492" spans="5:12" x14ac:dyDescent="0.35">
      <c r="E1492" s="2"/>
      <c r="F1492" s="2">
        <f>_xlfn.XLOOKUP(D1492,TIPOS_CAMBIO!A:A,TIPOS_CAMBIO!B:B,"",0)</f>
        <v>0</v>
      </c>
      <c r="G1492" s="3">
        <f t="shared" si="46"/>
        <v>0</v>
      </c>
      <c r="H1492" s="3"/>
      <c r="I1492" s="3">
        <f ca="1">IFERROR(_xludf.XLOOKUP("Seguro",PARAMETROS_IMPORTACION!$A:$A,PARAMETROS_IMPORTACION!$C:$C,0),0)</f>
        <v>0</v>
      </c>
      <c r="J1492" s="3">
        <f ca="1">IFERROR(_xludf.XLOOKUP("Arancel",PARAMETROS_IMPORTACION!$A:$A,PARAMETROS_IMPORTACION!$C:$C,0),0)</f>
        <v>0</v>
      </c>
      <c r="K1492" s="2">
        <f ca="1">IFERROR(_xludf.XLOOKUP("Gastos_Aduana",PARAMETROS_IMPORTACION!$A:$A,PARAMETROS_IMPORTACION!$C:$C,0),0)</f>
        <v>0</v>
      </c>
      <c r="L1492" s="2">
        <f t="shared" si="47"/>
        <v>0</v>
      </c>
    </row>
    <row r="1493" spans="5:12" x14ac:dyDescent="0.35">
      <c r="E1493" s="2"/>
      <c r="F1493" s="2">
        <f>_xlfn.XLOOKUP(D1493,TIPOS_CAMBIO!A:A,TIPOS_CAMBIO!B:B,"",0)</f>
        <v>0</v>
      </c>
      <c r="G1493" s="3">
        <f t="shared" si="46"/>
        <v>0</v>
      </c>
      <c r="H1493" s="3"/>
      <c r="I1493" s="3">
        <f ca="1">IFERROR(_xludf.XLOOKUP("Seguro",PARAMETROS_IMPORTACION!$A:$A,PARAMETROS_IMPORTACION!$C:$C,0),0)</f>
        <v>0</v>
      </c>
      <c r="J1493" s="3">
        <f ca="1">IFERROR(_xludf.XLOOKUP("Arancel",PARAMETROS_IMPORTACION!$A:$A,PARAMETROS_IMPORTACION!$C:$C,0),0)</f>
        <v>0</v>
      </c>
      <c r="K1493" s="2">
        <f ca="1">IFERROR(_xludf.XLOOKUP("Gastos_Aduana",PARAMETROS_IMPORTACION!$A:$A,PARAMETROS_IMPORTACION!$C:$C,0),0)</f>
        <v>0</v>
      </c>
      <c r="L1493" s="2">
        <f t="shared" si="47"/>
        <v>0</v>
      </c>
    </row>
    <row r="1494" spans="5:12" x14ac:dyDescent="0.35">
      <c r="E1494" s="2"/>
      <c r="F1494" s="2">
        <f>_xlfn.XLOOKUP(D1494,TIPOS_CAMBIO!A:A,TIPOS_CAMBIO!B:B,"",0)</f>
        <v>0</v>
      </c>
      <c r="G1494" s="3">
        <f t="shared" si="46"/>
        <v>0</v>
      </c>
      <c r="H1494" s="3"/>
      <c r="I1494" s="3">
        <f ca="1">IFERROR(_xludf.XLOOKUP("Seguro",PARAMETROS_IMPORTACION!$A:$A,PARAMETROS_IMPORTACION!$C:$C,0),0)</f>
        <v>0</v>
      </c>
      <c r="J1494" s="3">
        <f ca="1">IFERROR(_xludf.XLOOKUP("Arancel",PARAMETROS_IMPORTACION!$A:$A,PARAMETROS_IMPORTACION!$C:$C,0),0)</f>
        <v>0</v>
      </c>
      <c r="K1494" s="2">
        <f ca="1">IFERROR(_xludf.XLOOKUP("Gastos_Aduana",PARAMETROS_IMPORTACION!$A:$A,PARAMETROS_IMPORTACION!$C:$C,0),0)</f>
        <v>0</v>
      </c>
      <c r="L1494" s="2">
        <f t="shared" si="47"/>
        <v>0</v>
      </c>
    </row>
    <row r="1495" spans="5:12" x14ac:dyDescent="0.35">
      <c r="E1495" s="2"/>
      <c r="F1495" s="2">
        <f>_xlfn.XLOOKUP(D1495,TIPOS_CAMBIO!A:A,TIPOS_CAMBIO!B:B,"",0)</f>
        <v>0</v>
      </c>
      <c r="G1495" s="3">
        <f t="shared" si="46"/>
        <v>0</v>
      </c>
      <c r="H1495" s="3"/>
      <c r="I1495" s="3">
        <f ca="1">IFERROR(_xludf.XLOOKUP("Seguro",PARAMETROS_IMPORTACION!$A:$A,PARAMETROS_IMPORTACION!$C:$C,0),0)</f>
        <v>0</v>
      </c>
      <c r="J1495" s="3">
        <f ca="1">IFERROR(_xludf.XLOOKUP("Arancel",PARAMETROS_IMPORTACION!$A:$A,PARAMETROS_IMPORTACION!$C:$C,0),0)</f>
        <v>0</v>
      </c>
      <c r="K1495" s="2">
        <f ca="1">IFERROR(_xludf.XLOOKUP("Gastos_Aduana",PARAMETROS_IMPORTACION!$A:$A,PARAMETROS_IMPORTACION!$C:$C,0),0)</f>
        <v>0</v>
      </c>
      <c r="L1495" s="2">
        <f t="shared" si="47"/>
        <v>0</v>
      </c>
    </row>
    <row r="1496" spans="5:12" x14ac:dyDescent="0.35">
      <c r="E1496" s="2"/>
      <c r="F1496" s="2">
        <f>_xlfn.XLOOKUP(D1496,TIPOS_CAMBIO!A:A,TIPOS_CAMBIO!B:B,"",0)</f>
        <v>0</v>
      </c>
      <c r="G1496" s="3">
        <f t="shared" si="46"/>
        <v>0</v>
      </c>
      <c r="H1496" s="3"/>
      <c r="I1496" s="3">
        <f ca="1">IFERROR(_xludf.XLOOKUP("Seguro",PARAMETROS_IMPORTACION!$A:$A,PARAMETROS_IMPORTACION!$C:$C,0),0)</f>
        <v>0</v>
      </c>
      <c r="J1496" s="3">
        <f ca="1">IFERROR(_xludf.XLOOKUP("Arancel",PARAMETROS_IMPORTACION!$A:$A,PARAMETROS_IMPORTACION!$C:$C,0),0)</f>
        <v>0</v>
      </c>
      <c r="K1496" s="2">
        <f ca="1">IFERROR(_xludf.XLOOKUP("Gastos_Aduana",PARAMETROS_IMPORTACION!$A:$A,PARAMETROS_IMPORTACION!$C:$C,0),0)</f>
        <v>0</v>
      </c>
      <c r="L1496" s="2">
        <f t="shared" si="47"/>
        <v>0</v>
      </c>
    </row>
    <row r="1497" spans="5:12" x14ac:dyDescent="0.35">
      <c r="E1497" s="2"/>
      <c r="F1497" s="2">
        <f>_xlfn.XLOOKUP(D1497,TIPOS_CAMBIO!A:A,TIPOS_CAMBIO!B:B,"",0)</f>
        <v>0</v>
      </c>
      <c r="G1497" s="3">
        <f t="shared" si="46"/>
        <v>0</v>
      </c>
      <c r="H1497" s="3"/>
      <c r="I1497" s="3">
        <f ca="1">IFERROR(_xludf.XLOOKUP("Seguro",PARAMETROS_IMPORTACION!$A:$A,PARAMETROS_IMPORTACION!$C:$C,0),0)</f>
        <v>0</v>
      </c>
      <c r="J1497" s="3">
        <f ca="1">IFERROR(_xludf.XLOOKUP("Arancel",PARAMETROS_IMPORTACION!$A:$A,PARAMETROS_IMPORTACION!$C:$C,0),0)</f>
        <v>0</v>
      </c>
      <c r="K1497" s="2">
        <f ca="1">IFERROR(_xludf.XLOOKUP("Gastos_Aduana",PARAMETROS_IMPORTACION!$A:$A,PARAMETROS_IMPORTACION!$C:$C,0),0)</f>
        <v>0</v>
      </c>
      <c r="L1497" s="2">
        <f t="shared" si="47"/>
        <v>0</v>
      </c>
    </row>
    <row r="1498" spans="5:12" x14ac:dyDescent="0.35">
      <c r="E1498" s="2"/>
      <c r="F1498" s="2">
        <f>_xlfn.XLOOKUP(D1498,TIPOS_CAMBIO!A:A,TIPOS_CAMBIO!B:B,"",0)</f>
        <v>0</v>
      </c>
      <c r="G1498" s="3">
        <f t="shared" si="46"/>
        <v>0</v>
      </c>
      <c r="H1498" s="3"/>
      <c r="I1498" s="3">
        <f ca="1">IFERROR(_xludf.XLOOKUP("Seguro",PARAMETROS_IMPORTACION!$A:$A,PARAMETROS_IMPORTACION!$C:$C,0),0)</f>
        <v>0</v>
      </c>
      <c r="J1498" s="3">
        <f ca="1">IFERROR(_xludf.XLOOKUP("Arancel",PARAMETROS_IMPORTACION!$A:$A,PARAMETROS_IMPORTACION!$C:$C,0),0)</f>
        <v>0</v>
      </c>
      <c r="K1498" s="2">
        <f ca="1">IFERROR(_xludf.XLOOKUP("Gastos_Aduana",PARAMETROS_IMPORTACION!$A:$A,PARAMETROS_IMPORTACION!$C:$C,0),0)</f>
        <v>0</v>
      </c>
      <c r="L1498" s="2">
        <f t="shared" si="47"/>
        <v>0</v>
      </c>
    </row>
    <row r="1499" spans="5:12" x14ac:dyDescent="0.35">
      <c r="E1499" s="2"/>
      <c r="F1499" s="2">
        <f>_xlfn.XLOOKUP(D1499,TIPOS_CAMBIO!A:A,TIPOS_CAMBIO!B:B,"",0)</f>
        <v>0</v>
      </c>
      <c r="G1499" s="3">
        <f t="shared" si="46"/>
        <v>0</v>
      </c>
      <c r="H1499" s="3"/>
      <c r="I1499" s="3">
        <f ca="1">IFERROR(_xludf.XLOOKUP("Seguro",PARAMETROS_IMPORTACION!$A:$A,PARAMETROS_IMPORTACION!$C:$C,0),0)</f>
        <v>0</v>
      </c>
      <c r="J1499" s="3">
        <f ca="1">IFERROR(_xludf.XLOOKUP("Arancel",PARAMETROS_IMPORTACION!$A:$A,PARAMETROS_IMPORTACION!$C:$C,0),0)</f>
        <v>0</v>
      </c>
      <c r="K1499" s="2">
        <f ca="1">IFERROR(_xludf.XLOOKUP("Gastos_Aduana",PARAMETROS_IMPORTACION!$A:$A,PARAMETROS_IMPORTACION!$C:$C,0),0)</f>
        <v>0</v>
      </c>
      <c r="L1499" s="2">
        <f t="shared" si="47"/>
        <v>0</v>
      </c>
    </row>
    <row r="1500" spans="5:12" x14ac:dyDescent="0.35">
      <c r="E1500" s="2"/>
      <c r="F1500" s="2">
        <f>_xlfn.XLOOKUP(D1500,TIPOS_CAMBIO!A:A,TIPOS_CAMBIO!B:B,"",0)</f>
        <v>0</v>
      </c>
      <c r="G1500" s="3">
        <f t="shared" si="46"/>
        <v>0</v>
      </c>
      <c r="H1500" s="3"/>
      <c r="I1500" s="3">
        <f ca="1">IFERROR(_xludf.XLOOKUP("Seguro",PARAMETROS_IMPORTACION!$A:$A,PARAMETROS_IMPORTACION!$C:$C,0),0)</f>
        <v>0</v>
      </c>
      <c r="J1500" s="3">
        <f ca="1">IFERROR(_xludf.XLOOKUP("Arancel",PARAMETROS_IMPORTACION!$A:$A,PARAMETROS_IMPORTACION!$C:$C,0),0)</f>
        <v>0</v>
      </c>
      <c r="K1500" s="2">
        <f ca="1">IFERROR(_xludf.XLOOKUP("Gastos_Aduana",PARAMETROS_IMPORTACION!$A:$A,PARAMETROS_IMPORTACION!$C:$C,0),0)</f>
        <v>0</v>
      </c>
      <c r="L1500" s="2">
        <f t="shared" si="47"/>
        <v>0</v>
      </c>
    </row>
    <row r="1501" spans="5:12" x14ac:dyDescent="0.35">
      <c r="E1501" s="2"/>
      <c r="F1501" s="2">
        <f>_xlfn.XLOOKUP(D1501,TIPOS_CAMBIO!A:A,TIPOS_CAMBIO!B:B,"",0)</f>
        <v>0</v>
      </c>
      <c r="G1501" s="3">
        <f t="shared" si="46"/>
        <v>0</v>
      </c>
      <c r="H1501" s="3"/>
      <c r="I1501" s="3">
        <f ca="1">IFERROR(_xludf.XLOOKUP("Seguro",PARAMETROS_IMPORTACION!$A:$A,PARAMETROS_IMPORTACION!$C:$C,0),0)</f>
        <v>0</v>
      </c>
      <c r="J1501" s="3">
        <f ca="1">IFERROR(_xludf.XLOOKUP("Arancel",PARAMETROS_IMPORTACION!$A:$A,PARAMETROS_IMPORTACION!$C:$C,0),0)</f>
        <v>0</v>
      </c>
      <c r="K1501" s="2">
        <f ca="1">IFERROR(_xludf.XLOOKUP("Gastos_Aduana",PARAMETROS_IMPORTACION!$A:$A,PARAMETROS_IMPORTACION!$C:$C,0),0)</f>
        <v>0</v>
      </c>
      <c r="L1501" s="2">
        <f t="shared" si="47"/>
        <v>0</v>
      </c>
    </row>
    <row r="1502" spans="5:12" x14ac:dyDescent="0.35">
      <c r="E1502" s="2"/>
      <c r="F1502" s="2">
        <f>_xlfn.XLOOKUP(D1502,TIPOS_CAMBIO!A:A,TIPOS_CAMBIO!B:B,"",0)</f>
        <v>0</v>
      </c>
      <c r="G1502" s="3">
        <f t="shared" si="46"/>
        <v>0</v>
      </c>
      <c r="H1502" s="3"/>
      <c r="I1502" s="3">
        <f ca="1">IFERROR(_xludf.XLOOKUP("Seguro",PARAMETROS_IMPORTACION!$A:$A,PARAMETROS_IMPORTACION!$C:$C,0),0)</f>
        <v>0</v>
      </c>
      <c r="J1502" s="3">
        <f ca="1">IFERROR(_xludf.XLOOKUP("Arancel",PARAMETROS_IMPORTACION!$A:$A,PARAMETROS_IMPORTACION!$C:$C,0),0)</f>
        <v>0</v>
      </c>
      <c r="K1502" s="2">
        <f ca="1">IFERROR(_xludf.XLOOKUP("Gastos_Aduana",PARAMETROS_IMPORTACION!$A:$A,PARAMETROS_IMPORTACION!$C:$C,0),0)</f>
        <v>0</v>
      </c>
      <c r="L1502" s="2">
        <f t="shared" si="47"/>
        <v>0</v>
      </c>
    </row>
    <row r="1503" spans="5:12" x14ac:dyDescent="0.35">
      <c r="E1503" s="2"/>
      <c r="F1503" s="2">
        <f>_xlfn.XLOOKUP(D1503,TIPOS_CAMBIO!A:A,TIPOS_CAMBIO!B:B,"",0)</f>
        <v>0</v>
      </c>
      <c r="G1503" s="3">
        <f t="shared" si="46"/>
        <v>0</v>
      </c>
      <c r="H1503" s="3"/>
      <c r="I1503" s="3">
        <f ca="1">IFERROR(_xludf.XLOOKUP("Seguro",PARAMETROS_IMPORTACION!$A:$A,PARAMETROS_IMPORTACION!$C:$C,0),0)</f>
        <v>0</v>
      </c>
      <c r="J1503" s="3">
        <f ca="1">IFERROR(_xludf.XLOOKUP("Arancel",PARAMETROS_IMPORTACION!$A:$A,PARAMETROS_IMPORTACION!$C:$C,0),0)</f>
        <v>0</v>
      </c>
      <c r="K1503" s="2">
        <f ca="1">IFERROR(_xludf.XLOOKUP("Gastos_Aduana",PARAMETROS_IMPORTACION!$A:$A,PARAMETROS_IMPORTACION!$C:$C,0),0)</f>
        <v>0</v>
      </c>
      <c r="L1503" s="2">
        <f t="shared" si="47"/>
        <v>0</v>
      </c>
    </row>
    <row r="1504" spans="5:12" x14ac:dyDescent="0.35">
      <c r="E1504" s="2"/>
      <c r="F1504" s="2">
        <f>_xlfn.XLOOKUP(D1504,TIPOS_CAMBIO!A:A,TIPOS_CAMBIO!B:B,"",0)</f>
        <v>0</v>
      </c>
      <c r="G1504" s="3">
        <f t="shared" si="46"/>
        <v>0</v>
      </c>
      <c r="H1504" s="3"/>
      <c r="I1504" s="3">
        <f ca="1">IFERROR(_xludf.XLOOKUP("Seguro",PARAMETROS_IMPORTACION!$A:$A,PARAMETROS_IMPORTACION!$C:$C,0),0)</f>
        <v>0</v>
      </c>
      <c r="J1504" s="3">
        <f ca="1">IFERROR(_xludf.XLOOKUP("Arancel",PARAMETROS_IMPORTACION!$A:$A,PARAMETROS_IMPORTACION!$C:$C,0),0)</f>
        <v>0</v>
      </c>
      <c r="K1504" s="2">
        <f ca="1">IFERROR(_xludf.XLOOKUP("Gastos_Aduana",PARAMETROS_IMPORTACION!$A:$A,PARAMETROS_IMPORTACION!$C:$C,0),0)</f>
        <v>0</v>
      </c>
      <c r="L1504" s="2">
        <f t="shared" si="47"/>
        <v>0</v>
      </c>
    </row>
    <row r="1505" spans="5:12" x14ac:dyDescent="0.35">
      <c r="E1505" s="2"/>
      <c r="F1505" s="2">
        <f>_xlfn.XLOOKUP(D1505,TIPOS_CAMBIO!A:A,TIPOS_CAMBIO!B:B,"",0)</f>
        <v>0</v>
      </c>
      <c r="G1505" s="3">
        <f t="shared" si="46"/>
        <v>0</v>
      </c>
      <c r="H1505" s="3"/>
      <c r="I1505" s="3">
        <f ca="1">IFERROR(_xludf.XLOOKUP("Seguro",PARAMETROS_IMPORTACION!$A:$A,PARAMETROS_IMPORTACION!$C:$C,0),0)</f>
        <v>0</v>
      </c>
      <c r="J1505" s="3">
        <f ca="1">IFERROR(_xludf.XLOOKUP("Arancel",PARAMETROS_IMPORTACION!$A:$A,PARAMETROS_IMPORTACION!$C:$C,0),0)</f>
        <v>0</v>
      </c>
      <c r="K1505" s="2">
        <f ca="1">IFERROR(_xludf.XLOOKUP("Gastos_Aduana",PARAMETROS_IMPORTACION!$A:$A,PARAMETROS_IMPORTACION!$C:$C,0),0)</f>
        <v>0</v>
      </c>
      <c r="L1505" s="2">
        <f t="shared" si="47"/>
        <v>0</v>
      </c>
    </row>
    <row r="1506" spans="5:12" x14ac:dyDescent="0.35">
      <c r="E1506" s="2"/>
      <c r="F1506" s="2">
        <f>_xlfn.XLOOKUP(D1506,TIPOS_CAMBIO!A:A,TIPOS_CAMBIO!B:B,"",0)</f>
        <v>0</v>
      </c>
      <c r="G1506" s="3">
        <f t="shared" si="46"/>
        <v>0</v>
      </c>
      <c r="H1506" s="3"/>
      <c r="I1506" s="3">
        <f ca="1">IFERROR(_xludf.XLOOKUP("Seguro",PARAMETROS_IMPORTACION!$A:$A,PARAMETROS_IMPORTACION!$C:$C,0),0)</f>
        <v>0</v>
      </c>
      <c r="J1506" s="3">
        <f ca="1">IFERROR(_xludf.XLOOKUP("Arancel",PARAMETROS_IMPORTACION!$A:$A,PARAMETROS_IMPORTACION!$C:$C,0),0)</f>
        <v>0</v>
      </c>
      <c r="K1506" s="2">
        <f ca="1">IFERROR(_xludf.XLOOKUP("Gastos_Aduana",PARAMETROS_IMPORTACION!$A:$A,PARAMETROS_IMPORTACION!$C:$C,0),0)</f>
        <v>0</v>
      </c>
      <c r="L1506" s="2">
        <f t="shared" si="47"/>
        <v>0</v>
      </c>
    </row>
    <row r="1507" spans="5:12" x14ac:dyDescent="0.35">
      <c r="E1507" s="2"/>
      <c r="F1507" s="2">
        <f>_xlfn.XLOOKUP(D1507,TIPOS_CAMBIO!A:A,TIPOS_CAMBIO!B:B,"",0)</f>
        <v>0</v>
      </c>
      <c r="G1507" s="3">
        <f t="shared" si="46"/>
        <v>0</v>
      </c>
      <c r="H1507" s="3"/>
      <c r="I1507" s="3">
        <f ca="1">IFERROR(_xludf.XLOOKUP("Seguro",PARAMETROS_IMPORTACION!$A:$A,PARAMETROS_IMPORTACION!$C:$C,0),0)</f>
        <v>0</v>
      </c>
      <c r="J1507" s="3">
        <f ca="1">IFERROR(_xludf.XLOOKUP("Arancel",PARAMETROS_IMPORTACION!$A:$A,PARAMETROS_IMPORTACION!$C:$C,0),0)</f>
        <v>0</v>
      </c>
      <c r="K1507" s="2">
        <f ca="1">IFERROR(_xludf.XLOOKUP("Gastos_Aduana",PARAMETROS_IMPORTACION!$A:$A,PARAMETROS_IMPORTACION!$C:$C,0),0)</f>
        <v>0</v>
      </c>
      <c r="L1507" s="2">
        <f t="shared" si="47"/>
        <v>0</v>
      </c>
    </row>
    <row r="1508" spans="5:12" x14ac:dyDescent="0.35">
      <c r="E1508" s="2"/>
      <c r="F1508" s="2">
        <f>_xlfn.XLOOKUP(D1508,TIPOS_CAMBIO!A:A,TIPOS_CAMBIO!B:B,"",0)</f>
        <v>0</v>
      </c>
      <c r="G1508" s="3">
        <f t="shared" si="46"/>
        <v>0</v>
      </c>
      <c r="H1508" s="3"/>
      <c r="I1508" s="3">
        <f ca="1">IFERROR(_xludf.XLOOKUP("Seguro",PARAMETROS_IMPORTACION!$A:$A,PARAMETROS_IMPORTACION!$C:$C,0),0)</f>
        <v>0</v>
      </c>
      <c r="J1508" s="3">
        <f ca="1">IFERROR(_xludf.XLOOKUP("Arancel",PARAMETROS_IMPORTACION!$A:$A,PARAMETROS_IMPORTACION!$C:$C,0),0)</f>
        <v>0</v>
      </c>
      <c r="K1508" s="2">
        <f ca="1">IFERROR(_xludf.XLOOKUP("Gastos_Aduana",PARAMETROS_IMPORTACION!$A:$A,PARAMETROS_IMPORTACION!$C:$C,0),0)</f>
        <v>0</v>
      </c>
      <c r="L1508" s="2">
        <f t="shared" si="47"/>
        <v>0</v>
      </c>
    </row>
    <row r="1509" spans="5:12" x14ac:dyDescent="0.35">
      <c r="E1509" s="2"/>
      <c r="F1509" s="2">
        <f>_xlfn.XLOOKUP(D1509,TIPOS_CAMBIO!A:A,TIPOS_CAMBIO!B:B,"",0)</f>
        <v>0</v>
      </c>
      <c r="G1509" s="3">
        <f t="shared" si="46"/>
        <v>0</v>
      </c>
      <c r="H1509" s="3"/>
      <c r="I1509" s="3">
        <f ca="1">IFERROR(_xludf.XLOOKUP("Seguro",PARAMETROS_IMPORTACION!$A:$A,PARAMETROS_IMPORTACION!$C:$C,0),0)</f>
        <v>0</v>
      </c>
      <c r="J1509" s="3">
        <f ca="1">IFERROR(_xludf.XLOOKUP("Arancel",PARAMETROS_IMPORTACION!$A:$A,PARAMETROS_IMPORTACION!$C:$C,0),0)</f>
        <v>0</v>
      </c>
      <c r="K1509" s="2">
        <f ca="1">IFERROR(_xludf.XLOOKUP("Gastos_Aduana",PARAMETROS_IMPORTACION!$A:$A,PARAMETROS_IMPORTACION!$C:$C,0),0)</f>
        <v>0</v>
      </c>
      <c r="L1509" s="2">
        <f t="shared" si="47"/>
        <v>0</v>
      </c>
    </row>
    <row r="1510" spans="5:12" x14ac:dyDescent="0.35">
      <c r="E1510" s="2"/>
      <c r="F1510" s="2">
        <f>_xlfn.XLOOKUP(D1510,TIPOS_CAMBIO!A:A,TIPOS_CAMBIO!B:B,"",0)</f>
        <v>0</v>
      </c>
      <c r="G1510" s="3">
        <f t="shared" si="46"/>
        <v>0</v>
      </c>
      <c r="H1510" s="3"/>
      <c r="I1510" s="3">
        <f ca="1">IFERROR(_xludf.XLOOKUP("Seguro",PARAMETROS_IMPORTACION!$A:$A,PARAMETROS_IMPORTACION!$C:$C,0),0)</f>
        <v>0</v>
      </c>
      <c r="J1510" s="3">
        <f ca="1">IFERROR(_xludf.XLOOKUP("Arancel",PARAMETROS_IMPORTACION!$A:$A,PARAMETROS_IMPORTACION!$C:$C,0),0)</f>
        <v>0</v>
      </c>
      <c r="K1510" s="2">
        <f ca="1">IFERROR(_xludf.XLOOKUP("Gastos_Aduana",PARAMETROS_IMPORTACION!$A:$A,PARAMETROS_IMPORTACION!$C:$C,0),0)</f>
        <v>0</v>
      </c>
      <c r="L1510" s="2">
        <f t="shared" si="47"/>
        <v>0</v>
      </c>
    </row>
    <row r="1511" spans="5:12" x14ac:dyDescent="0.35">
      <c r="E1511" s="2"/>
      <c r="F1511" s="2">
        <f>_xlfn.XLOOKUP(D1511,TIPOS_CAMBIO!A:A,TIPOS_CAMBIO!B:B,"",0)</f>
        <v>0</v>
      </c>
      <c r="G1511" s="3">
        <f t="shared" si="46"/>
        <v>0</v>
      </c>
      <c r="H1511" s="3"/>
      <c r="I1511" s="3">
        <f ca="1">IFERROR(_xludf.XLOOKUP("Seguro",PARAMETROS_IMPORTACION!$A:$A,PARAMETROS_IMPORTACION!$C:$C,0),0)</f>
        <v>0</v>
      </c>
      <c r="J1511" s="3">
        <f ca="1">IFERROR(_xludf.XLOOKUP("Arancel",PARAMETROS_IMPORTACION!$A:$A,PARAMETROS_IMPORTACION!$C:$C,0),0)</f>
        <v>0</v>
      </c>
      <c r="K1511" s="2">
        <f ca="1">IFERROR(_xludf.XLOOKUP("Gastos_Aduana",PARAMETROS_IMPORTACION!$A:$A,PARAMETROS_IMPORTACION!$C:$C,0),0)</f>
        <v>0</v>
      </c>
      <c r="L1511" s="2">
        <f t="shared" si="47"/>
        <v>0</v>
      </c>
    </row>
    <row r="1512" spans="5:12" x14ac:dyDescent="0.35">
      <c r="E1512" s="2"/>
      <c r="F1512" s="2">
        <f>_xlfn.XLOOKUP(D1512,TIPOS_CAMBIO!A:A,TIPOS_CAMBIO!B:B,"",0)</f>
        <v>0</v>
      </c>
      <c r="G1512" s="3">
        <f t="shared" si="46"/>
        <v>0</v>
      </c>
      <c r="H1512" s="3"/>
      <c r="I1512" s="3">
        <f ca="1">IFERROR(_xludf.XLOOKUP("Seguro",PARAMETROS_IMPORTACION!$A:$A,PARAMETROS_IMPORTACION!$C:$C,0),0)</f>
        <v>0</v>
      </c>
      <c r="J1512" s="3">
        <f ca="1">IFERROR(_xludf.XLOOKUP("Arancel",PARAMETROS_IMPORTACION!$A:$A,PARAMETROS_IMPORTACION!$C:$C,0),0)</f>
        <v>0</v>
      </c>
      <c r="K1512" s="2">
        <f ca="1">IFERROR(_xludf.XLOOKUP("Gastos_Aduana",PARAMETROS_IMPORTACION!$A:$A,PARAMETROS_IMPORTACION!$C:$C,0),0)</f>
        <v>0</v>
      </c>
      <c r="L1512" s="2">
        <f t="shared" si="47"/>
        <v>0</v>
      </c>
    </row>
    <row r="1513" spans="5:12" x14ac:dyDescent="0.35">
      <c r="E1513" s="2"/>
      <c r="F1513" s="2">
        <f>_xlfn.XLOOKUP(D1513,TIPOS_CAMBIO!A:A,TIPOS_CAMBIO!B:B,"",0)</f>
        <v>0</v>
      </c>
      <c r="G1513" s="3">
        <f t="shared" si="46"/>
        <v>0</v>
      </c>
      <c r="H1513" s="3"/>
      <c r="I1513" s="3">
        <f ca="1">IFERROR(_xludf.XLOOKUP("Seguro",PARAMETROS_IMPORTACION!$A:$A,PARAMETROS_IMPORTACION!$C:$C,0),0)</f>
        <v>0</v>
      </c>
      <c r="J1513" s="3">
        <f ca="1">IFERROR(_xludf.XLOOKUP("Arancel",PARAMETROS_IMPORTACION!$A:$A,PARAMETROS_IMPORTACION!$C:$C,0),0)</f>
        <v>0</v>
      </c>
      <c r="K1513" s="2">
        <f ca="1">IFERROR(_xludf.XLOOKUP("Gastos_Aduana",PARAMETROS_IMPORTACION!$A:$A,PARAMETROS_IMPORTACION!$C:$C,0),0)</f>
        <v>0</v>
      </c>
      <c r="L1513" s="2">
        <f t="shared" si="47"/>
        <v>0</v>
      </c>
    </row>
    <row r="1514" spans="5:12" x14ac:dyDescent="0.35">
      <c r="E1514" s="2"/>
      <c r="F1514" s="2">
        <f>_xlfn.XLOOKUP(D1514,TIPOS_CAMBIO!A:A,TIPOS_CAMBIO!B:B,"",0)</f>
        <v>0</v>
      </c>
      <c r="G1514" s="3">
        <f t="shared" si="46"/>
        <v>0</v>
      </c>
      <c r="H1514" s="3"/>
      <c r="I1514" s="3">
        <f ca="1">IFERROR(_xludf.XLOOKUP("Seguro",PARAMETROS_IMPORTACION!$A:$A,PARAMETROS_IMPORTACION!$C:$C,0),0)</f>
        <v>0</v>
      </c>
      <c r="J1514" s="3">
        <f ca="1">IFERROR(_xludf.XLOOKUP("Arancel",PARAMETROS_IMPORTACION!$A:$A,PARAMETROS_IMPORTACION!$C:$C,0),0)</f>
        <v>0</v>
      </c>
      <c r="K1514" s="2">
        <f ca="1">IFERROR(_xludf.XLOOKUP("Gastos_Aduana",PARAMETROS_IMPORTACION!$A:$A,PARAMETROS_IMPORTACION!$C:$C,0),0)</f>
        <v>0</v>
      </c>
      <c r="L1514" s="2">
        <f t="shared" si="47"/>
        <v>0</v>
      </c>
    </row>
    <row r="1515" spans="5:12" x14ac:dyDescent="0.35">
      <c r="E1515" s="2"/>
      <c r="F1515" s="2">
        <f>_xlfn.XLOOKUP(D1515,TIPOS_CAMBIO!A:A,TIPOS_CAMBIO!B:B,"",0)</f>
        <v>0</v>
      </c>
      <c r="G1515" s="3">
        <f t="shared" si="46"/>
        <v>0</v>
      </c>
      <c r="H1515" s="3"/>
      <c r="I1515" s="3">
        <f ca="1">IFERROR(_xludf.XLOOKUP("Seguro",PARAMETROS_IMPORTACION!$A:$A,PARAMETROS_IMPORTACION!$C:$C,0),0)</f>
        <v>0</v>
      </c>
      <c r="J1515" s="3">
        <f ca="1">IFERROR(_xludf.XLOOKUP("Arancel",PARAMETROS_IMPORTACION!$A:$A,PARAMETROS_IMPORTACION!$C:$C,0),0)</f>
        <v>0</v>
      </c>
      <c r="K1515" s="2">
        <f ca="1">IFERROR(_xludf.XLOOKUP("Gastos_Aduana",PARAMETROS_IMPORTACION!$A:$A,PARAMETROS_IMPORTACION!$C:$C,0),0)</f>
        <v>0</v>
      </c>
      <c r="L1515" s="2">
        <f t="shared" si="47"/>
        <v>0</v>
      </c>
    </row>
    <row r="1516" spans="5:12" x14ac:dyDescent="0.35">
      <c r="E1516" s="2"/>
      <c r="F1516" s="2">
        <f>_xlfn.XLOOKUP(D1516,TIPOS_CAMBIO!A:A,TIPOS_CAMBIO!B:B,"",0)</f>
        <v>0</v>
      </c>
      <c r="G1516" s="3">
        <f t="shared" si="46"/>
        <v>0</v>
      </c>
      <c r="H1516" s="3"/>
      <c r="I1516" s="3">
        <f ca="1">IFERROR(_xludf.XLOOKUP("Seguro",PARAMETROS_IMPORTACION!$A:$A,PARAMETROS_IMPORTACION!$C:$C,0),0)</f>
        <v>0</v>
      </c>
      <c r="J1516" s="3">
        <f ca="1">IFERROR(_xludf.XLOOKUP("Arancel",PARAMETROS_IMPORTACION!$A:$A,PARAMETROS_IMPORTACION!$C:$C,0),0)</f>
        <v>0</v>
      </c>
      <c r="K1516" s="2">
        <f ca="1">IFERROR(_xludf.XLOOKUP("Gastos_Aduana",PARAMETROS_IMPORTACION!$A:$A,PARAMETROS_IMPORTACION!$C:$C,0),0)</f>
        <v>0</v>
      </c>
      <c r="L1516" s="2">
        <f t="shared" si="47"/>
        <v>0</v>
      </c>
    </row>
    <row r="1517" spans="5:12" x14ac:dyDescent="0.35">
      <c r="E1517" s="2"/>
      <c r="F1517" s="2">
        <f>_xlfn.XLOOKUP(D1517,TIPOS_CAMBIO!A:A,TIPOS_CAMBIO!B:B,"",0)</f>
        <v>0</v>
      </c>
      <c r="G1517" s="3">
        <f t="shared" si="46"/>
        <v>0</v>
      </c>
      <c r="H1517" s="3"/>
      <c r="I1517" s="3">
        <f ca="1">IFERROR(_xludf.XLOOKUP("Seguro",PARAMETROS_IMPORTACION!$A:$A,PARAMETROS_IMPORTACION!$C:$C,0),0)</f>
        <v>0</v>
      </c>
      <c r="J1517" s="3">
        <f ca="1">IFERROR(_xludf.XLOOKUP("Arancel",PARAMETROS_IMPORTACION!$A:$A,PARAMETROS_IMPORTACION!$C:$C,0),0)</f>
        <v>0</v>
      </c>
      <c r="K1517" s="2">
        <f ca="1">IFERROR(_xludf.XLOOKUP("Gastos_Aduana",PARAMETROS_IMPORTACION!$A:$A,PARAMETROS_IMPORTACION!$C:$C,0),0)</f>
        <v>0</v>
      </c>
      <c r="L1517" s="2">
        <f t="shared" si="47"/>
        <v>0</v>
      </c>
    </row>
    <row r="1518" spans="5:12" x14ac:dyDescent="0.35">
      <c r="E1518" s="2"/>
      <c r="F1518" s="2">
        <f>_xlfn.XLOOKUP(D1518,TIPOS_CAMBIO!A:A,TIPOS_CAMBIO!B:B,"",0)</f>
        <v>0</v>
      </c>
      <c r="G1518" s="3">
        <f t="shared" si="46"/>
        <v>0</v>
      </c>
      <c r="H1518" s="3"/>
      <c r="I1518" s="3">
        <f ca="1">IFERROR(_xludf.XLOOKUP("Seguro",PARAMETROS_IMPORTACION!$A:$A,PARAMETROS_IMPORTACION!$C:$C,0),0)</f>
        <v>0</v>
      </c>
      <c r="J1518" s="3">
        <f ca="1">IFERROR(_xludf.XLOOKUP("Arancel",PARAMETROS_IMPORTACION!$A:$A,PARAMETROS_IMPORTACION!$C:$C,0),0)</f>
        <v>0</v>
      </c>
      <c r="K1518" s="2">
        <f ca="1">IFERROR(_xludf.XLOOKUP("Gastos_Aduana",PARAMETROS_IMPORTACION!$A:$A,PARAMETROS_IMPORTACION!$C:$C,0),0)</f>
        <v>0</v>
      </c>
      <c r="L1518" s="2">
        <f t="shared" si="47"/>
        <v>0</v>
      </c>
    </row>
    <row r="1519" spans="5:12" x14ac:dyDescent="0.35">
      <c r="E1519" s="2"/>
      <c r="F1519" s="2">
        <f>_xlfn.XLOOKUP(D1519,TIPOS_CAMBIO!A:A,TIPOS_CAMBIO!B:B,"",0)</f>
        <v>0</v>
      </c>
      <c r="G1519" s="3">
        <f t="shared" si="46"/>
        <v>0</v>
      </c>
      <c r="H1519" s="3"/>
      <c r="I1519" s="3">
        <f ca="1">IFERROR(_xludf.XLOOKUP("Seguro",PARAMETROS_IMPORTACION!$A:$A,PARAMETROS_IMPORTACION!$C:$C,0),0)</f>
        <v>0</v>
      </c>
      <c r="J1519" s="3">
        <f ca="1">IFERROR(_xludf.XLOOKUP("Arancel",PARAMETROS_IMPORTACION!$A:$A,PARAMETROS_IMPORTACION!$C:$C,0),0)</f>
        <v>0</v>
      </c>
      <c r="K1519" s="2">
        <f ca="1">IFERROR(_xludf.XLOOKUP("Gastos_Aduana",PARAMETROS_IMPORTACION!$A:$A,PARAMETROS_IMPORTACION!$C:$C,0),0)</f>
        <v>0</v>
      </c>
      <c r="L1519" s="2">
        <f t="shared" si="47"/>
        <v>0</v>
      </c>
    </row>
    <row r="1520" spans="5:12" x14ac:dyDescent="0.35">
      <c r="E1520" s="2"/>
      <c r="F1520" s="2">
        <f>_xlfn.XLOOKUP(D1520,TIPOS_CAMBIO!A:A,TIPOS_CAMBIO!B:B,"",0)</f>
        <v>0</v>
      </c>
      <c r="G1520" s="3">
        <f t="shared" si="46"/>
        <v>0</v>
      </c>
      <c r="H1520" s="3"/>
      <c r="I1520" s="3">
        <f ca="1">IFERROR(_xludf.XLOOKUP("Seguro",PARAMETROS_IMPORTACION!$A:$A,PARAMETROS_IMPORTACION!$C:$C,0),0)</f>
        <v>0</v>
      </c>
      <c r="J1520" s="3">
        <f ca="1">IFERROR(_xludf.XLOOKUP("Arancel",PARAMETROS_IMPORTACION!$A:$A,PARAMETROS_IMPORTACION!$C:$C,0),0)</f>
        <v>0</v>
      </c>
      <c r="K1520" s="2">
        <f ca="1">IFERROR(_xludf.XLOOKUP("Gastos_Aduana",PARAMETROS_IMPORTACION!$A:$A,PARAMETROS_IMPORTACION!$C:$C,0),0)</f>
        <v>0</v>
      </c>
      <c r="L1520" s="2">
        <f t="shared" si="47"/>
        <v>0</v>
      </c>
    </row>
    <row r="1521" spans="5:12" x14ac:dyDescent="0.35">
      <c r="E1521" s="2"/>
      <c r="F1521" s="2">
        <f>_xlfn.XLOOKUP(D1521,TIPOS_CAMBIO!A:A,TIPOS_CAMBIO!B:B,"",0)</f>
        <v>0</v>
      </c>
      <c r="G1521" s="3">
        <f t="shared" si="46"/>
        <v>0</v>
      </c>
      <c r="H1521" s="3"/>
      <c r="I1521" s="3">
        <f ca="1">IFERROR(_xludf.XLOOKUP("Seguro",PARAMETROS_IMPORTACION!$A:$A,PARAMETROS_IMPORTACION!$C:$C,0),0)</f>
        <v>0</v>
      </c>
      <c r="J1521" s="3">
        <f ca="1">IFERROR(_xludf.XLOOKUP("Arancel",PARAMETROS_IMPORTACION!$A:$A,PARAMETROS_IMPORTACION!$C:$C,0),0)</f>
        <v>0</v>
      </c>
      <c r="K1521" s="2">
        <f ca="1">IFERROR(_xludf.XLOOKUP("Gastos_Aduana",PARAMETROS_IMPORTACION!$A:$A,PARAMETROS_IMPORTACION!$C:$C,0),0)</f>
        <v>0</v>
      </c>
      <c r="L1521" s="2">
        <f t="shared" si="47"/>
        <v>0</v>
      </c>
    </row>
    <row r="1522" spans="5:12" x14ac:dyDescent="0.35">
      <c r="E1522" s="2"/>
      <c r="F1522" s="2">
        <f>_xlfn.XLOOKUP(D1522,TIPOS_CAMBIO!A:A,TIPOS_CAMBIO!B:B,"",0)</f>
        <v>0</v>
      </c>
      <c r="G1522" s="3">
        <f t="shared" si="46"/>
        <v>0</v>
      </c>
      <c r="H1522" s="3"/>
      <c r="I1522" s="3">
        <f ca="1">IFERROR(_xludf.XLOOKUP("Seguro",PARAMETROS_IMPORTACION!$A:$A,PARAMETROS_IMPORTACION!$C:$C,0),0)</f>
        <v>0</v>
      </c>
      <c r="J1522" s="3">
        <f ca="1">IFERROR(_xludf.XLOOKUP("Arancel",PARAMETROS_IMPORTACION!$A:$A,PARAMETROS_IMPORTACION!$C:$C,0),0)</f>
        <v>0</v>
      </c>
      <c r="K1522" s="2">
        <f ca="1">IFERROR(_xludf.XLOOKUP("Gastos_Aduana",PARAMETROS_IMPORTACION!$A:$A,PARAMETROS_IMPORTACION!$C:$C,0),0)</f>
        <v>0</v>
      </c>
      <c r="L1522" s="2">
        <f t="shared" si="47"/>
        <v>0</v>
      </c>
    </row>
    <row r="1523" spans="5:12" x14ac:dyDescent="0.35">
      <c r="E1523" s="2"/>
      <c r="F1523" s="2">
        <f>_xlfn.XLOOKUP(D1523,TIPOS_CAMBIO!A:A,TIPOS_CAMBIO!B:B,"",0)</f>
        <v>0</v>
      </c>
      <c r="G1523" s="3">
        <f t="shared" si="46"/>
        <v>0</v>
      </c>
      <c r="H1523" s="3"/>
      <c r="I1523" s="3">
        <f ca="1">IFERROR(_xludf.XLOOKUP("Seguro",PARAMETROS_IMPORTACION!$A:$A,PARAMETROS_IMPORTACION!$C:$C,0),0)</f>
        <v>0</v>
      </c>
      <c r="J1523" s="3">
        <f ca="1">IFERROR(_xludf.XLOOKUP("Arancel",PARAMETROS_IMPORTACION!$A:$A,PARAMETROS_IMPORTACION!$C:$C,0),0)</f>
        <v>0</v>
      </c>
      <c r="K1523" s="2">
        <f ca="1">IFERROR(_xludf.XLOOKUP("Gastos_Aduana",PARAMETROS_IMPORTACION!$A:$A,PARAMETROS_IMPORTACION!$C:$C,0),0)</f>
        <v>0</v>
      </c>
      <c r="L1523" s="2">
        <f t="shared" si="47"/>
        <v>0</v>
      </c>
    </row>
    <row r="1524" spans="5:12" x14ac:dyDescent="0.35">
      <c r="E1524" s="2"/>
      <c r="F1524" s="2">
        <f>_xlfn.XLOOKUP(D1524,TIPOS_CAMBIO!A:A,TIPOS_CAMBIO!B:B,"",0)</f>
        <v>0</v>
      </c>
      <c r="G1524" s="3">
        <f t="shared" si="46"/>
        <v>0</v>
      </c>
      <c r="H1524" s="3"/>
      <c r="I1524" s="3">
        <f ca="1">IFERROR(_xludf.XLOOKUP("Seguro",PARAMETROS_IMPORTACION!$A:$A,PARAMETROS_IMPORTACION!$C:$C,0),0)</f>
        <v>0</v>
      </c>
      <c r="J1524" s="3">
        <f ca="1">IFERROR(_xludf.XLOOKUP("Arancel",PARAMETROS_IMPORTACION!$A:$A,PARAMETROS_IMPORTACION!$C:$C,0),0)</f>
        <v>0</v>
      </c>
      <c r="K1524" s="2">
        <f ca="1">IFERROR(_xludf.XLOOKUP("Gastos_Aduana",PARAMETROS_IMPORTACION!$A:$A,PARAMETROS_IMPORTACION!$C:$C,0),0)</f>
        <v>0</v>
      </c>
      <c r="L1524" s="2">
        <f t="shared" si="47"/>
        <v>0</v>
      </c>
    </row>
    <row r="1525" spans="5:12" x14ac:dyDescent="0.35">
      <c r="E1525" s="2"/>
      <c r="F1525" s="2">
        <f>_xlfn.XLOOKUP(D1525,TIPOS_CAMBIO!A:A,TIPOS_CAMBIO!B:B,"",0)</f>
        <v>0</v>
      </c>
      <c r="G1525" s="3">
        <f t="shared" si="46"/>
        <v>0</v>
      </c>
      <c r="H1525" s="3"/>
      <c r="I1525" s="3">
        <f ca="1">IFERROR(_xludf.XLOOKUP("Seguro",PARAMETROS_IMPORTACION!$A:$A,PARAMETROS_IMPORTACION!$C:$C,0),0)</f>
        <v>0</v>
      </c>
      <c r="J1525" s="3">
        <f ca="1">IFERROR(_xludf.XLOOKUP("Arancel",PARAMETROS_IMPORTACION!$A:$A,PARAMETROS_IMPORTACION!$C:$C,0),0)</f>
        <v>0</v>
      </c>
      <c r="K1525" s="2">
        <f ca="1">IFERROR(_xludf.XLOOKUP("Gastos_Aduana",PARAMETROS_IMPORTACION!$A:$A,PARAMETROS_IMPORTACION!$C:$C,0),0)</f>
        <v>0</v>
      </c>
      <c r="L1525" s="2">
        <f t="shared" si="47"/>
        <v>0</v>
      </c>
    </row>
    <row r="1526" spans="5:12" x14ac:dyDescent="0.35">
      <c r="E1526" s="2"/>
      <c r="F1526" s="2">
        <f>_xlfn.XLOOKUP(D1526,TIPOS_CAMBIO!A:A,TIPOS_CAMBIO!B:B,"",0)</f>
        <v>0</v>
      </c>
      <c r="G1526" s="3">
        <f t="shared" si="46"/>
        <v>0</v>
      </c>
      <c r="H1526" s="3"/>
      <c r="I1526" s="3">
        <f ca="1">IFERROR(_xludf.XLOOKUP("Seguro",PARAMETROS_IMPORTACION!$A:$A,PARAMETROS_IMPORTACION!$C:$C,0),0)</f>
        <v>0</v>
      </c>
      <c r="J1526" s="3">
        <f ca="1">IFERROR(_xludf.XLOOKUP("Arancel",PARAMETROS_IMPORTACION!$A:$A,PARAMETROS_IMPORTACION!$C:$C,0),0)</f>
        <v>0</v>
      </c>
      <c r="K1526" s="2">
        <f ca="1">IFERROR(_xludf.XLOOKUP("Gastos_Aduana",PARAMETROS_IMPORTACION!$A:$A,PARAMETROS_IMPORTACION!$C:$C,0),0)</f>
        <v>0</v>
      </c>
      <c r="L1526" s="2">
        <f t="shared" si="47"/>
        <v>0</v>
      </c>
    </row>
    <row r="1527" spans="5:12" x14ac:dyDescent="0.35">
      <c r="E1527" s="2"/>
      <c r="F1527" s="2">
        <f>_xlfn.XLOOKUP(D1527,TIPOS_CAMBIO!A:A,TIPOS_CAMBIO!B:B,"",0)</f>
        <v>0</v>
      </c>
      <c r="G1527" s="3">
        <f t="shared" si="46"/>
        <v>0</v>
      </c>
      <c r="H1527" s="3"/>
      <c r="I1527" s="3">
        <f ca="1">IFERROR(_xludf.XLOOKUP("Seguro",PARAMETROS_IMPORTACION!$A:$A,PARAMETROS_IMPORTACION!$C:$C,0),0)</f>
        <v>0</v>
      </c>
      <c r="J1527" s="3">
        <f ca="1">IFERROR(_xludf.XLOOKUP("Arancel",PARAMETROS_IMPORTACION!$A:$A,PARAMETROS_IMPORTACION!$C:$C,0),0)</f>
        <v>0</v>
      </c>
      <c r="K1527" s="2">
        <f ca="1">IFERROR(_xludf.XLOOKUP("Gastos_Aduana",PARAMETROS_IMPORTACION!$A:$A,PARAMETROS_IMPORTACION!$C:$C,0),0)</f>
        <v>0</v>
      </c>
      <c r="L1527" s="2">
        <f t="shared" si="47"/>
        <v>0</v>
      </c>
    </row>
    <row r="1528" spans="5:12" x14ac:dyDescent="0.35">
      <c r="E1528" s="2"/>
      <c r="F1528" s="2">
        <f>_xlfn.XLOOKUP(D1528,TIPOS_CAMBIO!A:A,TIPOS_CAMBIO!B:B,"",0)</f>
        <v>0</v>
      </c>
      <c r="G1528" s="3">
        <f t="shared" si="46"/>
        <v>0</v>
      </c>
      <c r="H1528" s="3"/>
      <c r="I1528" s="3">
        <f ca="1">IFERROR(_xludf.XLOOKUP("Seguro",PARAMETROS_IMPORTACION!$A:$A,PARAMETROS_IMPORTACION!$C:$C,0),0)</f>
        <v>0</v>
      </c>
      <c r="J1528" s="3">
        <f ca="1">IFERROR(_xludf.XLOOKUP("Arancel",PARAMETROS_IMPORTACION!$A:$A,PARAMETROS_IMPORTACION!$C:$C,0),0)</f>
        <v>0</v>
      </c>
      <c r="K1528" s="2">
        <f ca="1">IFERROR(_xludf.XLOOKUP("Gastos_Aduana",PARAMETROS_IMPORTACION!$A:$A,PARAMETROS_IMPORTACION!$C:$C,0),0)</f>
        <v>0</v>
      </c>
      <c r="L1528" s="2">
        <f t="shared" si="47"/>
        <v>0</v>
      </c>
    </row>
    <row r="1529" spans="5:12" x14ac:dyDescent="0.35">
      <c r="E1529" s="2"/>
      <c r="F1529" s="2">
        <f>_xlfn.XLOOKUP(D1529,TIPOS_CAMBIO!A:A,TIPOS_CAMBIO!B:B,"",0)</f>
        <v>0</v>
      </c>
      <c r="G1529" s="3">
        <f t="shared" si="46"/>
        <v>0</v>
      </c>
      <c r="H1529" s="3"/>
      <c r="I1529" s="3">
        <f ca="1">IFERROR(_xludf.XLOOKUP("Seguro",PARAMETROS_IMPORTACION!$A:$A,PARAMETROS_IMPORTACION!$C:$C,0),0)</f>
        <v>0</v>
      </c>
      <c r="J1529" s="3">
        <f ca="1">IFERROR(_xludf.XLOOKUP("Arancel",PARAMETROS_IMPORTACION!$A:$A,PARAMETROS_IMPORTACION!$C:$C,0),0)</f>
        <v>0</v>
      </c>
      <c r="K1529" s="2">
        <f ca="1">IFERROR(_xludf.XLOOKUP("Gastos_Aduana",PARAMETROS_IMPORTACION!$A:$A,PARAMETROS_IMPORTACION!$C:$C,0),0)</f>
        <v>0</v>
      </c>
      <c r="L1529" s="2">
        <f t="shared" si="47"/>
        <v>0</v>
      </c>
    </row>
    <row r="1530" spans="5:12" x14ac:dyDescent="0.35">
      <c r="E1530" s="2"/>
      <c r="F1530" s="2">
        <f>_xlfn.XLOOKUP(D1530,TIPOS_CAMBIO!A:A,TIPOS_CAMBIO!B:B,"",0)</f>
        <v>0</v>
      </c>
      <c r="G1530" s="3">
        <f t="shared" si="46"/>
        <v>0</v>
      </c>
      <c r="H1530" s="3"/>
      <c r="I1530" s="3">
        <f ca="1">IFERROR(_xludf.XLOOKUP("Seguro",PARAMETROS_IMPORTACION!$A:$A,PARAMETROS_IMPORTACION!$C:$C,0),0)</f>
        <v>0</v>
      </c>
      <c r="J1530" s="3">
        <f ca="1">IFERROR(_xludf.XLOOKUP("Arancel",PARAMETROS_IMPORTACION!$A:$A,PARAMETROS_IMPORTACION!$C:$C,0),0)</f>
        <v>0</v>
      </c>
      <c r="K1530" s="2">
        <f ca="1">IFERROR(_xludf.XLOOKUP("Gastos_Aduana",PARAMETROS_IMPORTACION!$A:$A,PARAMETROS_IMPORTACION!$C:$C,0),0)</f>
        <v>0</v>
      </c>
      <c r="L1530" s="2">
        <f t="shared" si="47"/>
        <v>0</v>
      </c>
    </row>
    <row r="1531" spans="5:12" x14ac:dyDescent="0.35">
      <c r="E1531" s="2"/>
      <c r="F1531" s="2">
        <f>_xlfn.XLOOKUP(D1531,TIPOS_CAMBIO!A:A,TIPOS_CAMBIO!B:B,"",0)</f>
        <v>0</v>
      </c>
      <c r="G1531" s="3">
        <f t="shared" si="46"/>
        <v>0</v>
      </c>
      <c r="H1531" s="3"/>
      <c r="I1531" s="3">
        <f ca="1">IFERROR(_xludf.XLOOKUP("Seguro",PARAMETROS_IMPORTACION!$A:$A,PARAMETROS_IMPORTACION!$C:$C,0),0)</f>
        <v>0</v>
      </c>
      <c r="J1531" s="3">
        <f ca="1">IFERROR(_xludf.XLOOKUP("Arancel",PARAMETROS_IMPORTACION!$A:$A,PARAMETROS_IMPORTACION!$C:$C,0),0)</f>
        <v>0</v>
      </c>
      <c r="K1531" s="2">
        <f ca="1">IFERROR(_xludf.XLOOKUP("Gastos_Aduana",PARAMETROS_IMPORTACION!$A:$A,PARAMETROS_IMPORTACION!$C:$C,0),0)</f>
        <v>0</v>
      </c>
      <c r="L1531" s="2">
        <f t="shared" si="47"/>
        <v>0</v>
      </c>
    </row>
    <row r="1532" spans="5:12" x14ac:dyDescent="0.35">
      <c r="E1532" s="2"/>
      <c r="F1532" s="2">
        <f>_xlfn.XLOOKUP(D1532,TIPOS_CAMBIO!A:A,TIPOS_CAMBIO!B:B,"",0)</f>
        <v>0</v>
      </c>
      <c r="G1532" s="3">
        <f t="shared" si="46"/>
        <v>0</v>
      </c>
      <c r="H1532" s="3"/>
      <c r="I1532" s="3">
        <f ca="1">IFERROR(_xludf.XLOOKUP("Seguro",PARAMETROS_IMPORTACION!$A:$A,PARAMETROS_IMPORTACION!$C:$C,0),0)</f>
        <v>0</v>
      </c>
      <c r="J1532" s="3">
        <f ca="1">IFERROR(_xludf.XLOOKUP("Arancel",PARAMETROS_IMPORTACION!$A:$A,PARAMETROS_IMPORTACION!$C:$C,0),0)</f>
        <v>0</v>
      </c>
      <c r="K1532" s="2">
        <f ca="1">IFERROR(_xludf.XLOOKUP("Gastos_Aduana",PARAMETROS_IMPORTACION!$A:$A,PARAMETROS_IMPORTACION!$C:$C,0),0)</f>
        <v>0</v>
      </c>
      <c r="L1532" s="2">
        <f t="shared" si="47"/>
        <v>0</v>
      </c>
    </row>
    <row r="1533" spans="5:12" x14ac:dyDescent="0.35">
      <c r="E1533" s="2"/>
      <c r="F1533" s="2">
        <f>_xlfn.XLOOKUP(D1533,TIPOS_CAMBIO!A:A,TIPOS_CAMBIO!B:B,"",0)</f>
        <v>0</v>
      </c>
      <c r="G1533" s="3">
        <f t="shared" si="46"/>
        <v>0</v>
      </c>
      <c r="H1533" s="3"/>
      <c r="I1533" s="3">
        <f ca="1">IFERROR(_xludf.XLOOKUP("Seguro",PARAMETROS_IMPORTACION!$A:$A,PARAMETROS_IMPORTACION!$C:$C,0),0)</f>
        <v>0</v>
      </c>
      <c r="J1533" s="3">
        <f ca="1">IFERROR(_xludf.XLOOKUP("Arancel",PARAMETROS_IMPORTACION!$A:$A,PARAMETROS_IMPORTACION!$C:$C,0),0)</f>
        <v>0</v>
      </c>
      <c r="K1533" s="2">
        <f ca="1">IFERROR(_xludf.XLOOKUP("Gastos_Aduana",PARAMETROS_IMPORTACION!$A:$A,PARAMETROS_IMPORTACION!$C:$C,0),0)</f>
        <v>0</v>
      </c>
      <c r="L1533" s="2">
        <f t="shared" si="47"/>
        <v>0</v>
      </c>
    </row>
    <row r="1534" spans="5:12" x14ac:dyDescent="0.35">
      <c r="E1534" s="2"/>
      <c r="F1534" s="2">
        <f>_xlfn.XLOOKUP(D1534,TIPOS_CAMBIO!A:A,TIPOS_CAMBIO!B:B,"",0)</f>
        <v>0</v>
      </c>
      <c r="G1534" s="3">
        <f t="shared" si="46"/>
        <v>0</v>
      </c>
      <c r="H1534" s="3"/>
      <c r="I1534" s="3">
        <f ca="1">IFERROR(_xludf.XLOOKUP("Seguro",PARAMETROS_IMPORTACION!$A:$A,PARAMETROS_IMPORTACION!$C:$C,0),0)</f>
        <v>0</v>
      </c>
      <c r="J1534" s="3">
        <f ca="1">IFERROR(_xludf.XLOOKUP("Arancel",PARAMETROS_IMPORTACION!$A:$A,PARAMETROS_IMPORTACION!$C:$C,0),0)</f>
        <v>0</v>
      </c>
      <c r="K1534" s="2">
        <f ca="1">IFERROR(_xludf.XLOOKUP("Gastos_Aduana",PARAMETROS_IMPORTACION!$A:$A,PARAMETROS_IMPORTACION!$C:$C,0),0)</f>
        <v>0</v>
      </c>
      <c r="L1534" s="2">
        <f t="shared" si="47"/>
        <v>0</v>
      </c>
    </row>
    <row r="1535" spans="5:12" x14ac:dyDescent="0.35">
      <c r="E1535" s="2"/>
      <c r="F1535" s="2">
        <f>_xlfn.XLOOKUP(D1535,TIPOS_CAMBIO!A:A,TIPOS_CAMBIO!B:B,"",0)</f>
        <v>0</v>
      </c>
      <c r="G1535" s="3">
        <f t="shared" si="46"/>
        <v>0</v>
      </c>
      <c r="H1535" s="3"/>
      <c r="I1535" s="3">
        <f ca="1">IFERROR(_xludf.XLOOKUP("Seguro",PARAMETROS_IMPORTACION!$A:$A,PARAMETROS_IMPORTACION!$C:$C,0),0)</f>
        <v>0</v>
      </c>
      <c r="J1535" s="3">
        <f ca="1">IFERROR(_xludf.XLOOKUP("Arancel",PARAMETROS_IMPORTACION!$A:$A,PARAMETROS_IMPORTACION!$C:$C,0),0)</f>
        <v>0</v>
      </c>
      <c r="K1535" s="2">
        <f ca="1">IFERROR(_xludf.XLOOKUP("Gastos_Aduana",PARAMETROS_IMPORTACION!$A:$A,PARAMETROS_IMPORTACION!$C:$C,0),0)</f>
        <v>0</v>
      </c>
      <c r="L1535" s="2">
        <f t="shared" si="47"/>
        <v>0</v>
      </c>
    </row>
    <row r="1536" spans="5:12" x14ac:dyDescent="0.35">
      <c r="E1536" s="2"/>
      <c r="F1536" s="2">
        <f>_xlfn.XLOOKUP(D1536,TIPOS_CAMBIO!A:A,TIPOS_CAMBIO!B:B,"",0)</f>
        <v>0</v>
      </c>
      <c r="G1536" s="3">
        <f t="shared" si="46"/>
        <v>0</v>
      </c>
      <c r="H1536" s="3"/>
      <c r="I1536" s="3">
        <f ca="1">IFERROR(_xludf.XLOOKUP("Seguro",PARAMETROS_IMPORTACION!$A:$A,PARAMETROS_IMPORTACION!$C:$C,0),0)</f>
        <v>0</v>
      </c>
      <c r="J1536" s="3">
        <f ca="1">IFERROR(_xludf.XLOOKUP("Arancel",PARAMETROS_IMPORTACION!$A:$A,PARAMETROS_IMPORTACION!$C:$C,0),0)</f>
        <v>0</v>
      </c>
      <c r="K1536" s="2">
        <f ca="1">IFERROR(_xludf.XLOOKUP("Gastos_Aduana",PARAMETROS_IMPORTACION!$A:$A,PARAMETROS_IMPORTACION!$C:$C,0),0)</f>
        <v>0</v>
      </c>
      <c r="L1536" s="2">
        <f t="shared" si="47"/>
        <v>0</v>
      </c>
    </row>
    <row r="1537" spans="5:12" x14ac:dyDescent="0.35">
      <c r="E1537" s="2"/>
      <c r="F1537" s="2">
        <f>_xlfn.XLOOKUP(D1537,TIPOS_CAMBIO!A:A,TIPOS_CAMBIO!B:B,"",0)</f>
        <v>0</v>
      </c>
      <c r="G1537" s="3">
        <f t="shared" si="46"/>
        <v>0</v>
      </c>
      <c r="H1537" s="3"/>
      <c r="I1537" s="3">
        <f ca="1">IFERROR(_xludf.XLOOKUP("Seguro",PARAMETROS_IMPORTACION!$A:$A,PARAMETROS_IMPORTACION!$C:$C,0),0)</f>
        <v>0</v>
      </c>
      <c r="J1537" s="3">
        <f ca="1">IFERROR(_xludf.XLOOKUP("Arancel",PARAMETROS_IMPORTACION!$A:$A,PARAMETROS_IMPORTACION!$C:$C,0),0)</f>
        <v>0</v>
      </c>
      <c r="K1537" s="2">
        <f ca="1">IFERROR(_xludf.XLOOKUP("Gastos_Aduana",PARAMETROS_IMPORTACION!$A:$A,PARAMETROS_IMPORTACION!$C:$C,0),0)</f>
        <v>0</v>
      </c>
      <c r="L1537" s="2">
        <f t="shared" si="47"/>
        <v>0</v>
      </c>
    </row>
    <row r="1538" spans="5:12" x14ac:dyDescent="0.35">
      <c r="E1538" s="2"/>
      <c r="F1538" s="2">
        <f>_xlfn.XLOOKUP(D1538,TIPOS_CAMBIO!A:A,TIPOS_CAMBIO!B:B,"",0)</f>
        <v>0</v>
      </c>
      <c r="G1538" s="3">
        <f t="shared" ref="G1538:G1601" si="48">$E1538*$F1538</f>
        <v>0</v>
      </c>
      <c r="H1538" s="3"/>
      <c r="I1538" s="3">
        <f ca="1">IFERROR(_xludf.XLOOKUP("Seguro",PARAMETROS_IMPORTACION!$A:$A,PARAMETROS_IMPORTACION!$C:$C,0),0)</f>
        <v>0</v>
      </c>
      <c r="J1538" s="3">
        <f ca="1">IFERROR(_xludf.XLOOKUP("Arancel",PARAMETROS_IMPORTACION!$A:$A,PARAMETROS_IMPORTACION!$C:$C,0),0)</f>
        <v>0</v>
      </c>
      <c r="K1538" s="2">
        <f ca="1">IFERROR(_xludf.XLOOKUP("Gastos_Aduana",PARAMETROS_IMPORTACION!$A:$A,PARAMETROS_IMPORTACION!$C:$C,0),0)</f>
        <v>0</v>
      </c>
      <c r="L1538" s="2">
        <f t="shared" si="47"/>
        <v>0</v>
      </c>
    </row>
    <row r="1539" spans="5:12" x14ac:dyDescent="0.35">
      <c r="E1539" s="2"/>
      <c r="F1539" s="2">
        <f>_xlfn.XLOOKUP(D1539,TIPOS_CAMBIO!A:A,TIPOS_CAMBIO!B:B,"",0)</f>
        <v>0</v>
      </c>
      <c r="G1539" s="3">
        <f t="shared" si="48"/>
        <v>0</v>
      </c>
      <c r="H1539" s="3"/>
      <c r="I1539" s="3">
        <f ca="1">IFERROR(_xludf.XLOOKUP("Seguro",PARAMETROS_IMPORTACION!$A:$A,PARAMETROS_IMPORTACION!$C:$C,0),0)</f>
        <v>0</v>
      </c>
      <c r="J1539" s="3">
        <f ca="1">IFERROR(_xludf.XLOOKUP("Arancel",PARAMETROS_IMPORTACION!$A:$A,PARAMETROS_IMPORTACION!$C:$C,0),0)</f>
        <v>0</v>
      </c>
      <c r="K1539" s="2">
        <f ca="1">IFERROR(_xludf.XLOOKUP("Gastos_Aduana",PARAMETROS_IMPORTACION!$A:$A,PARAMETROS_IMPORTACION!$C:$C,0),0)</f>
        <v>0</v>
      </c>
      <c r="L1539" s="2">
        <f t="shared" ref="L1539:L1602" si="49">IF($C1539="Importado",$G1539*(1+$H1539+$I1539+$J1539)+$K1539,$G1539)</f>
        <v>0</v>
      </c>
    </row>
    <row r="1540" spans="5:12" x14ac:dyDescent="0.35">
      <c r="E1540" s="2"/>
      <c r="F1540" s="2">
        <f>_xlfn.XLOOKUP(D1540,TIPOS_CAMBIO!A:A,TIPOS_CAMBIO!B:B,"",0)</f>
        <v>0</v>
      </c>
      <c r="G1540" s="3">
        <f t="shared" si="48"/>
        <v>0</v>
      </c>
      <c r="H1540" s="3"/>
      <c r="I1540" s="3">
        <f ca="1">IFERROR(_xludf.XLOOKUP("Seguro",PARAMETROS_IMPORTACION!$A:$A,PARAMETROS_IMPORTACION!$C:$C,0),0)</f>
        <v>0</v>
      </c>
      <c r="J1540" s="3">
        <f ca="1">IFERROR(_xludf.XLOOKUP("Arancel",PARAMETROS_IMPORTACION!$A:$A,PARAMETROS_IMPORTACION!$C:$C,0),0)</f>
        <v>0</v>
      </c>
      <c r="K1540" s="2">
        <f ca="1">IFERROR(_xludf.XLOOKUP("Gastos_Aduana",PARAMETROS_IMPORTACION!$A:$A,PARAMETROS_IMPORTACION!$C:$C,0),0)</f>
        <v>0</v>
      </c>
      <c r="L1540" s="2">
        <f t="shared" si="49"/>
        <v>0</v>
      </c>
    </row>
    <row r="1541" spans="5:12" x14ac:dyDescent="0.35">
      <c r="E1541" s="2"/>
      <c r="F1541" s="2">
        <f>_xlfn.XLOOKUP(D1541,TIPOS_CAMBIO!A:A,TIPOS_CAMBIO!B:B,"",0)</f>
        <v>0</v>
      </c>
      <c r="G1541" s="3">
        <f t="shared" si="48"/>
        <v>0</v>
      </c>
      <c r="H1541" s="3"/>
      <c r="I1541" s="3">
        <f ca="1">IFERROR(_xludf.XLOOKUP("Seguro",PARAMETROS_IMPORTACION!$A:$A,PARAMETROS_IMPORTACION!$C:$C,0),0)</f>
        <v>0</v>
      </c>
      <c r="J1541" s="3">
        <f ca="1">IFERROR(_xludf.XLOOKUP("Arancel",PARAMETROS_IMPORTACION!$A:$A,PARAMETROS_IMPORTACION!$C:$C,0),0)</f>
        <v>0</v>
      </c>
      <c r="K1541" s="2">
        <f ca="1">IFERROR(_xludf.XLOOKUP("Gastos_Aduana",PARAMETROS_IMPORTACION!$A:$A,PARAMETROS_IMPORTACION!$C:$C,0),0)</f>
        <v>0</v>
      </c>
      <c r="L1541" s="2">
        <f t="shared" si="49"/>
        <v>0</v>
      </c>
    </row>
    <row r="1542" spans="5:12" x14ac:dyDescent="0.35">
      <c r="E1542" s="2"/>
      <c r="F1542" s="2">
        <f>_xlfn.XLOOKUP(D1542,TIPOS_CAMBIO!A:A,TIPOS_CAMBIO!B:B,"",0)</f>
        <v>0</v>
      </c>
      <c r="G1542" s="3">
        <f t="shared" si="48"/>
        <v>0</v>
      </c>
      <c r="H1542" s="3"/>
      <c r="I1542" s="3">
        <f ca="1">IFERROR(_xludf.XLOOKUP("Seguro",PARAMETROS_IMPORTACION!$A:$A,PARAMETROS_IMPORTACION!$C:$C,0),0)</f>
        <v>0</v>
      </c>
      <c r="J1542" s="3">
        <f ca="1">IFERROR(_xludf.XLOOKUP("Arancel",PARAMETROS_IMPORTACION!$A:$A,PARAMETROS_IMPORTACION!$C:$C,0),0)</f>
        <v>0</v>
      </c>
      <c r="K1542" s="2">
        <f ca="1">IFERROR(_xludf.XLOOKUP("Gastos_Aduana",PARAMETROS_IMPORTACION!$A:$A,PARAMETROS_IMPORTACION!$C:$C,0),0)</f>
        <v>0</v>
      </c>
      <c r="L1542" s="2">
        <f t="shared" si="49"/>
        <v>0</v>
      </c>
    </row>
    <row r="1543" spans="5:12" x14ac:dyDescent="0.35">
      <c r="E1543" s="2"/>
      <c r="F1543" s="2">
        <f>_xlfn.XLOOKUP(D1543,TIPOS_CAMBIO!A:A,TIPOS_CAMBIO!B:B,"",0)</f>
        <v>0</v>
      </c>
      <c r="G1543" s="3">
        <f t="shared" si="48"/>
        <v>0</v>
      </c>
      <c r="H1543" s="3"/>
      <c r="I1543" s="3">
        <f ca="1">IFERROR(_xludf.XLOOKUP("Seguro",PARAMETROS_IMPORTACION!$A:$A,PARAMETROS_IMPORTACION!$C:$C,0),0)</f>
        <v>0</v>
      </c>
      <c r="J1543" s="3">
        <f ca="1">IFERROR(_xludf.XLOOKUP("Arancel",PARAMETROS_IMPORTACION!$A:$A,PARAMETROS_IMPORTACION!$C:$C,0),0)</f>
        <v>0</v>
      </c>
      <c r="K1543" s="2">
        <f ca="1">IFERROR(_xludf.XLOOKUP("Gastos_Aduana",PARAMETROS_IMPORTACION!$A:$A,PARAMETROS_IMPORTACION!$C:$C,0),0)</f>
        <v>0</v>
      </c>
      <c r="L1543" s="2">
        <f t="shared" si="49"/>
        <v>0</v>
      </c>
    </row>
    <row r="1544" spans="5:12" x14ac:dyDescent="0.35">
      <c r="E1544" s="2"/>
      <c r="F1544" s="2">
        <f>_xlfn.XLOOKUP(D1544,TIPOS_CAMBIO!A:A,TIPOS_CAMBIO!B:B,"",0)</f>
        <v>0</v>
      </c>
      <c r="G1544" s="3">
        <f t="shared" si="48"/>
        <v>0</v>
      </c>
      <c r="H1544" s="3"/>
      <c r="I1544" s="3">
        <f ca="1">IFERROR(_xludf.XLOOKUP("Seguro",PARAMETROS_IMPORTACION!$A:$A,PARAMETROS_IMPORTACION!$C:$C,0),0)</f>
        <v>0</v>
      </c>
      <c r="J1544" s="3">
        <f ca="1">IFERROR(_xludf.XLOOKUP("Arancel",PARAMETROS_IMPORTACION!$A:$A,PARAMETROS_IMPORTACION!$C:$C,0),0)</f>
        <v>0</v>
      </c>
      <c r="K1544" s="2">
        <f ca="1">IFERROR(_xludf.XLOOKUP("Gastos_Aduana",PARAMETROS_IMPORTACION!$A:$A,PARAMETROS_IMPORTACION!$C:$C,0),0)</f>
        <v>0</v>
      </c>
      <c r="L1544" s="2">
        <f t="shared" si="49"/>
        <v>0</v>
      </c>
    </row>
    <row r="1545" spans="5:12" x14ac:dyDescent="0.35">
      <c r="E1545" s="2"/>
      <c r="F1545" s="2">
        <f>_xlfn.XLOOKUP(D1545,TIPOS_CAMBIO!A:A,TIPOS_CAMBIO!B:B,"",0)</f>
        <v>0</v>
      </c>
      <c r="G1545" s="3">
        <f t="shared" si="48"/>
        <v>0</v>
      </c>
      <c r="H1545" s="3"/>
      <c r="I1545" s="3">
        <f ca="1">IFERROR(_xludf.XLOOKUP("Seguro",PARAMETROS_IMPORTACION!$A:$A,PARAMETROS_IMPORTACION!$C:$C,0),0)</f>
        <v>0</v>
      </c>
      <c r="J1545" s="3">
        <f ca="1">IFERROR(_xludf.XLOOKUP("Arancel",PARAMETROS_IMPORTACION!$A:$A,PARAMETROS_IMPORTACION!$C:$C,0),0)</f>
        <v>0</v>
      </c>
      <c r="K1545" s="2">
        <f ca="1">IFERROR(_xludf.XLOOKUP("Gastos_Aduana",PARAMETROS_IMPORTACION!$A:$A,PARAMETROS_IMPORTACION!$C:$C,0),0)</f>
        <v>0</v>
      </c>
      <c r="L1545" s="2">
        <f t="shared" si="49"/>
        <v>0</v>
      </c>
    </row>
    <row r="1546" spans="5:12" x14ac:dyDescent="0.35">
      <c r="E1546" s="2"/>
      <c r="F1546" s="2">
        <f>_xlfn.XLOOKUP(D1546,TIPOS_CAMBIO!A:A,TIPOS_CAMBIO!B:B,"",0)</f>
        <v>0</v>
      </c>
      <c r="G1546" s="3">
        <f t="shared" si="48"/>
        <v>0</v>
      </c>
      <c r="H1546" s="3"/>
      <c r="I1546" s="3">
        <f ca="1">IFERROR(_xludf.XLOOKUP("Seguro",PARAMETROS_IMPORTACION!$A:$A,PARAMETROS_IMPORTACION!$C:$C,0),0)</f>
        <v>0</v>
      </c>
      <c r="J1546" s="3">
        <f ca="1">IFERROR(_xludf.XLOOKUP("Arancel",PARAMETROS_IMPORTACION!$A:$A,PARAMETROS_IMPORTACION!$C:$C,0),0)</f>
        <v>0</v>
      </c>
      <c r="K1546" s="2">
        <f ca="1">IFERROR(_xludf.XLOOKUP("Gastos_Aduana",PARAMETROS_IMPORTACION!$A:$A,PARAMETROS_IMPORTACION!$C:$C,0),0)</f>
        <v>0</v>
      </c>
      <c r="L1546" s="2">
        <f t="shared" si="49"/>
        <v>0</v>
      </c>
    </row>
    <row r="1547" spans="5:12" x14ac:dyDescent="0.35">
      <c r="E1547" s="2"/>
      <c r="F1547" s="2">
        <f>_xlfn.XLOOKUP(D1547,TIPOS_CAMBIO!A:A,TIPOS_CAMBIO!B:B,"",0)</f>
        <v>0</v>
      </c>
      <c r="G1547" s="3">
        <f t="shared" si="48"/>
        <v>0</v>
      </c>
      <c r="H1547" s="3"/>
      <c r="I1547" s="3">
        <f ca="1">IFERROR(_xludf.XLOOKUP("Seguro",PARAMETROS_IMPORTACION!$A:$A,PARAMETROS_IMPORTACION!$C:$C,0),0)</f>
        <v>0</v>
      </c>
      <c r="J1547" s="3">
        <f ca="1">IFERROR(_xludf.XLOOKUP("Arancel",PARAMETROS_IMPORTACION!$A:$A,PARAMETROS_IMPORTACION!$C:$C,0),0)</f>
        <v>0</v>
      </c>
      <c r="K1547" s="2">
        <f ca="1">IFERROR(_xludf.XLOOKUP("Gastos_Aduana",PARAMETROS_IMPORTACION!$A:$A,PARAMETROS_IMPORTACION!$C:$C,0),0)</f>
        <v>0</v>
      </c>
      <c r="L1547" s="2">
        <f t="shared" si="49"/>
        <v>0</v>
      </c>
    </row>
    <row r="1548" spans="5:12" x14ac:dyDescent="0.35">
      <c r="E1548" s="2"/>
      <c r="F1548" s="2">
        <f>_xlfn.XLOOKUP(D1548,TIPOS_CAMBIO!A:A,TIPOS_CAMBIO!B:B,"",0)</f>
        <v>0</v>
      </c>
      <c r="G1548" s="3">
        <f t="shared" si="48"/>
        <v>0</v>
      </c>
      <c r="H1548" s="3"/>
      <c r="I1548" s="3">
        <f ca="1">IFERROR(_xludf.XLOOKUP("Seguro",PARAMETROS_IMPORTACION!$A:$A,PARAMETROS_IMPORTACION!$C:$C,0),0)</f>
        <v>0</v>
      </c>
      <c r="J1548" s="3">
        <f ca="1">IFERROR(_xludf.XLOOKUP("Arancel",PARAMETROS_IMPORTACION!$A:$A,PARAMETROS_IMPORTACION!$C:$C,0),0)</f>
        <v>0</v>
      </c>
      <c r="K1548" s="2">
        <f ca="1">IFERROR(_xludf.XLOOKUP("Gastos_Aduana",PARAMETROS_IMPORTACION!$A:$A,PARAMETROS_IMPORTACION!$C:$C,0),0)</f>
        <v>0</v>
      </c>
      <c r="L1548" s="2">
        <f t="shared" si="49"/>
        <v>0</v>
      </c>
    </row>
    <row r="1549" spans="5:12" x14ac:dyDescent="0.35">
      <c r="E1549" s="2"/>
      <c r="F1549" s="2">
        <f>_xlfn.XLOOKUP(D1549,TIPOS_CAMBIO!A:A,TIPOS_CAMBIO!B:B,"",0)</f>
        <v>0</v>
      </c>
      <c r="G1549" s="3">
        <f t="shared" si="48"/>
        <v>0</v>
      </c>
      <c r="H1549" s="3"/>
      <c r="I1549" s="3">
        <f ca="1">IFERROR(_xludf.XLOOKUP("Seguro",PARAMETROS_IMPORTACION!$A:$A,PARAMETROS_IMPORTACION!$C:$C,0),0)</f>
        <v>0</v>
      </c>
      <c r="J1549" s="3">
        <f ca="1">IFERROR(_xludf.XLOOKUP("Arancel",PARAMETROS_IMPORTACION!$A:$A,PARAMETROS_IMPORTACION!$C:$C,0),0)</f>
        <v>0</v>
      </c>
      <c r="K1549" s="2">
        <f ca="1">IFERROR(_xludf.XLOOKUP("Gastos_Aduana",PARAMETROS_IMPORTACION!$A:$A,PARAMETROS_IMPORTACION!$C:$C,0),0)</f>
        <v>0</v>
      </c>
      <c r="L1549" s="2">
        <f t="shared" si="49"/>
        <v>0</v>
      </c>
    </row>
    <row r="1550" spans="5:12" x14ac:dyDescent="0.35">
      <c r="E1550" s="2"/>
      <c r="F1550" s="2">
        <f>_xlfn.XLOOKUP(D1550,TIPOS_CAMBIO!A:A,TIPOS_CAMBIO!B:B,"",0)</f>
        <v>0</v>
      </c>
      <c r="G1550" s="3">
        <f t="shared" si="48"/>
        <v>0</v>
      </c>
      <c r="H1550" s="3"/>
      <c r="I1550" s="3">
        <f ca="1">IFERROR(_xludf.XLOOKUP("Seguro",PARAMETROS_IMPORTACION!$A:$A,PARAMETROS_IMPORTACION!$C:$C,0),0)</f>
        <v>0</v>
      </c>
      <c r="J1550" s="3">
        <f ca="1">IFERROR(_xludf.XLOOKUP("Arancel",PARAMETROS_IMPORTACION!$A:$A,PARAMETROS_IMPORTACION!$C:$C,0),0)</f>
        <v>0</v>
      </c>
      <c r="K1550" s="2">
        <f ca="1">IFERROR(_xludf.XLOOKUP("Gastos_Aduana",PARAMETROS_IMPORTACION!$A:$A,PARAMETROS_IMPORTACION!$C:$C,0),0)</f>
        <v>0</v>
      </c>
      <c r="L1550" s="2">
        <f t="shared" si="49"/>
        <v>0</v>
      </c>
    </row>
    <row r="1551" spans="5:12" x14ac:dyDescent="0.35">
      <c r="E1551" s="2"/>
      <c r="F1551" s="2">
        <f>_xlfn.XLOOKUP(D1551,TIPOS_CAMBIO!A:A,TIPOS_CAMBIO!B:B,"",0)</f>
        <v>0</v>
      </c>
      <c r="G1551" s="3">
        <f t="shared" si="48"/>
        <v>0</v>
      </c>
      <c r="H1551" s="3"/>
      <c r="I1551" s="3">
        <f ca="1">IFERROR(_xludf.XLOOKUP("Seguro",PARAMETROS_IMPORTACION!$A:$A,PARAMETROS_IMPORTACION!$C:$C,0),0)</f>
        <v>0</v>
      </c>
      <c r="J1551" s="3">
        <f ca="1">IFERROR(_xludf.XLOOKUP("Arancel",PARAMETROS_IMPORTACION!$A:$A,PARAMETROS_IMPORTACION!$C:$C,0),0)</f>
        <v>0</v>
      </c>
      <c r="K1551" s="2">
        <f ca="1">IFERROR(_xludf.XLOOKUP("Gastos_Aduana",PARAMETROS_IMPORTACION!$A:$A,PARAMETROS_IMPORTACION!$C:$C,0),0)</f>
        <v>0</v>
      </c>
      <c r="L1551" s="2">
        <f t="shared" si="49"/>
        <v>0</v>
      </c>
    </row>
    <row r="1552" spans="5:12" x14ac:dyDescent="0.35">
      <c r="E1552" s="2"/>
      <c r="F1552" s="2">
        <f>_xlfn.XLOOKUP(D1552,TIPOS_CAMBIO!A:A,TIPOS_CAMBIO!B:B,"",0)</f>
        <v>0</v>
      </c>
      <c r="G1552" s="3">
        <f t="shared" si="48"/>
        <v>0</v>
      </c>
      <c r="H1552" s="3"/>
      <c r="I1552" s="3">
        <f ca="1">IFERROR(_xludf.XLOOKUP("Seguro",PARAMETROS_IMPORTACION!$A:$A,PARAMETROS_IMPORTACION!$C:$C,0),0)</f>
        <v>0</v>
      </c>
      <c r="J1552" s="3">
        <f ca="1">IFERROR(_xludf.XLOOKUP("Arancel",PARAMETROS_IMPORTACION!$A:$A,PARAMETROS_IMPORTACION!$C:$C,0),0)</f>
        <v>0</v>
      </c>
      <c r="K1552" s="2">
        <f ca="1">IFERROR(_xludf.XLOOKUP("Gastos_Aduana",PARAMETROS_IMPORTACION!$A:$A,PARAMETROS_IMPORTACION!$C:$C,0),0)</f>
        <v>0</v>
      </c>
      <c r="L1552" s="2">
        <f t="shared" si="49"/>
        <v>0</v>
      </c>
    </row>
    <row r="1553" spans="5:12" x14ac:dyDescent="0.35">
      <c r="E1553" s="2"/>
      <c r="F1553" s="2">
        <f>_xlfn.XLOOKUP(D1553,TIPOS_CAMBIO!A:A,TIPOS_CAMBIO!B:B,"",0)</f>
        <v>0</v>
      </c>
      <c r="G1553" s="3">
        <f t="shared" si="48"/>
        <v>0</v>
      </c>
      <c r="H1553" s="3"/>
      <c r="I1553" s="3">
        <f ca="1">IFERROR(_xludf.XLOOKUP("Seguro",PARAMETROS_IMPORTACION!$A:$A,PARAMETROS_IMPORTACION!$C:$C,0),0)</f>
        <v>0</v>
      </c>
      <c r="J1553" s="3">
        <f ca="1">IFERROR(_xludf.XLOOKUP("Arancel",PARAMETROS_IMPORTACION!$A:$A,PARAMETROS_IMPORTACION!$C:$C,0),0)</f>
        <v>0</v>
      </c>
      <c r="K1553" s="2">
        <f ca="1">IFERROR(_xludf.XLOOKUP("Gastos_Aduana",PARAMETROS_IMPORTACION!$A:$A,PARAMETROS_IMPORTACION!$C:$C,0),0)</f>
        <v>0</v>
      </c>
      <c r="L1553" s="2">
        <f t="shared" si="49"/>
        <v>0</v>
      </c>
    </row>
    <row r="1554" spans="5:12" x14ac:dyDescent="0.35">
      <c r="E1554" s="2"/>
      <c r="F1554" s="2">
        <f>_xlfn.XLOOKUP(D1554,TIPOS_CAMBIO!A:A,TIPOS_CAMBIO!B:B,"",0)</f>
        <v>0</v>
      </c>
      <c r="G1554" s="3">
        <f t="shared" si="48"/>
        <v>0</v>
      </c>
      <c r="H1554" s="3"/>
      <c r="I1554" s="3">
        <f ca="1">IFERROR(_xludf.XLOOKUP("Seguro",PARAMETROS_IMPORTACION!$A:$A,PARAMETROS_IMPORTACION!$C:$C,0),0)</f>
        <v>0</v>
      </c>
      <c r="J1554" s="3">
        <f ca="1">IFERROR(_xludf.XLOOKUP("Arancel",PARAMETROS_IMPORTACION!$A:$A,PARAMETROS_IMPORTACION!$C:$C,0),0)</f>
        <v>0</v>
      </c>
      <c r="K1554" s="2">
        <f ca="1">IFERROR(_xludf.XLOOKUP("Gastos_Aduana",PARAMETROS_IMPORTACION!$A:$A,PARAMETROS_IMPORTACION!$C:$C,0),0)</f>
        <v>0</v>
      </c>
      <c r="L1554" s="2">
        <f t="shared" si="49"/>
        <v>0</v>
      </c>
    </row>
    <row r="1555" spans="5:12" x14ac:dyDescent="0.35">
      <c r="E1555" s="2"/>
      <c r="F1555" s="2">
        <f>_xlfn.XLOOKUP(D1555,TIPOS_CAMBIO!A:A,TIPOS_CAMBIO!B:B,"",0)</f>
        <v>0</v>
      </c>
      <c r="G1555" s="3">
        <f t="shared" si="48"/>
        <v>0</v>
      </c>
      <c r="H1555" s="3"/>
      <c r="I1555" s="3">
        <f ca="1">IFERROR(_xludf.XLOOKUP("Seguro",PARAMETROS_IMPORTACION!$A:$A,PARAMETROS_IMPORTACION!$C:$C,0),0)</f>
        <v>0</v>
      </c>
      <c r="J1555" s="3">
        <f ca="1">IFERROR(_xludf.XLOOKUP("Arancel",PARAMETROS_IMPORTACION!$A:$A,PARAMETROS_IMPORTACION!$C:$C,0),0)</f>
        <v>0</v>
      </c>
      <c r="K1555" s="2">
        <f ca="1">IFERROR(_xludf.XLOOKUP("Gastos_Aduana",PARAMETROS_IMPORTACION!$A:$A,PARAMETROS_IMPORTACION!$C:$C,0),0)</f>
        <v>0</v>
      </c>
      <c r="L1555" s="2">
        <f t="shared" si="49"/>
        <v>0</v>
      </c>
    </row>
    <row r="1556" spans="5:12" x14ac:dyDescent="0.35">
      <c r="E1556" s="2"/>
      <c r="F1556" s="2">
        <f>_xlfn.XLOOKUP(D1556,TIPOS_CAMBIO!A:A,TIPOS_CAMBIO!B:B,"",0)</f>
        <v>0</v>
      </c>
      <c r="G1556" s="3">
        <f t="shared" si="48"/>
        <v>0</v>
      </c>
      <c r="H1556" s="3"/>
      <c r="I1556" s="3">
        <f ca="1">IFERROR(_xludf.XLOOKUP("Seguro",PARAMETROS_IMPORTACION!$A:$A,PARAMETROS_IMPORTACION!$C:$C,0),0)</f>
        <v>0</v>
      </c>
      <c r="J1556" s="3">
        <f ca="1">IFERROR(_xludf.XLOOKUP("Arancel",PARAMETROS_IMPORTACION!$A:$A,PARAMETROS_IMPORTACION!$C:$C,0),0)</f>
        <v>0</v>
      </c>
      <c r="K1556" s="2">
        <f ca="1">IFERROR(_xludf.XLOOKUP("Gastos_Aduana",PARAMETROS_IMPORTACION!$A:$A,PARAMETROS_IMPORTACION!$C:$C,0),0)</f>
        <v>0</v>
      </c>
      <c r="L1556" s="2">
        <f t="shared" si="49"/>
        <v>0</v>
      </c>
    </row>
    <row r="1557" spans="5:12" x14ac:dyDescent="0.35">
      <c r="E1557" s="2"/>
      <c r="F1557" s="2">
        <f>_xlfn.XLOOKUP(D1557,TIPOS_CAMBIO!A:A,TIPOS_CAMBIO!B:B,"",0)</f>
        <v>0</v>
      </c>
      <c r="G1557" s="3">
        <f t="shared" si="48"/>
        <v>0</v>
      </c>
      <c r="H1557" s="3"/>
      <c r="I1557" s="3">
        <f ca="1">IFERROR(_xludf.XLOOKUP("Seguro",PARAMETROS_IMPORTACION!$A:$A,PARAMETROS_IMPORTACION!$C:$C,0),0)</f>
        <v>0</v>
      </c>
      <c r="J1557" s="3">
        <f ca="1">IFERROR(_xludf.XLOOKUP("Arancel",PARAMETROS_IMPORTACION!$A:$A,PARAMETROS_IMPORTACION!$C:$C,0),0)</f>
        <v>0</v>
      </c>
      <c r="K1557" s="2">
        <f ca="1">IFERROR(_xludf.XLOOKUP("Gastos_Aduana",PARAMETROS_IMPORTACION!$A:$A,PARAMETROS_IMPORTACION!$C:$C,0),0)</f>
        <v>0</v>
      </c>
      <c r="L1557" s="2">
        <f t="shared" si="49"/>
        <v>0</v>
      </c>
    </row>
    <row r="1558" spans="5:12" x14ac:dyDescent="0.35">
      <c r="E1558" s="2"/>
      <c r="F1558" s="2">
        <f>_xlfn.XLOOKUP(D1558,TIPOS_CAMBIO!A:A,TIPOS_CAMBIO!B:B,"",0)</f>
        <v>0</v>
      </c>
      <c r="G1558" s="3">
        <f t="shared" si="48"/>
        <v>0</v>
      </c>
      <c r="H1558" s="3"/>
      <c r="I1558" s="3">
        <f ca="1">IFERROR(_xludf.XLOOKUP("Seguro",PARAMETROS_IMPORTACION!$A:$A,PARAMETROS_IMPORTACION!$C:$C,0),0)</f>
        <v>0</v>
      </c>
      <c r="J1558" s="3">
        <f ca="1">IFERROR(_xludf.XLOOKUP("Arancel",PARAMETROS_IMPORTACION!$A:$A,PARAMETROS_IMPORTACION!$C:$C,0),0)</f>
        <v>0</v>
      </c>
      <c r="K1558" s="2">
        <f ca="1">IFERROR(_xludf.XLOOKUP("Gastos_Aduana",PARAMETROS_IMPORTACION!$A:$A,PARAMETROS_IMPORTACION!$C:$C,0),0)</f>
        <v>0</v>
      </c>
      <c r="L1558" s="2">
        <f t="shared" si="49"/>
        <v>0</v>
      </c>
    </row>
    <row r="1559" spans="5:12" x14ac:dyDescent="0.35">
      <c r="E1559" s="2"/>
      <c r="F1559" s="2">
        <f>_xlfn.XLOOKUP(D1559,TIPOS_CAMBIO!A:A,TIPOS_CAMBIO!B:B,"",0)</f>
        <v>0</v>
      </c>
      <c r="G1559" s="3">
        <f t="shared" si="48"/>
        <v>0</v>
      </c>
      <c r="H1559" s="3"/>
      <c r="I1559" s="3">
        <f ca="1">IFERROR(_xludf.XLOOKUP("Seguro",PARAMETROS_IMPORTACION!$A:$A,PARAMETROS_IMPORTACION!$C:$C,0),0)</f>
        <v>0</v>
      </c>
      <c r="J1559" s="3">
        <f ca="1">IFERROR(_xludf.XLOOKUP("Arancel",PARAMETROS_IMPORTACION!$A:$A,PARAMETROS_IMPORTACION!$C:$C,0),0)</f>
        <v>0</v>
      </c>
      <c r="K1559" s="2">
        <f ca="1">IFERROR(_xludf.XLOOKUP("Gastos_Aduana",PARAMETROS_IMPORTACION!$A:$A,PARAMETROS_IMPORTACION!$C:$C,0),0)</f>
        <v>0</v>
      </c>
      <c r="L1559" s="2">
        <f t="shared" si="49"/>
        <v>0</v>
      </c>
    </row>
    <row r="1560" spans="5:12" x14ac:dyDescent="0.35">
      <c r="E1560" s="2"/>
      <c r="F1560" s="2">
        <f>_xlfn.XLOOKUP(D1560,TIPOS_CAMBIO!A:A,TIPOS_CAMBIO!B:B,"",0)</f>
        <v>0</v>
      </c>
      <c r="G1560" s="3">
        <f t="shared" si="48"/>
        <v>0</v>
      </c>
      <c r="H1560" s="3"/>
      <c r="I1560" s="3">
        <f ca="1">IFERROR(_xludf.XLOOKUP("Seguro",PARAMETROS_IMPORTACION!$A:$A,PARAMETROS_IMPORTACION!$C:$C,0),0)</f>
        <v>0</v>
      </c>
      <c r="J1560" s="3">
        <f ca="1">IFERROR(_xludf.XLOOKUP("Arancel",PARAMETROS_IMPORTACION!$A:$A,PARAMETROS_IMPORTACION!$C:$C,0),0)</f>
        <v>0</v>
      </c>
      <c r="K1560" s="2">
        <f ca="1">IFERROR(_xludf.XLOOKUP("Gastos_Aduana",PARAMETROS_IMPORTACION!$A:$A,PARAMETROS_IMPORTACION!$C:$C,0),0)</f>
        <v>0</v>
      </c>
      <c r="L1560" s="2">
        <f t="shared" si="49"/>
        <v>0</v>
      </c>
    </row>
    <row r="1561" spans="5:12" x14ac:dyDescent="0.35">
      <c r="E1561" s="2"/>
      <c r="F1561" s="2">
        <f>_xlfn.XLOOKUP(D1561,TIPOS_CAMBIO!A:A,TIPOS_CAMBIO!B:B,"",0)</f>
        <v>0</v>
      </c>
      <c r="G1561" s="3">
        <f t="shared" si="48"/>
        <v>0</v>
      </c>
      <c r="H1561" s="3"/>
      <c r="I1561" s="3">
        <f ca="1">IFERROR(_xludf.XLOOKUP("Seguro",PARAMETROS_IMPORTACION!$A:$A,PARAMETROS_IMPORTACION!$C:$C,0),0)</f>
        <v>0</v>
      </c>
      <c r="J1561" s="3">
        <f ca="1">IFERROR(_xludf.XLOOKUP("Arancel",PARAMETROS_IMPORTACION!$A:$A,PARAMETROS_IMPORTACION!$C:$C,0),0)</f>
        <v>0</v>
      </c>
      <c r="K1561" s="2">
        <f ca="1">IFERROR(_xludf.XLOOKUP("Gastos_Aduana",PARAMETROS_IMPORTACION!$A:$A,PARAMETROS_IMPORTACION!$C:$C,0),0)</f>
        <v>0</v>
      </c>
      <c r="L1561" s="2">
        <f t="shared" si="49"/>
        <v>0</v>
      </c>
    </row>
    <row r="1562" spans="5:12" x14ac:dyDescent="0.35">
      <c r="E1562" s="2"/>
      <c r="F1562" s="2">
        <f>_xlfn.XLOOKUP(D1562,TIPOS_CAMBIO!A:A,TIPOS_CAMBIO!B:B,"",0)</f>
        <v>0</v>
      </c>
      <c r="G1562" s="3">
        <f t="shared" si="48"/>
        <v>0</v>
      </c>
      <c r="H1562" s="3"/>
      <c r="I1562" s="3">
        <f ca="1">IFERROR(_xludf.XLOOKUP("Seguro",PARAMETROS_IMPORTACION!$A:$A,PARAMETROS_IMPORTACION!$C:$C,0),0)</f>
        <v>0</v>
      </c>
      <c r="J1562" s="3">
        <f ca="1">IFERROR(_xludf.XLOOKUP("Arancel",PARAMETROS_IMPORTACION!$A:$A,PARAMETROS_IMPORTACION!$C:$C,0),0)</f>
        <v>0</v>
      </c>
      <c r="K1562" s="2">
        <f ca="1">IFERROR(_xludf.XLOOKUP("Gastos_Aduana",PARAMETROS_IMPORTACION!$A:$A,PARAMETROS_IMPORTACION!$C:$C,0),0)</f>
        <v>0</v>
      </c>
      <c r="L1562" s="2">
        <f t="shared" si="49"/>
        <v>0</v>
      </c>
    </row>
    <row r="1563" spans="5:12" x14ac:dyDescent="0.35">
      <c r="E1563" s="2"/>
      <c r="F1563" s="2">
        <f>_xlfn.XLOOKUP(D1563,TIPOS_CAMBIO!A:A,TIPOS_CAMBIO!B:B,"",0)</f>
        <v>0</v>
      </c>
      <c r="G1563" s="3">
        <f t="shared" si="48"/>
        <v>0</v>
      </c>
      <c r="H1563" s="3"/>
      <c r="I1563" s="3">
        <f ca="1">IFERROR(_xludf.XLOOKUP("Seguro",PARAMETROS_IMPORTACION!$A:$A,PARAMETROS_IMPORTACION!$C:$C,0),0)</f>
        <v>0</v>
      </c>
      <c r="J1563" s="3">
        <f ca="1">IFERROR(_xludf.XLOOKUP("Arancel",PARAMETROS_IMPORTACION!$A:$A,PARAMETROS_IMPORTACION!$C:$C,0),0)</f>
        <v>0</v>
      </c>
      <c r="K1563" s="2">
        <f ca="1">IFERROR(_xludf.XLOOKUP("Gastos_Aduana",PARAMETROS_IMPORTACION!$A:$A,PARAMETROS_IMPORTACION!$C:$C,0),0)</f>
        <v>0</v>
      </c>
      <c r="L1563" s="2">
        <f t="shared" si="49"/>
        <v>0</v>
      </c>
    </row>
    <row r="1564" spans="5:12" x14ac:dyDescent="0.35">
      <c r="E1564" s="2"/>
      <c r="F1564" s="2">
        <f>_xlfn.XLOOKUP(D1564,TIPOS_CAMBIO!A:A,TIPOS_CAMBIO!B:B,"",0)</f>
        <v>0</v>
      </c>
      <c r="G1564" s="3">
        <f t="shared" si="48"/>
        <v>0</v>
      </c>
      <c r="H1564" s="3"/>
      <c r="I1564" s="3">
        <f ca="1">IFERROR(_xludf.XLOOKUP("Seguro",PARAMETROS_IMPORTACION!$A:$A,PARAMETROS_IMPORTACION!$C:$C,0),0)</f>
        <v>0</v>
      </c>
      <c r="J1564" s="3">
        <f ca="1">IFERROR(_xludf.XLOOKUP("Arancel",PARAMETROS_IMPORTACION!$A:$A,PARAMETROS_IMPORTACION!$C:$C,0),0)</f>
        <v>0</v>
      </c>
      <c r="K1564" s="2">
        <f ca="1">IFERROR(_xludf.XLOOKUP("Gastos_Aduana",PARAMETROS_IMPORTACION!$A:$A,PARAMETROS_IMPORTACION!$C:$C,0),0)</f>
        <v>0</v>
      </c>
      <c r="L1564" s="2">
        <f t="shared" si="49"/>
        <v>0</v>
      </c>
    </row>
    <row r="1565" spans="5:12" x14ac:dyDescent="0.35">
      <c r="E1565" s="2"/>
      <c r="F1565" s="2">
        <f>_xlfn.XLOOKUP(D1565,TIPOS_CAMBIO!A:A,TIPOS_CAMBIO!B:B,"",0)</f>
        <v>0</v>
      </c>
      <c r="G1565" s="3">
        <f t="shared" si="48"/>
        <v>0</v>
      </c>
      <c r="H1565" s="3"/>
      <c r="I1565" s="3">
        <f ca="1">IFERROR(_xludf.XLOOKUP("Seguro",PARAMETROS_IMPORTACION!$A:$A,PARAMETROS_IMPORTACION!$C:$C,0),0)</f>
        <v>0</v>
      </c>
      <c r="J1565" s="3">
        <f ca="1">IFERROR(_xludf.XLOOKUP("Arancel",PARAMETROS_IMPORTACION!$A:$A,PARAMETROS_IMPORTACION!$C:$C,0),0)</f>
        <v>0</v>
      </c>
      <c r="K1565" s="2">
        <f ca="1">IFERROR(_xludf.XLOOKUP("Gastos_Aduana",PARAMETROS_IMPORTACION!$A:$A,PARAMETROS_IMPORTACION!$C:$C,0),0)</f>
        <v>0</v>
      </c>
      <c r="L1565" s="2">
        <f t="shared" si="49"/>
        <v>0</v>
      </c>
    </row>
    <row r="1566" spans="5:12" x14ac:dyDescent="0.35">
      <c r="E1566" s="2"/>
      <c r="F1566" s="2">
        <f>_xlfn.XLOOKUP(D1566,TIPOS_CAMBIO!A:A,TIPOS_CAMBIO!B:B,"",0)</f>
        <v>0</v>
      </c>
      <c r="G1566" s="3">
        <f t="shared" si="48"/>
        <v>0</v>
      </c>
      <c r="H1566" s="3"/>
      <c r="I1566" s="3">
        <f ca="1">IFERROR(_xludf.XLOOKUP("Seguro",PARAMETROS_IMPORTACION!$A:$A,PARAMETROS_IMPORTACION!$C:$C,0),0)</f>
        <v>0</v>
      </c>
      <c r="J1566" s="3">
        <f ca="1">IFERROR(_xludf.XLOOKUP("Arancel",PARAMETROS_IMPORTACION!$A:$A,PARAMETROS_IMPORTACION!$C:$C,0),0)</f>
        <v>0</v>
      </c>
      <c r="K1566" s="2">
        <f ca="1">IFERROR(_xludf.XLOOKUP("Gastos_Aduana",PARAMETROS_IMPORTACION!$A:$A,PARAMETROS_IMPORTACION!$C:$C,0),0)</f>
        <v>0</v>
      </c>
      <c r="L1566" s="2">
        <f t="shared" si="49"/>
        <v>0</v>
      </c>
    </row>
    <row r="1567" spans="5:12" x14ac:dyDescent="0.35">
      <c r="E1567" s="2"/>
      <c r="F1567" s="2">
        <f>_xlfn.XLOOKUP(D1567,TIPOS_CAMBIO!A:A,TIPOS_CAMBIO!B:B,"",0)</f>
        <v>0</v>
      </c>
      <c r="G1567" s="3">
        <f t="shared" si="48"/>
        <v>0</v>
      </c>
      <c r="H1567" s="3"/>
      <c r="I1567" s="3">
        <f ca="1">IFERROR(_xludf.XLOOKUP("Seguro",PARAMETROS_IMPORTACION!$A:$A,PARAMETROS_IMPORTACION!$C:$C,0),0)</f>
        <v>0</v>
      </c>
      <c r="J1567" s="3">
        <f ca="1">IFERROR(_xludf.XLOOKUP("Arancel",PARAMETROS_IMPORTACION!$A:$A,PARAMETROS_IMPORTACION!$C:$C,0),0)</f>
        <v>0</v>
      </c>
      <c r="K1567" s="2">
        <f ca="1">IFERROR(_xludf.XLOOKUP("Gastos_Aduana",PARAMETROS_IMPORTACION!$A:$A,PARAMETROS_IMPORTACION!$C:$C,0),0)</f>
        <v>0</v>
      </c>
      <c r="L1567" s="2">
        <f t="shared" si="49"/>
        <v>0</v>
      </c>
    </row>
    <row r="1568" spans="5:12" x14ac:dyDescent="0.35">
      <c r="E1568" s="2"/>
      <c r="F1568" s="2">
        <f>_xlfn.XLOOKUP(D1568,TIPOS_CAMBIO!A:A,TIPOS_CAMBIO!B:B,"",0)</f>
        <v>0</v>
      </c>
      <c r="G1568" s="3">
        <f t="shared" si="48"/>
        <v>0</v>
      </c>
      <c r="H1568" s="3"/>
      <c r="I1568" s="3">
        <f ca="1">IFERROR(_xludf.XLOOKUP("Seguro",PARAMETROS_IMPORTACION!$A:$A,PARAMETROS_IMPORTACION!$C:$C,0),0)</f>
        <v>0</v>
      </c>
      <c r="J1568" s="3">
        <f ca="1">IFERROR(_xludf.XLOOKUP("Arancel",PARAMETROS_IMPORTACION!$A:$A,PARAMETROS_IMPORTACION!$C:$C,0),0)</f>
        <v>0</v>
      </c>
      <c r="K1568" s="2">
        <f ca="1">IFERROR(_xludf.XLOOKUP("Gastos_Aduana",PARAMETROS_IMPORTACION!$A:$A,PARAMETROS_IMPORTACION!$C:$C,0),0)</f>
        <v>0</v>
      </c>
      <c r="L1568" s="2">
        <f t="shared" si="49"/>
        <v>0</v>
      </c>
    </row>
    <row r="1569" spans="5:12" x14ac:dyDescent="0.35">
      <c r="E1569" s="2"/>
      <c r="F1569" s="2">
        <f>_xlfn.XLOOKUP(D1569,TIPOS_CAMBIO!A:A,TIPOS_CAMBIO!B:B,"",0)</f>
        <v>0</v>
      </c>
      <c r="G1569" s="3">
        <f t="shared" si="48"/>
        <v>0</v>
      </c>
      <c r="H1569" s="3"/>
      <c r="I1569" s="3">
        <f ca="1">IFERROR(_xludf.XLOOKUP("Seguro",PARAMETROS_IMPORTACION!$A:$A,PARAMETROS_IMPORTACION!$C:$C,0),0)</f>
        <v>0</v>
      </c>
      <c r="J1569" s="3">
        <f ca="1">IFERROR(_xludf.XLOOKUP("Arancel",PARAMETROS_IMPORTACION!$A:$A,PARAMETROS_IMPORTACION!$C:$C,0),0)</f>
        <v>0</v>
      </c>
      <c r="K1569" s="2">
        <f ca="1">IFERROR(_xludf.XLOOKUP("Gastos_Aduana",PARAMETROS_IMPORTACION!$A:$A,PARAMETROS_IMPORTACION!$C:$C,0),0)</f>
        <v>0</v>
      </c>
      <c r="L1569" s="2">
        <f t="shared" si="49"/>
        <v>0</v>
      </c>
    </row>
    <row r="1570" spans="5:12" x14ac:dyDescent="0.35">
      <c r="E1570" s="2"/>
      <c r="F1570" s="2">
        <f>_xlfn.XLOOKUP(D1570,TIPOS_CAMBIO!A:A,TIPOS_CAMBIO!B:B,"",0)</f>
        <v>0</v>
      </c>
      <c r="G1570" s="3">
        <f t="shared" si="48"/>
        <v>0</v>
      </c>
      <c r="H1570" s="3"/>
      <c r="I1570" s="3">
        <f ca="1">IFERROR(_xludf.XLOOKUP("Seguro",PARAMETROS_IMPORTACION!$A:$A,PARAMETROS_IMPORTACION!$C:$C,0),0)</f>
        <v>0</v>
      </c>
      <c r="J1570" s="3">
        <f ca="1">IFERROR(_xludf.XLOOKUP("Arancel",PARAMETROS_IMPORTACION!$A:$A,PARAMETROS_IMPORTACION!$C:$C,0),0)</f>
        <v>0</v>
      </c>
      <c r="K1570" s="2">
        <f ca="1">IFERROR(_xludf.XLOOKUP("Gastos_Aduana",PARAMETROS_IMPORTACION!$A:$A,PARAMETROS_IMPORTACION!$C:$C,0),0)</f>
        <v>0</v>
      </c>
      <c r="L1570" s="2">
        <f t="shared" si="49"/>
        <v>0</v>
      </c>
    </row>
    <row r="1571" spans="5:12" x14ac:dyDescent="0.35">
      <c r="E1571" s="2"/>
      <c r="F1571" s="2">
        <f>_xlfn.XLOOKUP(D1571,TIPOS_CAMBIO!A:A,TIPOS_CAMBIO!B:B,"",0)</f>
        <v>0</v>
      </c>
      <c r="G1571" s="3">
        <f t="shared" si="48"/>
        <v>0</v>
      </c>
      <c r="H1571" s="3"/>
      <c r="I1571" s="3">
        <f ca="1">IFERROR(_xludf.XLOOKUP("Seguro",PARAMETROS_IMPORTACION!$A:$A,PARAMETROS_IMPORTACION!$C:$C,0),0)</f>
        <v>0</v>
      </c>
      <c r="J1571" s="3">
        <f ca="1">IFERROR(_xludf.XLOOKUP("Arancel",PARAMETROS_IMPORTACION!$A:$A,PARAMETROS_IMPORTACION!$C:$C,0),0)</f>
        <v>0</v>
      </c>
      <c r="K1571" s="2">
        <f ca="1">IFERROR(_xludf.XLOOKUP("Gastos_Aduana",PARAMETROS_IMPORTACION!$A:$A,PARAMETROS_IMPORTACION!$C:$C,0),0)</f>
        <v>0</v>
      </c>
      <c r="L1571" s="2">
        <f t="shared" si="49"/>
        <v>0</v>
      </c>
    </row>
    <row r="1572" spans="5:12" x14ac:dyDescent="0.35">
      <c r="E1572" s="2"/>
      <c r="F1572" s="2">
        <f>_xlfn.XLOOKUP(D1572,TIPOS_CAMBIO!A:A,TIPOS_CAMBIO!B:B,"",0)</f>
        <v>0</v>
      </c>
      <c r="G1572" s="3">
        <f t="shared" si="48"/>
        <v>0</v>
      </c>
      <c r="H1572" s="3"/>
      <c r="I1572" s="3">
        <f ca="1">IFERROR(_xludf.XLOOKUP("Seguro",PARAMETROS_IMPORTACION!$A:$A,PARAMETROS_IMPORTACION!$C:$C,0),0)</f>
        <v>0</v>
      </c>
      <c r="J1572" s="3">
        <f ca="1">IFERROR(_xludf.XLOOKUP("Arancel",PARAMETROS_IMPORTACION!$A:$A,PARAMETROS_IMPORTACION!$C:$C,0),0)</f>
        <v>0</v>
      </c>
      <c r="K1572" s="2">
        <f ca="1">IFERROR(_xludf.XLOOKUP("Gastos_Aduana",PARAMETROS_IMPORTACION!$A:$A,PARAMETROS_IMPORTACION!$C:$C,0),0)</f>
        <v>0</v>
      </c>
      <c r="L1572" s="2">
        <f t="shared" si="49"/>
        <v>0</v>
      </c>
    </row>
    <row r="1573" spans="5:12" x14ac:dyDescent="0.35">
      <c r="E1573" s="2"/>
      <c r="F1573" s="2">
        <f>_xlfn.XLOOKUP(D1573,TIPOS_CAMBIO!A:A,TIPOS_CAMBIO!B:B,"",0)</f>
        <v>0</v>
      </c>
      <c r="G1573" s="3">
        <f t="shared" si="48"/>
        <v>0</v>
      </c>
      <c r="H1573" s="3"/>
      <c r="I1573" s="3">
        <f ca="1">IFERROR(_xludf.XLOOKUP("Seguro",PARAMETROS_IMPORTACION!$A:$A,PARAMETROS_IMPORTACION!$C:$C,0),0)</f>
        <v>0</v>
      </c>
      <c r="J1573" s="3">
        <f ca="1">IFERROR(_xludf.XLOOKUP("Arancel",PARAMETROS_IMPORTACION!$A:$A,PARAMETROS_IMPORTACION!$C:$C,0),0)</f>
        <v>0</v>
      </c>
      <c r="K1573" s="2">
        <f ca="1">IFERROR(_xludf.XLOOKUP("Gastos_Aduana",PARAMETROS_IMPORTACION!$A:$A,PARAMETROS_IMPORTACION!$C:$C,0),0)</f>
        <v>0</v>
      </c>
      <c r="L1573" s="2">
        <f t="shared" si="49"/>
        <v>0</v>
      </c>
    </row>
    <row r="1574" spans="5:12" x14ac:dyDescent="0.35">
      <c r="E1574" s="2"/>
      <c r="F1574" s="2">
        <f>_xlfn.XLOOKUP(D1574,TIPOS_CAMBIO!A:A,TIPOS_CAMBIO!B:B,"",0)</f>
        <v>0</v>
      </c>
      <c r="G1574" s="3">
        <f t="shared" si="48"/>
        <v>0</v>
      </c>
      <c r="H1574" s="3"/>
      <c r="I1574" s="3">
        <f ca="1">IFERROR(_xludf.XLOOKUP("Seguro",PARAMETROS_IMPORTACION!$A:$A,PARAMETROS_IMPORTACION!$C:$C,0),0)</f>
        <v>0</v>
      </c>
      <c r="J1574" s="3">
        <f ca="1">IFERROR(_xludf.XLOOKUP("Arancel",PARAMETROS_IMPORTACION!$A:$A,PARAMETROS_IMPORTACION!$C:$C,0),0)</f>
        <v>0</v>
      </c>
      <c r="K1574" s="2">
        <f ca="1">IFERROR(_xludf.XLOOKUP("Gastos_Aduana",PARAMETROS_IMPORTACION!$A:$A,PARAMETROS_IMPORTACION!$C:$C,0),0)</f>
        <v>0</v>
      </c>
      <c r="L1574" s="2">
        <f t="shared" si="49"/>
        <v>0</v>
      </c>
    </row>
    <row r="1575" spans="5:12" x14ac:dyDescent="0.35">
      <c r="E1575" s="2"/>
      <c r="F1575" s="2">
        <f>_xlfn.XLOOKUP(D1575,TIPOS_CAMBIO!A:A,TIPOS_CAMBIO!B:B,"",0)</f>
        <v>0</v>
      </c>
      <c r="G1575" s="3">
        <f t="shared" si="48"/>
        <v>0</v>
      </c>
      <c r="H1575" s="3"/>
      <c r="I1575" s="3">
        <f ca="1">IFERROR(_xludf.XLOOKUP("Seguro",PARAMETROS_IMPORTACION!$A:$A,PARAMETROS_IMPORTACION!$C:$C,0),0)</f>
        <v>0</v>
      </c>
      <c r="J1575" s="3">
        <f ca="1">IFERROR(_xludf.XLOOKUP("Arancel",PARAMETROS_IMPORTACION!$A:$A,PARAMETROS_IMPORTACION!$C:$C,0),0)</f>
        <v>0</v>
      </c>
      <c r="K1575" s="2">
        <f ca="1">IFERROR(_xludf.XLOOKUP("Gastos_Aduana",PARAMETROS_IMPORTACION!$A:$A,PARAMETROS_IMPORTACION!$C:$C,0),0)</f>
        <v>0</v>
      </c>
      <c r="L1575" s="2">
        <f t="shared" si="49"/>
        <v>0</v>
      </c>
    </row>
    <row r="1576" spans="5:12" x14ac:dyDescent="0.35">
      <c r="E1576" s="2"/>
      <c r="F1576" s="2">
        <f>_xlfn.XLOOKUP(D1576,TIPOS_CAMBIO!A:A,TIPOS_CAMBIO!B:B,"",0)</f>
        <v>0</v>
      </c>
      <c r="G1576" s="3">
        <f t="shared" si="48"/>
        <v>0</v>
      </c>
      <c r="H1576" s="3"/>
      <c r="I1576" s="3">
        <f ca="1">IFERROR(_xludf.XLOOKUP("Seguro",PARAMETROS_IMPORTACION!$A:$A,PARAMETROS_IMPORTACION!$C:$C,0),0)</f>
        <v>0</v>
      </c>
      <c r="J1576" s="3">
        <f ca="1">IFERROR(_xludf.XLOOKUP("Arancel",PARAMETROS_IMPORTACION!$A:$A,PARAMETROS_IMPORTACION!$C:$C,0),0)</f>
        <v>0</v>
      </c>
      <c r="K1576" s="2">
        <f ca="1">IFERROR(_xludf.XLOOKUP("Gastos_Aduana",PARAMETROS_IMPORTACION!$A:$A,PARAMETROS_IMPORTACION!$C:$C,0),0)</f>
        <v>0</v>
      </c>
      <c r="L1576" s="2">
        <f t="shared" si="49"/>
        <v>0</v>
      </c>
    </row>
    <row r="1577" spans="5:12" x14ac:dyDescent="0.35">
      <c r="E1577" s="2"/>
      <c r="F1577" s="2">
        <f>_xlfn.XLOOKUP(D1577,TIPOS_CAMBIO!A:A,TIPOS_CAMBIO!B:B,"",0)</f>
        <v>0</v>
      </c>
      <c r="G1577" s="3">
        <f t="shared" si="48"/>
        <v>0</v>
      </c>
      <c r="H1577" s="3"/>
      <c r="I1577" s="3">
        <f ca="1">IFERROR(_xludf.XLOOKUP("Seguro",PARAMETROS_IMPORTACION!$A:$A,PARAMETROS_IMPORTACION!$C:$C,0),0)</f>
        <v>0</v>
      </c>
      <c r="J1577" s="3">
        <f ca="1">IFERROR(_xludf.XLOOKUP("Arancel",PARAMETROS_IMPORTACION!$A:$A,PARAMETROS_IMPORTACION!$C:$C,0),0)</f>
        <v>0</v>
      </c>
      <c r="K1577" s="2">
        <f ca="1">IFERROR(_xludf.XLOOKUP("Gastos_Aduana",PARAMETROS_IMPORTACION!$A:$A,PARAMETROS_IMPORTACION!$C:$C,0),0)</f>
        <v>0</v>
      </c>
      <c r="L1577" s="2">
        <f t="shared" si="49"/>
        <v>0</v>
      </c>
    </row>
    <row r="1578" spans="5:12" x14ac:dyDescent="0.35">
      <c r="E1578" s="2"/>
      <c r="F1578" s="2">
        <f>_xlfn.XLOOKUP(D1578,TIPOS_CAMBIO!A:A,TIPOS_CAMBIO!B:B,"",0)</f>
        <v>0</v>
      </c>
      <c r="G1578" s="3">
        <f t="shared" si="48"/>
        <v>0</v>
      </c>
      <c r="H1578" s="3"/>
      <c r="I1578" s="3">
        <f ca="1">IFERROR(_xludf.XLOOKUP("Seguro",PARAMETROS_IMPORTACION!$A:$A,PARAMETROS_IMPORTACION!$C:$C,0),0)</f>
        <v>0</v>
      </c>
      <c r="J1578" s="3">
        <f ca="1">IFERROR(_xludf.XLOOKUP("Arancel",PARAMETROS_IMPORTACION!$A:$A,PARAMETROS_IMPORTACION!$C:$C,0),0)</f>
        <v>0</v>
      </c>
      <c r="K1578" s="2">
        <f ca="1">IFERROR(_xludf.XLOOKUP("Gastos_Aduana",PARAMETROS_IMPORTACION!$A:$A,PARAMETROS_IMPORTACION!$C:$C,0),0)</f>
        <v>0</v>
      </c>
      <c r="L1578" s="2">
        <f t="shared" si="49"/>
        <v>0</v>
      </c>
    </row>
    <row r="1579" spans="5:12" x14ac:dyDescent="0.35">
      <c r="E1579" s="2"/>
      <c r="F1579" s="2">
        <f>_xlfn.XLOOKUP(D1579,TIPOS_CAMBIO!A:A,TIPOS_CAMBIO!B:B,"",0)</f>
        <v>0</v>
      </c>
      <c r="G1579" s="3">
        <f t="shared" si="48"/>
        <v>0</v>
      </c>
      <c r="H1579" s="3"/>
      <c r="I1579" s="3">
        <f ca="1">IFERROR(_xludf.XLOOKUP("Seguro",PARAMETROS_IMPORTACION!$A:$A,PARAMETROS_IMPORTACION!$C:$C,0),0)</f>
        <v>0</v>
      </c>
      <c r="J1579" s="3">
        <f ca="1">IFERROR(_xludf.XLOOKUP("Arancel",PARAMETROS_IMPORTACION!$A:$A,PARAMETROS_IMPORTACION!$C:$C,0),0)</f>
        <v>0</v>
      </c>
      <c r="K1579" s="2">
        <f ca="1">IFERROR(_xludf.XLOOKUP("Gastos_Aduana",PARAMETROS_IMPORTACION!$A:$A,PARAMETROS_IMPORTACION!$C:$C,0),0)</f>
        <v>0</v>
      </c>
      <c r="L1579" s="2">
        <f t="shared" si="49"/>
        <v>0</v>
      </c>
    </row>
    <row r="1580" spans="5:12" x14ac:dyDescent="0.35">
      <c r="E1580" s="2"/>
      <c r="F1580" s="2">
        <f>_xlfn.XLOOKUP(D1580,TIPOS_CAMBIO!A:A,TIPOS_CAMBIO!B:B,"",0)</f>
        <v>0</v>
      </c>
      <c r="G1580" s="3">
        <f t="shared" si="48"/>
        <v>0</v>
      </c>
      <c r="H1580" s="3"/>
      <c r="I1580" s="3">
        <f ca="1">IFERROR(_xludf.XLOOKUP("Seguro",PARAMETROS_IMPORTACION!$A:$A,PARAMETROS_IMPORTACION!$C:$C,0),0)</f>
        <v>0</v>
      </c>
      <c r="J1580" s="3">
        <f ca="1">IFERROR(_xludf.XLOOKUP("Arancel",PARAMETROS_IMPORTACION!$A:$A,PARAMETROS_IMPORTACION!$C:$C,0),0)</f>
        <v>0</v>
      </c>
      <c r="K1580" s="2">
        <f ca="1">IFERROR(_xludf.XLOOKUP("Gastos_Aduana",PARAMETROS_IMPORTACION!$A:$A,PARAMETROS_IMPORTACION!$C:$C,0),0)</f>
        <v>0</v>
      </c>
      <c r="L1580" s="2">
        <f t="shared" si="49"/>
        <v>0</v>
      </c>
    </row>
    <row r="1581" spans="5:12" x14ac:dyDescent="0.35">
      <c r="E1581" s="2"/>
      <c r="F1581" s="2">
        <f>_xlfn.XLOOKUP(D1581,TIPOS_CAMBIO!A:A,TIPOS_CAMBIO!B:B,"",0)</f>
        <v>0</v>
      </c>
      <c r="G1581" s="3">
        <f t="shared" si="48"/>
        <v>0</v>
      </c>
      <c r="H1581" s="3"/>
      <c r="I1581" s="3">
        <f ca="1">IFERROR(_xludf.XLOOKUP("Seguro",PARAMETROS_IMPORTACION!$A:$A,PARAMETROS_IMPORTACION!$C:$C,0),0)</f>
        <v>0</v>
      </c>
      <c r="J1581" s="3">
        <f ca="1">IFERROR(_xludf.XLOOKUP("Arancel",PARAMETROS_IMPORTACION!$A:$A,PARAMETROS_IMPORTACION!$C:$C,0),0)</f>
        <v>0</v>
      </c>
      <c r="K1581" s="2">
        <f ca="1">IFERROR(_xludf.XLOOKUP("Gastos_Aduana",PARAMETROS_IMPORTACION!$A:$A,PARAMETROS_IMPORTACION!$C:$C,0),0)</f>
        <v>0</v>
      </c>
      <c r="L1581" s="2">
        <f t="shared" si="49"/>
        <v>0</v>
      </c>
    </row>
    <row r="1582" spans="5:12" x14ac:dyDescent="0.35">
      <c r="E1582" s="2"/>
      <c r="F1582" s="2">
        <f>_xlfn.XLOOKUP(D1582,TIPOS_CAMBIO!A:A,TIPOS_CAMBIO!B:B,"",0)</f>
        <v>0</v>
      </c>
      <c r="G1582" s="3">
        <f t="shared" si="48"/>
        <v>0</v>
      </c>
      <c r="H1582" s="3"/>
      <c r="I1582" s="3">
        <f ca="1">IFERROR(_xludf.XLOOKUP("Seguro",PARAMETROS_IMPORTACION!$A:$A,PARAMETROS_IMPORTACION!$C:$C,0),0)</f>
        <v>0</v>
      </c>
      <c r="J1582" s="3">
        <f ca="1">IFERROR(_xludf.XLOOKUP("Arancel",PARAMETROS_IMPORTACION!$A:$A,PARAMETROS_IMPORTACION!$C:$C,0),0)</f>
        <v>0</v>
      </c>
      <c r="K1582" s="2">
        <f ca="1">IFERROR(_xludf.XLOOKUP("Gastos_Aduana",PARAMETROS_IMPORTACION!$A:$A,PARAMETROS_IMPORTACION!$C:$C,0),0)</f>
        <v>0</v>
      </c>
      <c r="L1582" s="2">
        <f t="shared" si="49"/>
        <v>0</v>
      </c>
    </row>
    <row r="1583" spans="5:12" x14ac:dyDescent="0.35">
      <c r="E1583" s="2"/>
      <c r="F1583" s="2">
        <f>_xlfn.XLOOKUP(D1583,TIPOS_CAMBIO!A:A,TIPOS_CAMBIO!B:B,"",0)</f>
        <v>0</v>
      </c>
      <c r="G1583" s="3">
        <f t="shared" si="48"/>
        <v>0</v>
      </c>
      <c r="H1583" s="3"/>
      <c r="I1583" s="3">
        <f ca="1">IFERROR(_xludf.XLOOKUP("Seguro",PARAMETROS_IMPORTACION!$A:$A,PARAMETROS_IMPORTACION!$C:$C,0),0)</f>
        <v>0</v>
      </c>
      <c r="J1583" s="3">
        <f ca="1">IFERROR(_xludf.XLOOKUP("Arancel",PARAMETROS_IMPORTACION!$A:$A,PARAMETROS_IMPORTACION!$C:$C,0),0)</f>
        <v>0</v>
      </c>
      <c r="K1583" s="2">
        <f ca="1">IFERROR(_xludf.XLOOKUP("Gastos_Aduana",PARAMETROS_IMPORTACION!$A:$A,PARAMETROS_IMPORTACION!$C:$C,0),0)</f>
        <v>0</v>
      </c>
      <c r="L1583" s="2">
        <f t="shared" si="49"/>
        <v>0</v>
      </c>
    </row>
    <row r="1584" spans="5:12" x14ac:dyDescent="0.35">
      <c r="E1584" s="2"/>
      <c r="F1584" s="2">
        <f>_xlfn.XLOOKUP(D1584,TIPOS_CAMBIO!A:A,TIPOS_CAMBIO!B:B,"",0)</f>
        <v>0</v>
      </c>
      <c r="G1584" s="3">
        <f t="shared" si="48"/>
        <v>0</v>
      </c>
      <c r="H1584" s="3"/>
      <c r="I1584" s="3">
        <f ca="1">IFERROR(_xludf.XLOOKUP("Seguro",PARAMETROS_IMPORTACION!$A:$A,PARAMETROS_IMPORTACION!$C:$C,0),0)</f>
        <v>0</v>
      </c>
      <c r="J1584" s="3">
        <f ca="1">IFERROR(_xludf.XLOOKUP("Arancel",PARAMETROS_IMPORTACION!$A:$A,PARAMETROS_IMPORTACION!$C:$C,0),0)</f>
        <v>0</v>
      </c>
      <c r="K1584" s="2">
        <f ca="1">IFERROR(_xludf.XLOOKUP("Gastos_Aduana",PARAMETROS_IMPORTACION!$A:$A,PARAMETROS_IMPORTACION!$C:$C,0),0)</f>
        <v>0</v>
      </c>
      <c r="L1584" s="2">
        <f t="shared" si="49"/>
        <v>0</v>
      </c>
    </row>
    <row r="1585" spans="5:12" x14ac:dyDescent="0.35">
      <c r="E1585" s="2"/>
      <c r="F1585" s="2">
        <f>_xlfn.XLOOKUP(D1585,TIPOS_CAMBIO!A:A,TIPOS_CAMBIO!B:B,"",0)</f>
        <v>0</v>
      </c>
      <c r="G1585" s="3">
        <f t="shared" si="48"/>
        <v>0</v>
      </c>
      <c r="H1585" s="3"/>
      <c r="I1585" s="3">
        <f ca="1">IFERROR(_xludf.XLOOKUP("Seguro",PARAMETROS_IMPORTACION!$A:$A,PARAMETROS_IMPORTACION!$C:$C,0),0)</f>
        <v>0</v>
      </c>
      <c r="J1585" s="3">
        <f ca="1">IFERROR(_xludf.XLOOKUP("Arancel",PARAMETROS_IMPORTACION!$A:$A,PARAMETROS_IMPORTACION!$C:$C,0),0)</f>
        <v>0</v>
      </c>
      <c r="K1585" s="2">
        <f ca="1">IFERROR(_xludf.XLOOKUP("Gastos_Aduana",PARAMETROS_IMPORTACION!$A:$A,PARAMETROS_IMPORTACION!$C:$C,0),0)</f>
        <v>0</v>
      </c>
      <c r="L1585" s="2">
        <f t="shared" si="49"/>
        <v>0</v>
      </c>
    </row>
    <row r="1586" spans="5:12" x14ac:dyDescent="0.35">
      <c r="E1586" s="2"/>
      <c r="F1586" s="2">
        <f>_xlfn.XLOOKUP(D1586,TIPOS_CAMBIO!A:A,TIPOS_CAMBIO!B:B,"",0)</f>
        <v>0</v>
      </c>
      <c r="G1586" s="3">
        <f t="shared" si="48"/>
        <v>0</v>
      </c>
      <c r="H1586" s="3"/>
      <c r="I1586" s="3">
        <f ca="1">IFERROR(_xludf.XLOOKUP("Seguro",PARAMETROS_IMPORTACION!$A:$A,PARAMETROS_IMPORTACION!$C:$C,0),0)</f>
        <v>0</v>
      </c>
      <c r="J1586" s="3">
        <f ca="1">IFERROR(_xludf.XLOOKUP("Arancel",PARAMETROS_IMPORTACION!$A:$A,PARAMETROS_IMPORTACION!$C:$C,0),0)</f>
        <v>0</v>
      </c>
      <c r="K1586" s="2">
        <f ca="1">IFERROR(_xludf.XLOOKUP("Gastos_Aduana",PARAMETROS_IMPORTACION!$A:$A,PARAMETROS_IMPORTACION!$C:$C,0),0)</f>
        <v>0</v>
      </c>
      <c r="L1586" s="2">
        <f t="shared" si="49"/>
        <v>0</v>
      </c>
    </row>
    <row r="1587" spans="5:12" x14ac:dyDescent="0.35">
      <c r="E1587" s="2"/>
      <c r="F1587" s="2">
        <f>_xlfn.XLOOKUP(D1587,TIPOS_CAMBIO!A:A,TIPOS_CAMBIO!B:B,"",0)</f>
        <v>0</v>
      </c>
      <c r="G1587" s="3">
        <f t="shared" si="48"/>
        <v>0</v>
      </c>
      <c r="H1587" s="3"/>
      <c r="I1587" s="3">
        <f ca="1">IFERROR(_xludf.XLOOKUP("Seguro",PARAMETROS_IMPORTACION!$A:$A,PARAMETROS_IMPORTACION!$C:$C,0),0)</f>
        <v>0</v>
      </c>
      <c r="J1587" s="3">
        <f ca="1">IFERROR(_xludf.XLOOKUP("Arancel",PARAMETROS_IMPORTACION!$A:$A,PARAMETROS_IMPORTACION!$C:$C,0),0)</f>
        <v>0</v>
      </c>
      <c r="K1587" s="2">
        <f ca="1">IFERROR(_xludf.XLOOKUP("Gastos_Aduana",PARAMETROS_IMPORTACION!$A:$A,PARAMETROS_IMPORTACION!$C:$C,0),0)</f>
        <v>0</v>
      </c>
      <c r="L1587" s="2">
        <f t="shared" si="49"/>
        <v>0</v>
      </c>
    </row>
    <row r="1588" spans="5:12" x14ac:dyDescent="0.35">
      <c r="E1588" s="2"/>
      <c r="F1588" s="2">
        <f>_xlfn.XLOOKUP(D1588,TIPOS_CAMBIO!A:A,TIPOS_CAMBIO!B:B,"",0)</f>
        <v>0</v>
      </c>
      <c r="G1588" s="3">
        <f t="shared" si="48"/>
        <v>0</v>
      </c>
      <c r="H1588" s="3"/>
      <c r="I1588" s="3">
        <f ca="1">IFERROR(_xludf.XLOOKUP("Seguro",PARAMETROS_IMPORTACION!$A:$A,PARAMETROS_IMPORTACION!$C:$C,0),0)</f>
        <v>0</v>
      </c>
      <c r="J1588" s="3">
        <f ca="1">IFERROR(_xludf.XLOOKUP("Arancel",PARAMETROS_IMPORTACION!$A:$A,PARAMETROS_IMPORTACION!$C:$C,0),0)</f>
        <v>0</v>
      </c>
      <c r="K1588" s="2">
        <f ca="1">IFERROR(_xludf.XLOOKUP("Gastos_Aduana",PARAMETROS_IMPORTACION!$A:$A,PARAMETROS_IMPORTACION!$C:$C,0),0)</f>
        <v>0</v>
      </c>
      <c r="L1588" s="2">
        <f t="shared" si="49"/>
        <v>0</v>
      </c>
    </row>
    <row r="1589" spans="5:12" x14ac:dyDescent="0.35">
      <c r="E1589" s="2"/>
      <c r="F1589" s="2">
        <f>_xlfn.XLOOKUP(D1589,TIPOS_CAMBIO!A:A,TIPOS_CAMBIO!B:B,"",0)</f>
        <v>0</v>
      </c>
      <c r="G1589" s="3">
        <f t="shared" si="48"/>
        <v>0</v>
      </c>
      <c r="H1589" s="3"/>
      <c r="I1589" s="3">
        <f ca="1">IFERROR(_xludf.XLOOKUP("Seguro",PARAMETROS_IMPORTACION!$A:$A,PARAMETROS_IMPORTACION!$C:$C,0),0)</f>
        <v>0</v>
      </c>
      <c r="J1589" s="3">
        <f ca="1">IFERROR(_xludf.XLOOKUP("Arancel",PARAMETROS_IMPORTACION!$A:$A,PARAMETROS_IMPORTACION!$C:$C,0),0)</f>
        <v>0</v>
      </c>
      <c r="K1589" s="2">
        <f ca="1">IFERROR(_xludf.XLOOKUP("Gastos_Aduana",PARAMETROS_IMPORTACION!$A:$A,PARAMETROS_IMPORTACION!$C:$C,0),0)</f>
        <v>0</v>
      </c>
      <c r="L1589" s="2">
        <f t="shared" si="49"/>
        <v>0</v>
      </c>
    </row>
    <row r="1590" spans="5:12" x14ac:dyDescent="0.35">
      <c r="E1590" s="2"/>
      <c r="F1590" s="2">
        <f>_xlfn.XLOOKUP(D1590,TIPOS_CAMBIO!A:A,TIPOS_CAMBIO!B:B,"",0)</f>
        <v>0</v>
      </c>
      <c r="G1590" s="3">
        <f t="shared" si="48"/>
        <v>0</v>
      </c>
      <c r="H1590" s="3"/>
      <c r="I1590" s="3">
        <f ca="1">IFERROR(_xludf.XLOOKUP("Seguro",PARAMETROS_IMPORTACION!$A:$A,PARAMETROS_IMPORTACION!$C:$C,0),0)</f>
        <v>0</v>
      </c>
      <c r="J1590" s="3">
        <f ca="1">IFERROR(_xludf.XLOOKUP("Arancel",PARAMETROS_IMPORTACION!$A:$A,PARAMETROS_IMPORTACION!$C:$C,0),0)</f>
        <v>0</v>
      </c>
      <c r="K1590" s="2">
        <f ca="1">IFERROR(_xludf.XLOOKUP("Gastos_Aduana",PARAMETROS_IMPORTACION!$A:$A,PARAMETROS_IMPORTACION!$C:$C,0),0)</f>
        <v>0</v>
      </c>
      <c r="L1590" s="2">
        <f t="shared" si="49"/>
        <v>0</v>
      </c>
    </row>
    <row r="1591" spans="5:12" x14ac:dyDescent="0.35">
      <c r="E1591" s="2"/>
      <c r="F1591" s="2">
        <f>_xlfn.XLOOKUP(D1591,TIPOS_CAMBIO!A:A,TIPOS_CAMBIO!B:B,"",0)</f>
        <v>0</v>
      </c>
      <c r="G1591" s="3">
        <f t="shared" si="48"/>
        <v>0</v>
      </c>
      <c r="H1591" s="3"/>
      <c r="I1591" s="3">
        <f ca="1">IFERROR(_xludf.XLOOKUP("Seguro",PARAMETROS_IMPORTACION!$A:$A,PARAMETROS_IMPORTACION!$C:$C,0),0)</f>
        <v>0</v>
      </c>
      <c r="J1591" s="3">
        <f ca="1">IFERROR(_xludf.XLOOKUP("Arancel",PARAMETROS_IMPORTACION!$A:$A,PARAMETROS_IMPORTACION!$C:$C,0),0)</f>
        <v>0</v>
      </c>
      <c r="K1591" s="2">
        <f ca="1">IFERROR(_xludf.XLOOKUP("Gastos_Aduana",PARAMETROS_IMPORTACION!$A:$A,PARAMETROS_IMPORTACION!$C:$C,0),0)</f>
        <v>0</v>
      </c>
      <c r="L1591" s="2">
        <f t="shared" si="49"/>
        <v>0</v>
      </c>
    </row>
    <row r="1592" spans="5:12" x14ac:dyDescent="0.35">
      <c r="E1592" s="2"/>
      <c r="F1592" s="2">
        <f>_xlfn.XLOOKUP(D1592,TIPOS_CAMBIO!A:A,TIPOS_CAMBIO!B:B,"",0)</f>
        <v>0</v>
      </c>
      <c r="G1592" s="3">
        <f t="shared" si="48"/>
        <v>0</v>
      </c>
      <c r="H1592" s="3"/>
      <c r="I1592" s="3">
        <f ca="1">IFERROR(_xludf.XLOOKUP("Seguro",PARAMETROS_IMPORTACION!$A:$A,PARAMETROS_IMPORTACION!$C:$C,0),0)</f>
        <v>0</v>
      </c>
      <c r="J1592" s="3">
        <f ca="1">IFERROR(_xludf.XLOOKUP("Arancel",PARAMETROS_IMPORTACION!$A:$A,PARAMETROS_IMPORTACION!$C:$C,0),0)</f>
        <v>0</v>
      </c>
      <c r="K1592" s="2">
        <f ca="1">IFERROR(_xludf.XLOOKUP("Gastos_Aduana",PARAMETROS_IMPORTACION!$A:$A,PARAMETROS_IMPORTACION!$C:$C,0),0)</f>
        <v>0</v>
      </c>
      <c r="L1592" s="2">
        <f t="shared" si="49"/>
        <v>0</v>
      </c>
    </row>
    <row r="1593" spans="5:12" x14ac:dyDescent="0.35">
      <c r="E1593" s="2"/>
      <c r="F1593" s="2">
        <f>_xlfn.XLOOKUP(D1593,TIPOS_CAMBIO!A:A,TIPOS_CAMBIO!B:B,"",0)</f>
        <v>0</v>
      </c>
      <c r="G1593" s="3">
        <f t="shared" si="48"/>
        <v>0</v>
      </c>
      <c r="H1593" s="3"/>
      <c r="I1593" s="3">
        <f ca="1">IFERROR(_xludf.XLOOKUP("Seguro",PARAMETROS_IMPORTACION!$A:$A,PARAMETROS_IMPORTACION!$C:$C,0),0)</f>
        <v>0</v>
      </c>
      <c r="J1593" s="3">
        <f ca="1">IFERROR(_xludf.XLOOKUP("Arancel",PARAMETROS_IMPORTACION!$A:$A,PARAMETROS_IMPORTACION!$C:$C,0),0)</f>
        <v>0</v>
      </c>
      <c r="K1593" s="2">
        <f ca="1">IFERROR(_xludf.XLOOKUP("Gastos_Aduana",PARAMETROS_IMPORTACION!$A:$A,PARAMETROS_IMPORTACION!$C:$C,0),0)</f>
        <v>0</v>
      </c>
      <c r="L1593" s="2">
        <f t="shared" si="49"/>
        <v>0</v>
      </c>
    </row>
    <row r="1594" spans="5:12" x14ac:dyDescent="0.35">
      <c r="E1594" s="2"/>
      <c r="F1594" s="2">
        <f>_xlfn.XLOOKUP(D1594,TIPOS_CAMBIO!A:A,TIPOS_CAMBIO!B:B,"",0)</f>
        <v>0</v>
      </c>
      <c r="G1594" s="3">
        <f t="shared" si="48"/>
        <v>0</v>
      </c>
      <c r="H1594" s="3"/>
      <c r="I1594" s="3">
        <f ca="1">IFERROR(_xludf.XLOOKUP("Seguro",PARAMETROS_IMPORTACION!$A:$A,PARAMETROS_IMPORTACION!$C:$C,0),0)</f>
        <v>0</v>
      </c>
      <c r="J1594" s="3">
        <f ca="1">IFERROR(_xludf.XLOOKUP("Arancel",PARAMETROS_IMPORTACION!$A:$A,PARAMETROS_IMPORTACION!$C:$C,0),0)</f>
        <v>0</v>
      </c>
      <c r="K1594" s="2">
        <f ca="1">IFERROR(_xludf.XLOOKUP("Gastos_Aduana",PARAMETROS_IMPORTACION!$A:$A,PARAMETROS_IMPORTACION!$C:$C,0),0)</f>
        <v>0</v>
      </c>
      <c r="L1594" s="2">
        <f t="shared" si="49"/>
        <v>0</v>
      </c>
    </row>
    <row r="1595" spans="5:12" x14ac:dyDescent="0.35">
      <c r="E1595" s="2"/>
      <c r="F1595" s="2">
        <f>_xlfn.XLOOKUP(D1595,TIPOS_CAMBIO!A:A,TIPOS_CAMBIO!B:B,"",0)</f>
        <v>0</v>
      </c>
      <c r="G1595" s="3">
        <f t="shared" si="48"/>
        <v>0</v>
      </c>
      <c r="H1595" s="3"/>
      <c r="I1595" s="3">
        <f ca="1">IFERROR(_xludf.XLOOKUP("Seguro",PARAMETROS_IMPORTACION!$A:$A,PARAMETROS_IMPORTACION!$C:$C,0),0)</f>
        <v>0</v>
      </c>
      <c r="J1595" s="3">
        <f ca="1">IFERROR(_xludf.XLOOKUP("Arancel",PARAMETROS_IMPORTACION!$A:$A,PARAMETROS_IMPORTACION!$C:$C,0),0)</f>
        <v>0</v>
      </c>
      <c r="K1595" s="2">
        <f ca="1">IFERROR(_xludf.XLOOKUP("Gastos_Aduana",PARAMETROS_IMPORTACION!$A:$A,PARAMETROS_IMPORTACION!$C:$C,0),0)</f>
        <v>0</v>
      </c>
      <c r="L1595" s="2">
        <f t="shared" si="49"/>
        <v>0</v>
      </c>
    </row>
    <row r="1596" spans="5:12" x14ac:dyDescent="0.35">
      <c r="E1596" s="2"/>
      <c r="F1596" s="2">
        <f>_xlfn.XLOOKUP(D1596,TIPOS_CAMBIO!A:A,TIPOS_CAMBIO!B:B,"",0)</f>
        <v>0</v>
      </c>
      <c r="G1596" s="3">
        <f t="shared" si="48"/>
        <v>0</v>
      </c>
      <c r="H1596" s="3"/>
      <c r="I1596" s="3">
        <f ca="1">IFERROR(_xludf.XLOOKUP("Seguro",PARAMETROS_IMPORTACION!$A:$A,PARAMETROS_IMPORTACION!$C:$C,0),0)</f>
        <v>0</v>
      </c>
      <c r="J1596" s="3">
        <f ca="1">IFERROR(_xludf.XLOOKUP("Arancel",PARAMETROS_IMPORTACION!$A:$A,PARAMETROS_IMPORTACION!$C:$C,0),0)</f>
        <v>0</v>
      </c>
      <c r="K1596" s="2">
        <f ca="1">IFERROR(_xludf.XLOOKUP("Gastos_Aduana",PARAMETROS_IMPORTACION!$A:$A,PARAMETROS_IMPORTACION!$C:$C,0),0)</f>
        <v>0</v>
      </c>
      <c r="L1596" s="2">
        <f t="shared" si="49"/>
        <v>0</v>
      </c>
    </row>
    <row r="1597" spans="5:12" x14ac:dyDescent="0.35">
      <c r="E1597" s="2"/>
      <c r="F1597" s="2">
        <f>_xlfn.XLOOKUP(D1597,TIPOS_CAMBIO!A:A,TIPOS_CAMBIO!B:B,"",0)</f>
        <v>0</v>
      </c>
      <c r="G1597" s="3">
        <f t="shared" si="48"/>
        <v>0</v>
      </c>
      <c r="H1597" s="3"/>
      <c r="I1597" s="3">
        <f ca="1">IFERROR(_xludf.XLOOKUP("Seguro",PARAMETROS_IMPORTACION!$A:$A,PARAMETROS_IMPORTACION!$C:$C,0),0)</f>
        <v>0</v>
      </c>
      <c r="J1597" s="3">
        <f ca="1">IFERROR(_xludf.XLOOKUP("Arancel",PARAMETROS_IMPORTACION!$A:$A,PARAMETROS_IMPORTACION!$C:$C,0),0)</f>
        <v>0</v>
      </c>
      <c r="K1597" s="2">
        <f ca="1">IFERROR(_xludf.XLOOKUP("Gastos_Aduana",PARAMETROS_IMPORTACION!$A:$A,PARAMETROS_IMPORTACION!$C:$C,0),0)</f>
        <v>0</v>
      </c>
      <c r="L1597" s="2">
        <f t="shared" si="49"/>
        <v>0</v>
      </c>
    </row>
    <row r="1598" spans="5:12" x14ac:dyDescent="0.35">
      <c r="E1598" s="2"/>
      <c r="F1598" s="2">
        <f>_xlfn.XLOOKUP(D1598,TIPOS_CAMBIO!A:A,TIPOS_CAMBIO!B:B,"",0)</f>
        <v>0</v>
      </c>
      <c r="G1598" s="3">
        <f t="shared" si="48"/>
        <v>0</v>
      </c>
      <c r="H1598" s="3"/>
      <c r="I1598" s="3">
        <f ca="1">IFERROR(_xludf.XLOOKUP("Seguro",PARAMETROS_IMPORTACION!$A:$A,PARAMETROS_IMPORTACION!$C:$C,0),0)</f>
        <v>0</v>
      </c>
      <c r="J1598" s="3">
        <f ca="1">IFERROR(_xludf.XLOOKUP("Arancel",PARAMETROS_IMPORTACION!$A:$A,PARAMETROS_IMPORTACION!$C:$C,0),0)</f>
        <v>0</v>
      </c>
      <c r="K1598" s="2">
        <f ca="1">IFERROR(_xludf.XLOOKUP("Gastos_Aduana",PARAMETROS_IMPORTACION!$A:$A,PARAMETROS_IMPORTACION!$C:$C,0),0)</f>
        <v>0</v>
      </c>
      <c r="L1598" s="2">
        <f t="shared" si="49"/>
        <v>0</v>
      </c>
    </row>
    <row r="1599" spans="5:12" x14ac:dyDescent="0.35">
      <c r="E1599" s="2"/>
      <c r="F1599" s="2">
        <f>_xlfn.XLOOKUP(D1599,TIPOS_CAMBIO!A:A,TIPOS_CAMBIO!B:B,"",0)</f>
        <v>0</v>
      </c>
      <c r="G1599" s="3">
        <f t="shared" si="48"/>
        <v>0</v>
      </c>
      <c r="H1599" s="3"/>
      <c r="I1599" s="3">
        <f ca="1">IFERROR(_xludf.XLOOKUP("Seguro",PARAMETROS_IMPORTACION!$A:$A,PARAMETROS_IMPORTACION!$C:$C,0),0)</f>
        <v>0</v>
      </c>
      <c r="J1599" s="3">
        <f ca="1">IFERROR(_xludf.XLOOKUP("Arancel",PARAMETROS_IMPORTACION!$A:$A,PARAMETROS_IMPORTACION!$C:$C,0),0)</f>
        <v>0</v>
      </c>
      <c r="K1599" s="2">
        <f ca="1">IFERROR(_xludf.XLOOKUP("Gastos_Aduana",PARAMETROS_IMPORTACION!$A:$A,PARAMETROS_IMPORTACION!$C:$C,0),0)</f>
        <v>0</v>
      </c>
      <c r="L1599" s="2">
        <f t="shared" si="49"/>
        <v>0</v>
      </c>
    </row>
    <row r="1600" spans="5:12" x14ac:dyDescent="0.35">
      <c r="E1600" s="2"/>
      <c r="F1600" s="2">
        <f>_xlfn.XLOOKUP(D1600,TIPOS_CAMBIO!A:A,TIPOS_CAMBIO!B:B,"",0)</f>
        <v>0</v>
      </c>
      <c r="G1600" s="3">
        <f t="shared" si="48"/>
        <v>0</v>
      </c>
      <c r="H1600" s="3"/>
      <c r="I1600" s="3">
        <f ca="1">IFERROR(_xludf.XLOOKUP("Seguro",PARAMETROS_IMPORTACION!$A:$A,PARAMETROS_IMPORTACION!$C:$C,0),0)</f>
        <v>0</v>
      </c>
      <c r="J1600" s="3">
        <f ca="1">IFERROR(_xludf.XLOOKUP("Arancel",PARAMETROS_IMPORTACION!$A:$A,PARAMETROS_IMPORTACION!$C:$C,0),0)</f>
        <v>0</v>
      </c>
      <c r="K1600" s="2">
        <f ca="1">IFERROR(_xludf.XLOOKUP("Gastos_Aduana",PARAMETROS_IMPORTACION!$A:$A,PARAMETROS_IMPORTACION!$C:$C,0),0)</f>
        <v>0</v>
      </c>
      <c r="L1600" s="2">
        <f t="shared" si="49"/>
        <v>0</v>
      </c>
    </row>
    <row r="1601" spans="5:12" x14ac:dyDescent="0.35">
      <c r="E1601" s="2"/>
      <c r="F1601" s="2">
        <f>_xlfn.XLOOKUP(D1601,TIPOS_CAMBIO!A:A,TIPOS_CAMBIO!B:B,"",0)</f>
        <v>0</v>
      </c>
      <c r="G1601" s="3">
        <f t="shared" si="48"/>
        <v>0</v>
      </c>
      <c r="H1601" s="3"/>
      <c r="I1601" s="3">
        <f ca="1">IFERROR(_xludf.XLOOKUP("Seguro",PARAMETROS_IMPORTACION!$A:$A,PARAMETROS_IMPORTACION!$C:$C,0),0)</f>
        <v>0</v>
      </c>
      <c r="J1601" s="3">
        <f ca="1">IFERROR(_xludf.XLOOKUP("Arancel",PARAMETROS_IMPORTACION!$A:$A,PARAMETROS_IMPORTACION!$C:$C,0),0)</f>
        <v>0</v>
      </c>
      <c r="K1601" s="2">
        <f ca="1">IFERROR(_xludf.XLOOKUP("Gastos_Aduana",PARAMETROS_IMPORTACION!$A:$A,PARAMETROS_IMPORTACION!$C:$C,0),0)</f>
        <v>0</v>
      </c>
      <c r="L1601" s="2">
        <f t="shared" si="49"/>
        <v>0</v>
      </c>
    </row>
    <row r="1602" spans="5:12" x14ac:dyDescent="0.35">
      <c r="E1602" s="2"/>
      <c r="F1602" s="2">
        <f>_xlfn.XLOOKUP(D1602,TIPOS_CAMBIO!A:A,TIPOS_CAMBIO!B:B,"",0)</f>
        <v>0</v>
      </c>
      <c r="G1602" s="3">
        <f t="shared" ref="G1602:G1665" si="50">$E1602*$F1602</f>
        <v>0</v>
      </c>
      <c r="H1602" s="3"/>
      <c r="I1602" s="3">
        <f ca="1">IFERROR(_xludf.XLOOKUP("Seguro",PARAMETROS_IMPORTACION!$A:$A,PARAMETROS_IMPORTACION!$C:$C,0),0)</f>
        <v>0</v>
      </c>
      <c r="J1602" s="3">
        <f ca="1">IFERROR(_xludf.XLOOKUP("Arancel",PARAMETROS_IMPORTACION!$A:$A,PARAMETROS_IMPORTACION!$C:$C,0),0)</f>
        <v>0</v>
      </c>
      <c r="K1602" s="2">
        <f ca="1">IFERROR(_xludf.XLOOKUP("Gastos_Aduana",PARAMETROS_IMPORTACION!$A:$A,PARAMETROS_IMPORTACION!$C:$C,0),0)</f>
        <v>0</v>
      </c>
      <c r="L1602" s="2">
        <f t="shared" si="49"/>
        <v>0</v>
      </c>
    </row>
    <row r="1603" spans="5:12" x14ac:dyDescent="0.35">
      <c r="E1603" s="2"/>
      <c r="F1603" s="2">
        <f>_xlfn.XLOOKUP(D1603,TIPOS_CAMBIO!A:A,TIPOS_CAMBIO!B:B,"",0)</f>
        <v>0</v>
      </c>
      <c r="G1603" s="3">
        <f t="shared" si="50"/>
        <v>0</v>
      </c>
      <c r="H1603" s="3"/>
      <c r="I1603" s="3">
        <f ca="1">IFERROR(_xludf.XLOOKUP("Seguro",PARAMETROS_IMPORTACION!$A:$A,PARAMETROS_IMPORTACION!$C:$C,0),0)</f>
        <v>0</v>
      </c>
      <c r="J1603" s="3">
        <f ca="1">IFERROR(_xludf.XLOOKUP("Arancel",PARAMETROS_IMPORTACION!$A:$A,PARAMETROS_IMPORTACION!$C:$C,0),0)</f>
        <v>0</v>
      </c>
      <c r="K1603" s="2">
        <f ca="1">IFERROR(_xludf.XLOOKUP("Gastos_Aduana",PARAMETROS_IMPORTACION!$A:$A,PARAMETROS_IMPORTACION!$C:$C,0),0)</f>
        <v>0</v>
      </c>
      <c r="L1603" s="2">
        <f t="shared" ref="L1603:L1666" si="51">IF($C1603="Importado",$G1603*(1+$H1603+$I1603+$J1603)+$K1603,$G1603)</f>
        <v>0</v>
      </c>
    </row>
    <row r="1604" spans="5:12" x14ac:dyDescent="0.35">
      <c r="E1604" s="2"/>
      <c r="F1604" s="2">
        <f>_xlfn.XLOOKUP(D1604,TIPOS_CAMBIO!A:A,TIPOS_CAMBIO!B:B,"",0)</f>
        <v>0</v>
      </c>
      <c r="G1604" s="3">
        <f t="shared" si="50"/>
        <v>0</v>
      </c>
      <c r="H1604" s="3"/>
      <c r="I1604" s="3">
        <f ca="1">IFERROR(_xludf.XLOOKUP("Seguro",PARAMETROS_IMPORTACION!$A:$A,PARAMETROS_IMPORTACION!$C:$C,0),0)</f>
        <v>0</v>
      </c>
      <c r="J1604" s="3">
        <f ca="1">IFERROR(_xludf.XLOOKUP("Arancel",PARAMETROS_IMPORTACION!$A:$A,PARAMETROS_IMPORTACION!$C:$C,0),0)</f>
        <v>0</v>
      </c>
      <c r="K1604" s="2">
        <f ca="1">IFERROR(_xludf.XLOOKUP("Gastos_Aduana",PARAMETROS_IMPORTACION!$A:$A,PARAMETROS_IMPORTACION!$C:$C,0),0)</f>
        <v>0</v>
      </c>
      <c r="L1604" s="2">
        <f t="shared" si="51"/>
        <v>0</v>
      </c>
    </row>
    <row r="1605" spans="5:12" x14ac:dyDescent="0.35">
      <c r="E1605" s="2"/>
      <c r="F1605" s="2">
        <f>_xlfn.XLOOKUP(D1605,TIPOS_CAMBIO!A:A,TIPOS_CAMBIO!B:B,"",0)</f>
        <v>0</v>
      </c>
      <c r="G1605" s="3">
        <f t="shared" si="50"/>
        <v>0</v>
      </c>
      <c r="H1605" s="3"/>
      <c r="I1605" s="3">
        <f ca="1">IFERROR(_xludf.XLOOKUP("Seguro",PARAMETROS_IMPORTACION!$A:$A,PARAMETROS_IMPORTACION!$C:$C,0),0)</f>
        <v>0</v>
      </c>
      <c r="J1605" s="3">
        <f ca="1">IFERROR(_xludf.XLOOKUP("Arancel",PARAMETROS_IMPORTACION!$A:$A,PARAMETROS_IMPORTACION!$C:$C,0),0)</f>
        <v>0</v>
      </c>
      <c r="K1605" s="2">
        <f ca="1">IFERROR(_xludf.XLOOKUP("Gastos_Aduana",PARAMETROS_IMPORTACION!$A:$A,PARAMETROS_IMPORTACION!$C:$C,0),0)</f>
        <v>0</v>
      </c>
      <c r="L1605" s="2">
        <f t="shared" si="51"/>
        <v>0</v>
      </c>
    </row>
    <row r="1606" spans="5:12" x14ac:dyDescent="0.35">
      <c r="E1606" s="2"/>
      <c r="F1606" s="2">
        <f>_xlfn.XLOOKUP(D1606,TIPOS_CAMBIO!A:A,TIPOS_CAMBIO!B:B,"",0)</f>
        <v>0</v>
      </c>
      <c r="G1606" s="3">
        <f t="shared" si="50"/>
        <v>0</v>
      </c>
      <c r="H1606" s="3"/>
      <c r="I1606" s="3">
        <f ca="1">IFERROR(_xludf.XLOOKUP("Seguro",PARAMETROS_IMPORTACION!$A:$A,PARAMETROS_IMPORTACION!$C:$C,0),0)</f>
        <v>0</v>
      </c>
      <c r="J1606" s="3">
        <f ca="1">IFERROR(_xludf.XLOOKUP("Arancel",PARAMETROS_IMPORTACION!$A:$A,PARAMETROS_IMPORTACION!$C:$C,0),0)</f>
        <v>0</v>
      </c>
      <c r="K1606" s="2">
        <f ca="1">IFERROR(_xludf.XLOOKUP("Gastos_Aduana",PARAMETROS_IMPORTACION!$A:$A,PARAMETROS_IMPORTACION!$C:$C,0),0)</f>
        <v>0</v>
      </c>
      <c r="L1606" s="2">
        <f t="shared" si="51"/>
        <v>0</v>
      </c>
    </row>
    <row r="1607" spans="5:12" x14ac:dyDescent="0.35">
      <c r="E1607" s="2"/>
      <c r="F1607" s="2">
        <f>_xlfn.XLOOKUP(D1607,TIPOS_CAMBIO!A:A,TIPOS_CAMBIO!B:B,"",0)</f>
        <v>0</v>
      </c>
      <c r="G1607" s="3">
        <f t="shared" si="50"/>
        <v>0</v>
      </c>
      <c r="H1607" s="3"/>
      <c r="I1607" s="3">
        <f ca="1">IFERROR(_xludf.XLOOKUP("Seguro",PARAMETROS_IMPORTACION!$A:$A,PARAMETROS_IMPORTACION!$C:$C,0),0)</f>
        <v>0</v>
      </c>
      <c r="J1607" s="3">
        <f ca="1">IFERROR(_xludf.XLOOKUP("Arancel",PARAMETROS_IMPORTACION!$A:$A,PARAMETROS_IMPORTACION!$C:$C,0),0)</f>
        <v>0</v>
      </c>
      <c r="K1607" s="2">
        <f ca="1">IFERROR(_xludf.XLOOKUP("Gastos_Aduana",PARAMETROS_IMPORTACION!$A:$A,PARAMETROS_IMPORTACION!$C:$C,0),0)</f>
        <v>0</v>
      </c>
      <c r="L1607" s="2">
        <f t="shared" si="51"/>
        <v>0</v>
      </c>
    </row>
    <row r="1608" spans="5:12" x14ac:dyDescent="0.35">
      <c r="E1608" s="2"/>
      <c r="F1608" s="2">
        <f>_xlfn.XLOOKUP(D1608,TIPOS_CAMBIO!A:A,TIPOS_CAMBIO!B:B,"",0)</f>
        <v>0</v>
      </c>
      <c r="G1608" s="3">
        <f t="shared" si="50"/>
        <v>0</v>
      </c>
      <c r="H1608" s="3"/>
      <c r="I1608" s="3">
        <f ca="1">IFERROR(_xludf.XLOOKUP("Seguro",PARAMETROS_IMPORTACION!$A:$A,PARAMETROS_IMPORTACION!$C:$C,0),0)</f>
        <v>0</v>
      </c>
      <c r="J1608" s="3">
        <f ca="1">IFERROR(_xludf.XLOOKUP("Arancel",PARAMETROS_IMPORTACION!$A:$A,PARAMETROS_IMPORTACION!$C:$C,0),0)</f>
        <v>0</v>
      </c>
      <c r="K1608" s="2">
        <f ca="1">IFERROR(_xludf.XLOOKUP("Gastos_Aduana",PARAMETROS_IMPORTACION!$A:$A,PARAMETROS_IMPORTACION!$C:$C,0),0)</f>
        <v>0</v>
      </c>
      <c r="L1608" s="2">
        <f t="shared" si="51"/>
        <v>0</v>
      </c>
    </row>
    <row r="1609" spans="5:12" x14ac:dyDescent="0.35">
      <c r="E1609" s="2"/>
      <c r="F1609" s="2">
        <f>_xlfn.XLOOKUP(D1609,TIPOS_CAMBIO!A:A,TIPOS_CAMBIO!B:B,"",0)</f>
        <v>0</v>
      </c>
      <c r="G1609" s="3">
        <f t="shared" si="50"/>
        <v>0</v>
      </c>
      <c r="H1609" s="3"/>
      <c r="I1609" s="3">
        <f ca="1">IFERROR(_xludf.XLOOKUP("Seguro",PARAMETROS_IMPORTACION!$A:$A,PARAMETROS_IMPORTACION!$C:$C,0),0)</f>
        <v>0</v>
      </c>
      <c r="J1609" s="3">
        <f ca="1">IFERROR(_xludf.XLOOKUP("Arancel",PARAMETROS_IMPORTACION!$A:$A,PARAMETROS_IMPORTACION!$C:$C,0),0)</f>
        <v>0</v>
      </c>
      <c r="K1609" s="2">
        <f ca="1">IFERROR(_xludf.XLOOKUP("Gastos_Aduana",PARAMETROS_IMPORTACION!$A:$A,PARAMETROS_IMPORTACION!$C:$C,0),0)</f>
        <v>0</v>
      </c>
      <c r="L1609" s="2">
        <f t="shared" si="51"/>
        <v>0</v>
      </c>
    </row>
    <row r="1610" spans="5:12" x14ac:dyDescent="0.35">
      <c r="E1610" s="2"/>
      <c r="F1610" s="2">
        <f>_xlfn.XLOOKUP(D1610,TIPOS_CAMBIO!A:A,TIPOS_CAMBIO!B:B,"",0)</f>
        <v>0</v>
      </c>
      <c r="G1610" s="3">
        <f t="shared" si="50"/>
        <v>0</v>
      </c>
      <c r="H1610" s="3"/>
      <c r="I1610" s="3">
        <f ca="1">IFERROR(_xludf.XLOOKUP("Seguro",PARAMETROS_IMPORTACION!$A:$A,PARAMETROS_IMPORTACION!$C:$C,0),0)</f>
        <v>0</v>
      </c>
      <c r="J1610" s="3">
        <f ca="1">IFERROR(_xludf.XLOOKUP("Arancel",PARAMETROS_IMPORTACION!$A:$A,PARAMETROS_IMPORTACION!$C:$C,0),0)</f>
        <v>0</v>
      </c>
      <c r="K1610" s="2">
        <f ca="1">IFERROR(_xludf.XLOOKUP("Gastos_Aduana",PARAMETROS_IMPORTACION!$A:$A,PARAMETROS_IMPORTACION!$C:$C,0),0)</f>
        <v>0</v>
      </c>
      <c r="L1610" s="2">
        <f t="shared" si="51"/>
        <v>0</v>
      </c>
    </row>
    <row r="1611" spans="5:12" x14ac:dyDescent="0.35">
      <c r="E1611" s="2"/>
      <c r="F1611" s="2">
        <f>_xlfn.XLOOKUP(D1611,TIPOS_CAMBIO!A:A,TIPOS_CAMBIO!B:B,"",0)</f>
        <v>0</v>
      </c>
      <c r="G1611" s="3">
        <f t="shared" si="50"/>
        <v>0</v>
      </c>
      <c r="H1611" s="3"/>
      <c r="I1611" s="3">
        <f ca="1">IFERROR(_xludf.XLOOKUP("Seguro",PARAMETROS_IMPORTACION!$A:$A,PARAMETROS_IMPORTACION!$C:$C,0),0)</f>
        <v>0</v>
      </c>
      <c r="J1611" s="3">
        <f ca="1">IFERROR(_xludf.XLOOKUP("Arancel",PARAMETROS_IMPORTACION!$A:$A,PARAMETROS_IMPORTACION!$C:$C,0),0)</f>
        <v>0</v>
      </c>
      <c r="K1611" s="2">
        <f ca="1">IFERROR(_xludf.XLOOKUP("Gastos_Aduana",PARAMETROS_IMPORTACION!$A:$A,PARAMETROS_IMPORTACION!$C:$C,0),0)</f>
        <v>0</v>
      </c>
      <c r="L1611" s="2">
        <f t="shared" si="51"/>
        <v>0</v>
      </c>
    </row>
    <row r="1612" spans="5:12" x14ac:dyDescent="0.35">
      <c r="E1612" s="2"/>
      <c r="F1612" s="2">
        <f>_xlfn.XLOOKUP(D1612,TIPOS_CAMBIO!A:A,TIPOS_CAMBIO!B:B,"",0)</f>
        <v>0</v>
      </c>
      <c r="G1612" s="3">
        <f t="shared" si="50"/>
        <v>0</v>
      </c>
      <c r="H1612" s="3"/>
      <c r="I1612" s="3">
        <f ca="1">IFERROR(_xludf.XLOOKUP("Seguro",PARAMETROS_IMPORTACION!$A:$A,PARAMETROS_IMPORTACION!$C:$C,0),0)</f>
        <v>0</v>
      </c>
      <c r="J1612" s="3">
        <f ca="1">IFERROR(_xludf.XLOOKUP("Arancel",PARAMETROS_IMPORTACION!$A:$A,PARAMETROS_IMPORTACION!$C:$C,0),0)</f>
        <v>0</v>
      </c>
      <c r="K1612" s="2">
        <f ca="1">IFERROR(_xludf.XLOOKUP("Gastos_Aduana",PARAMETROS_IMPORTACION!$A:$A,PARAMETROS_IMPORTACION!$C:$C,0),0)</f>
        <v>0</v>
      </c>
      <c r="L1612" s="2">
        <f t="shared" si="51"/>
        <v>0</v>
      </c>
    </row>
    <row r="1613" spans="5:12" x14ac:dyDescent="0.35">
      <c r="E1613" s="2"/>
      <c r="F1613" s="2">
        <f>_xlfn.XLOOKUP(D1613,TIPOS_CAMBIO!A:A,TIPOS_CAMBIO!B:B,"",0)</f>
        <v>0</v>
      </c>
      <c r="G1613" s="3">
        <f t="shared" si="50"/>
        <v>0</v>
      </c>
      <c r="H1613" s="3"/>
      <c r="I1613" s="3">
        <f ca="1">IFERROR(_xludf.XLOOKUP("Seguro",PARAMETROS_IMPORTACION!$A:$A,PARAMETROS_IMPORTACION!$C:$C,0),0)</f>
        <v>0</v>
      </c>
      <c r="J1613" s="3">
        <f ca="1">IFERROR(_xludf.XLOOKUP("Arancel",PARAMETROS_IMPORTACION!$A:$A,PARAMETROS_IMPORTACION!$C:$C,0),0)</f>
        <v>0</v>
      </c>
      <c r="K1613" s="2">
        <f ca="1">IFERROR(_xludf.XLOOKUP("Gastos_Aduana",PARAMETROS_IMPORTACION!$A:$A,PARAMETROS_IMPORTACION!$C:$C,0),0)</f>
        <v>0</v>
      </c>
      <c r="L1613" s="2">
        <f t="shared" si="51"/>
        <v>0</v>
      </c>
    </row>
    <row r="1614" spans="5:12" x14ac:dyDescent="0.35">
      <c r="E1614" s="2"/>
      <c r="F1614" s="2">
        <f>_xlfn.XLOOKUP(D1614,TIPOS_CAMBIO!A:A,TIPOS_CAMBIO!B:B,"",0)</f>
        <v>0</v>
      </c>
      <c r="G1614" s="3">
        <f t="shared" si="50"/>
        <v>0</v>
      </c>
      <c r="H1614" s="3"/>
      <c r="I1614" s="3">
        <f ca="1">IFERROR(_xludf.XLOOKUP("Seguro",PARAMETROS_IMPORTACION!$A:$A,PARAMETROS_IMPORTACION!$C:$C,0),0)</f>
        <v>0</v>
      </c>
      <c r="J1614" s="3">
        <f ca="1">IFERROR(_xludf.XLOOKUP("Arancel",PARAMETROS_IMPORTACION!$A:$A,PARAMETROS_IMPORTACION!$C:$C,0),0)</f>
        <v>0</v>
      </c>
      <c r="K1614" s="2">
        <f ca="1">IFERROR(_xludf.XLOOKUP("Gastos_Aduana",PARAMETROS_IMPORTACION!$A:$A,PARAMETROS_IMPORTACION!$C:$C,0),0)</f>
        <v>0</v>
      </c>
      <c r="L1614" s="2">
        <f t="shared" si="51"/>
        <v>0</v>
      </c>
    </row>
    <row r="1615" spans="5:12" x14ac:dyDescent="0.35">
      <c r="E1615" s="2"/>
      <c r="F1615" s="2">
        <f>_xlfn.XLOOKUP(D1615,TIPOS_CAMBIO!A:A,TIPOS_CAMBIO!B:B,"",0)</f>
        <v>0</v>
      </c>
      <c r="G1615" s="3">
        <f t="shared" si="50"/>
        <v>0</v>
      </c>
      <c r="H1615" s="3"/>
      <c r="I1615" s="3">
        <f ca="1">IFERROR(_xludf.XLOOKUP("Seguro",PARAMETROS_IMPORTACION!$A:$A,PARAMETROS_IMPORTACION!$C:$C,0),0)</f>
        <v>0</v>
      </c>
      <c r="J1615" s="3">
        <f ca="1">IFERROR(_xludf.XLOOKUP("Arancel",PARAMETROS_IMPORTACION!$A:$A,PARAMETROS_IMPORTACION!$C:$C,0),0)</f>
        <v>0</v>
      </c>
      <c r="K1615" s="2">
        <f ca="1">IFERROR(_xludf.XLOOKUP("Gastos_Aduana",PARAMETROS_IMPORTACION!$A:$A,PARAMETROS_IMPORTACION!$C:$C,0),0)</f>
        <v>0</v>
      </c>
      <c r="L1615" s="2">
        <f t="shared" si="51"/>
        <v>0</v>
      </c>
    </row>
    <row r="1616" spans="5:12" x14ac:dyDescent="0.35">
      <c r="E1616" s="2"/>
      <c r="F1616" s="2">
        <f>_xlfn.XLOOKUP(D1616,TIPOS_CAMBIO!A:A,TIPOS_CAMBIO!B:B,"",0)</f>
        <v>0</v>
      </c>
      <c r="G1616" s="3">
        <f t="shared" si="50"/>
        <v>0</v>
      </c>
      <c r="H1616" s="3"/>
      <c r="I1616" s="3">
        <f ca="1">IFERROR(_xludf.XLOOKUP("Seguro",PARAMETROS_IMPORTACION!$A:$A,PARAMETROS_IMPORTACION!$C:$C,0),0)</f>
        <v>0</v>
      </c>
      <c r="J1616" s="3">
        <f ca="1">IFERROR(_xludf.XLOOKUP("Arancel",PARAMETROS_IMPORTACION!$A:$A,PARAMETROS_IMPORTACION!$C:$C,0),0)</f>
        <v>0</v>
      </c>
      <c r="K1616" s="2">
        <f ca="1">IFERROR(_xludf.XLOOKUP("Gastos_Aduana",PARAMETROS_IMPORTACION!$A:$A,PARAMETROS_IMPORTACION!$C:$C,0),0)</f>
        <v>0</v>
      </c>
      <c r="L1616" s="2">
        <f t="shared" si="51"/>
        <v>0</v>
      </c>
    </row>
    <row r="1617" spans="5:12" x14ac:dyDescent="0.35">
      <c r="E1617" s="2"/>
      <c r="F1617" s="2">
        <f>_xlfn.XLOOKUP(D1617,TIPOS_CAMBIO!A:A,TIPOS_CAMBIO!B:B,"",0)</f>
        <v>0</v>
      </c>
      <c r="G1617" s="3">
        <f t="shared" si="50"/>
        <v>0</v>
      </c>
      <c r="H1617" s="3"/>
      <c r="I1617" s="3">
        <f ca="1">IFERROR(_xludf.XLOOKUP("Seguro",PARAMETROS_IMPORTACION!$A:$A,PARAMETROS_IMPORTACION!$C:$C,0),0)</f>
        <v>0</v>
      </c>
      <c r="J1617" s="3">
        <f ca="1">IFERROR(_xludf.XLOOKUP("Arancel",PARAMETROS_IMPORTACION!$A:$A,PARAMETROS_IMPORTACION!$C:$C,0),0)</f>
        <v>0</v>
      </c>
      <c r="K1617" s="2">
        <f ca="1">IFERROR(_xludf.XLOOKUP("Gastos_Aduana",PARAMETROS_IMPORTACION!$A:$A,PARAMETROS_IMPORTACION!$C:$C,0),0)</f>
        <v>0</v>
      </c>
      <c r="L1617" s="2">
        <f t="shared" si="51"/>
        <v>0</v>
      </c>
    </row>
    <row r="1618" spans="5:12" x14ac:dyDescent="0.35">
      <c r="E1618" s="2"/>
      <c r="F1618" s="2">
        <f>_xlfn.XLOOKUP(D1618,TIPOS_CAMBIO!A:A,TIPOS_CAMBIO!B:B,"",0)</f>
        <v>0</v>
      </c>
      <c r="G1618" s="3">
        <f t="shared" si="50"/>
        <v>0</v>
      </c>
      <c r="H1618" s="3"/>
      <c r="I1618" s="3">
        <f ca="1">IFERROR(_xludf.XLOOKUP("Seguro",PARAMETROS_IMPORTACION!$A:$A,PARAMETROS_IMPORTACION!$C:$C,0),0)</f>
        <v>0</v>
      </c>
      <c r="J1618" s="3">
        <f ca="1">IFERROR(_xludf.XLOOKUP("Arancel",PARAMETROS_IMPORTACION!$A:$A,PARAMETROS_IMPORTACION!$C:$C,0),0)</f>
        <v>0</v>
      </c>
      <c r="K1618" s="2">
        <f ca="1">IFERROR(_xludf.XLOOKUP("Gastos_Aduana",PARAMETROS_IMPORTACION!$A:$A,PARAMETROS_IMPORTACION!$C:$C,0),0)</f>
        <v>0</v>
      </c>
      <c r="L1618" s="2">
        <f t="shared" si="51"/>
        <v>0</v>
      </c>
    </row>
    <row r="1619" spans="5:12" x14ac:dyDescent="0.35">
      <c r="E1619" s="2"/>
      <c r="F1619" s="2">
        <f>_xlfn.XLOOKUP(D1619,TIPOS_CAMBIO!A:A,TIPOS_CAMBIO!B:B,"",0)</f>
        <v>0</v>
      </c>
      <c r="G1619" s="3">
        <f t="shared" si="50"/>
        <v>0</v>
      </c>
      <c r="H1619" s="3"/>
      <c r="I1619" s="3">
        <f ca="1">IFERROR(_xludf.XLOOKUP("Seguro",PARAMETROS_IMPORTACION!$A:$A,PARAMETROS_IMPORTACION!$C:$C,0),0)</f>
        <v>0</v>
      </c>
      <c r="J1619" s="3">
        <f ca="1">IFERROR(_xludf.XLOOKUP("Arancel",PARAMETROS_IMPORTACION!$A:$A,PARAMETROS_IMPORTACION!$C:$C,0),0)</f>
        <v>0</v>
      </c>
      <c r="K1619" s="2">
        <f ca="1">IFERROR(_xludf.XLOOKUP("Gastos_Aduana",PARAMETROS_IMPORTACION!$A:$A,PARAMETROS_IMPORTACION!$C:$C,0),0)</f>
        <v>0</v>
      </c>
      <c r="L1619" s="2">
        <f t="shared" si="51"/>
        <v>0</v>
      </c>
    </row>
    <row r="1620" spans="5:12" x14ac:dyDescent="0.35">
      <c r="E1620" s="2"/>
      <c r="F1620" s="2">
        <f>_xlfn.XLOOKUP(D1620,TIPOS_CAMBIO!A:A,TIPOS_CAMBIO!B:B,"",0)</f>
        <v>0</v>
      </c>
      <c r="G1620" s="3">
        <f t="shared" si="50"/>
        <v>0</v>
      </c>
      <c r="H1620" s="3"/>
      <c r="I1620" s="3">
        <f ca="1">IFERROR(_xludf.XLOOKUP("Seguro",PARAMETROS_IMPORTACION!$A:$A,PARAMETROS_IMPORTACION!$C:$C,0),0)</f>
        <v>0</v>
      </c>
      <c r="J1620" s="3">
        <f ca="1">IFERROR(_xludf.XLOOKUP("Arancel",PARAMETROS_IMPORTACION!$A:$A,PARAMETROS_IMPORTACION!$C:$C,0),0)</f>
        <v>0</v>
      </c>
      <c r="K1620" s="2">
        <f ca="1">IFERROR(_xludf.XLOOKUP("Gastos_Aduana",PARAMETROS_IMPORTACION!$A:$A,PARAMETROS_IMPORTACION!$C:$C,0),0)</f>
        <v>0</v>
      </c>
      <c r="L1620" s="2">
        <f t="shared" si="51"/>
        <v>0</v>
      </c>
    </row>
    <row r="1621" spans="5:12" x14ac:dyDescent="0.35">
      <c r="E1621" s="2"/>
      <c r="F1621" s="2">
        <f>_xlfn.XLOOKUP(D1621,TIPOS_CAMBIO!A:A,TIPOS_CAMBIO!B:B,"",0)</f>
        <v>0</v>
      </c>
      <c r="G1621" s="3">
        <f t="shared" si="50"/>
        <v>0</v>
      </c>
      <c r="H1621" s="3"/>
      <c r="I1621" s="3">
        <f ca="1">IFERROR(_xludf.XLOOKUP("Seguro",PARAMETROS_IMPORTACION!$A:$A,PARAMETROS_IMPORTACION!$C:$C,0),0)</f>
        <v>0</v>
      </c>
      <c r="J1621" s="3">
        <f ca="1">IFERROR(_xludf.XLOOKUP("Arancel",PARAMETROS_IMPORTACION!$A:$A,PARAMETROS_IMPORTACION!$C:$C,0),0)</f>
        <v>0</v>
      </c>
      <c r="K1621" s="2">
        <f ca="1">IFERROR(_xludf.XLOOKUP("Gastos_Aduana",PARAMETROS_IMPORTACION!$A:$A,PARAMETROS_IMPORTACION!$C:$C,0),0)</f>
        <v>0</v>
      </c>
      <c r="L1621" s="2">
        <f t="shared" si="51"/>
        <v>0</v>
      </c>
    </row>
    <row r="1622" spans="5:12" x14ac:dyDescent="0.35">
      <c r="E1622" s="2"/>
      <c r="F1622" s="2">
        <f>_xlfn.XLOOKUP(D1622,TIPOS_CAMBIO!A:A,TIPOS_CAMBIO!B:B,"",0)</f>
        <v>0</v>
      </c>
      <c r="G1622" s="3">
        <f t="shared" si="50"/>
        <v>0</v>
      </c>
      <c r="H1622" s="3"/>
      <c r="I1622" s="3">
        <f ca="1">IFERROR(_xludf.XLOOKUP("Seguro",PARAMETROS_IMPORTACION!$A:$A,PARAMETROS_IMPORTACION!$C:$C,0),0)</f>
        <v>0</v>
      </c>
      <c r="J1622" s="3">
        <f ca="1">IFERROR(_xludf.XLOOKUP("Arancel",PARAMETROS_IMPORTACION!$A:$A,PARAMETROS_IMPORTACION!$C:$C,0),0)</f>
        <v>0</v>
      </c>
      <c r="K1622" s="2">
        <f ca="1">IFERROR(_xludf.XLOOKUP("Gastos_Aduana",PARAMETROS_IMPORTACION!$A:$A,PARAMETROS_IMPORTACION!$C:$C,0),0)</f>
        <v>0</v>
      </c>
      <c r="L1622" s="2">
        <f t="shared" si="51"/>
        <v>0</v>
      </c>
    </row>
    <row r="1623" spans="5:12" x14ac:dyDescent="0.35">
      <c r="E1623" s="2"/>
      <c r="F1623" s="2">
        <f>_xlfn.XLOOKUP(D1623,TIPOS_CAMBIO!A:A,TIPOS_CAMBIO!B:B,"",0)</f>
        <v>0</v>
      </c>
      <c r="G1623" s="3">
        <f t="shared" si="50"/>
        <v>0</v>
      </c>
      <c r="H1623" s="3"/>
      <c r="I1623" s="3">
        <f ca="1">IFERROR(_xludf.XLOOKUP("Seguro",PARAMETROS_IMPORTACION!$A:$A,PARAMETROS_IMPORTACION!$C:$C,0),0)</f>
        <v>0</v>
      </c>
      <c r="J1623" s="3">
        <f ca="1">IFERROR(_xludf.XLOOKUP("Arancel",PARAMETROS_IMPORTACION!$A:$A,PARAMETROS_IMPORTACION!$C:$C,0),0)</f>
        <v>0</v>
      </c>
      <c r="K1623" s="2">
        <f ca="1">IFERROR(_xludf.XLOOKUP("Gastos_Aduana",PARAMETROS_IMPORTACION!$A:$A,PARAMETROS_IMPORTACION!$C:$C,0),0)</f>
        <v>0</v>
      </c>
      <c r="L1623" s="2">
        <f t="shared" si="51"/>
        <v>0</v>
      </c>
    </row>
    <row r="1624" spans="5:12" x14ac:dyDescent="0.35">
      <c r="E1624" s="2"/>
      <c r="F1624" s="2">
        <f>_xlfn.XLOOKUP(D1624,TIPOS_CAMBIO!A:A,TIPOS_CAMBIO!B:B,"",0)</f>
        <v>0</v>
      </c>
      <c r="G1624" s="3">
        <f t="shared" si="50"/>
        <v>0</v>
      </c>
      <c r="H1624" s="3"/>
      <c r="I1624" s="3">
        <f ca="1">IFERROR(_xludf.XLOOKUP("Seguro",PARAMETROS_IMPORTACION!$A:$A,PARAMETROS_IMPORTACION!$C:$C,0),0)</f>
        <v>0</v>
      </c>
      <c r="J1624" s="3">
        <f ca="1">IFERROR(_xludf.XLOOKUP("Arancel",PARAMETROS_IMPORTACION!$A:$A,PARAMETROS_IMPORTACION!$C:$C,0),0)</f>
        <v>0</v>
      </c>
      <c r="K1624" s="2">
        <f ca="1">IFERROR(_xludf.XLOOKUP("Gastos_Aduana",PARAMETROS_IMPORTACION!$A:$A,PARAMETROS_IMPORTACION!$C:$C,0),0)</f>
        <v>0</v>
      </c>
      <c r="L1624" s="2">
        <f t="shared" si="51"/>
        <v>0</v>
      </c>
    </row>
    <row r="1625" spans="5:12" x14ac:dyDescent="0.35">
      <c r="E1625" s="2"/>
      <c r="F1625" s="2">
        <f>_xlfn.XLOOKUP(D1625,TIPOS_CAMBIO!A:A,TIPOS_CAMBIO!B:B,"",0)</f>
        <v>0</v>
      </c>
      <c r="G1625" s="3">
        <f t="shared" si="50"/>
        <v>0</v>
      </c>
      <c r="H1625" s="3"/>
      <c r="I1625" s="3">
        <f ca="1">IFERROR(_xludf.XLOOKUP("Seguro",PARAMETROS_IMPORTACION!$A:$A,PARAMETROS_IMPORTACION!$C:$C,0),0)</f>
        <v>0</v>
      </c>
      <c r="J1625" s="3">
        <f ca="1">IFERROR(_xludf.XLOOKUP("Arancel",PARAMETROS_IMPORTACION!$A:$A,PARAMETROS_IMPORTACION!$C:$C,0),0)</f>
        <v>0</v>
      </c>
      <c r="K1625" s="2">
        <f ca="1">IFERROR(_xludf.XLOOKUP("Gastos_Aduana",PARAMETROS_IMPORTACION!$A:$A,PARAMETROS_IMPORTACION!$C:$C,0),0)</f>
        <v>0</v>
      </c>
      <c r="L1625" s="2">
        <f t="shared" si="51"/>
        <v>0</v>
      </c>
    </row>
    <row r="1626" spans="5:12" x14ac:dyDescent="0.35">
      <c r="E1626" s="2"/>
      <c r="F1626" s="2">
        <f>_xlfn.XLOOKUP(D1626,TIPOS_CAMBIO!A:A,TIPOS_CAMBIO!B:B,"",0)</f>
        <v>0</v>
      </c>
      <c r="G1626" s="3">
        <f t="shared" si="50"/>
        <v>0</v>
      </c>
      <c r="H1626" s="3"/>
      <c r="I1626" s="3">
        <f ca="1">IFERROR(_xludf.XLOOKUP("Seguro",PARAMETROS_IMPORTACION!$A:$A,PARAMETROS_IMPORTACION!$C:$C,0),0)</f>
        <v>0</v>
      </c>
      <c r="J1626" s="3">
        <f ca="1">IFERROR(_xludf.XLOOKUP("Arancel",PARAMETROS_IMPORTACION!$A:$A,PARAMETROS_IMPORTACION!$C:$C,0),0)</f>
        <v>0</v>
      </c>
      <c r="K1626" s="2">
        <f ca="1">IFERROR(_xludf.XLOOKUP("Gastos_Aduana",PARAMETROS_IMPORTACION!$A:$A,PARAMETROS_IMPORTACION!$C:$C,0),0)</f>
        <v>0</v>
      </c>
      <c r="L1626" s="2">
        <f t="shared" si="51"/>
        <v>0</v>
      </c>
    </row>
    <row r="1627" spans="5:12" x14ac:dyDescent="0.35">
      <c r="E1627" s="2"/>
      <c r="F1627" s="2">
        <f>_xlfn.XLOOKUP(D1627,TIPOS_CAMBIO!A:A,TIPOS_CAMBIO!B:B,"",0)</f>
        <v>0</v>
      </c>
      <c r="G1627" s="3">
        <f t="shared" si="50"/>
        <v>0</v>
      </c>
      <c r="H1627" s="3"/>
      <c r="I1627" s="3">
        <f ca="1">IFERROR(_xludf.XLOOKUP("Seguro",PARAMETROS_IMPORTACION!$A:$A,PARAMETROS_IMPORTACION!$C:$C,0),0)</f>
        <v>0</v>
      </c>
      <c r="J1627" s="3">
        <f ca="1">IFERROR(_xludf.XLOOKUP("Arancel",PARAMETROS_IMPORTACION!$A:$A,PARAMETROS_IMPORTACION!$C:$C,0),0)</f>
        <v>0</v>
      </c>
      <c r="K1627" s="2">
        <f ca="1">IFERROR(_xludf.XLOOKUP("Gastos_Aduana",PARAMETROS_IMPORTACION!$A:$A,PARAMETROS_IMPORTACION!$C:$C,0),0)</f>
        <v>0</v>
      </c>
      <c r="L1627" s="2">
        <f t="shared" si="51"/>
        <v>0</v>
      </c>
    </row>
    <row r="1628" spans="5:12" x14ac:dyDescent="0.35">
      <c r="E1628" s="2"/>
      <c r="F1628" s="2">
        <f>_xlfn.XLOOKUP(D1628,TIPOS_CAMBIO!A:A,TIPOS_CAMBIO!B:B,"",0)</f>
        <v>0</v>
      </c>
      <c r="G1628" s="3">
        <f t="shared" si="50"/>
        <v>0</v>
      </c>
      <c r="H1628" s="3"/>
      <c r="I1628" s="3">
        <f ca="1">IFERROR(_xludf.XLOOKUP("Seguro",PARAMETROS_IMPORTACION!$A:$A,PARAMETROS_IMPORTACION!$C:$C,0),0)</f>
        <v>0</v>
      </c>
      <c r="J1628" s="3">
        <f ca="1">IFERROR(_xludf.XLOOKUP("Arancel",PARAMETROS_IMPORTACION!$A:$A,PARAMETROS_IMPORTACION!$C:$C,0),0)</f>
        <v>0</v>
      </c>
      <c r="K1628" s="2">
        <f ca="1">IFERROR(_xludf.XLOOKUP("Gastos_Aduana",PARAMETROS_IMPORTACION!$A:$A,PARAMETROS_IMPORTACION!$C:$C,0),0)</f>
        <v>0</v>
      </c>
      <c r="L1628" s="2">
        <f t="shared" si="51"/>
        <v>0</v>
      </c>
    </row>
    <row r="1629" spans="5:12" x14ac:dyDescent="0.35">
      <c r="E1629" s="2"/>
      <c r="F1629" s="2">
        <f>_xlfn.XLOOKUP(D1629,TIPOS_CAMBIO!A:A,TIPOS_CAMBIO!B:B,"",0)</f>
        <v>0</v>
      </c>
      <c r="G1629" s="3">
        <f t="shared" si="50"/>
        <v>0</v>
      </c>
      <c r="H1629" s="3"/>
      <c r="I1629" s="3">
        <f ca="1">IFERROR(_xludf.XLOOKUP("Seguro",PARAMETROS_IMPORTACION!$A:$A,PARAMETROS_IMPORTACION!$C:$C,0),0)</f>
        <v>0</v>
      </c>
      <c r="J1629" s="3">
        <f ca="1">IFERROR(_xludf.XLOOKUP("Arancel",PARAMETROS_IMPORTACION!$A:$A,PARAMETROS_IMPORTACION!$C:$C,0),0)</f>
        <v>0</v>
      </c>
      <c r="K1629" s="2">
        <f ca="1">IFERROR(_xludf.XLOOKUP("Gastos_Aduana",PARAMETROS_IMPORTACION!$A:$A,PARAMETROS_IMPORTACION!$C:$C,0),0)</f>
        <v>0</v>
      </c>
      <c r="L1629" s="2">
        <f t="shared" si="51"/>
        <v>0</v>
      </c>
    </row>
    <row r="1630" spans="5:12" x14ac:dyDescent="0.35">
      <c r="E1630" s="2"/>
      <c r="F1630" s="2">
        <f>_xlfn.XLOOKUP(D1630,TIPOS_CAMBIO!A:A,TIPOS_CAMBIO!B:B,"",0)</f>
        <v>0</v>
      </c>
      <c r="G1630" s="3">
        <f t="shared" si="50"/>
        <v>0</v>
      </c>
      <c r="H1630" s="3"/>
      <c r="I1630" s="3">
        <f ca="1">IFERROR(_xludf.XLOOKUP("Seguro",PARAMETROS_IMPORTACION!$A:$A,PARAMETROS_IMPORTACION!$C:$C,0),0)</f>
        <v>0</v>
      </c>
      <c r="J1630" s="3">
        <f ca="1">IFERROR(_xludf.XLOOKUP("Arancel",PARAMETROS_IMPORTACION!$A:$A,PARAMETROS_IMPORTACION!$C:$C,0),0)</f>
        <v>0</v>
      </c>
      <c r="K1630" s="2">
        <f ca="1">IFERROR(_xludf.XLOOKUP("Gastos_Aduana",PARAMETROS_IMPORTACION!$A:$A,PARAMETROS_IMPORTACION!$C:$C,0),0)</f>
        <v>0</v>
      </c>
      <c r="L1630" s="2">
        <f t="shared" si="51"/>
        <v>0</v>
      </c>
    </row>
    <row r="1631" spans="5:12" x14ac:dyDescent="0.35">
      <c r="E1631" s="2"/>
      <c r="F1631" s="2">
        <f>_xlfn.XLOOKUP(D1631,TIPOS_CAMBIO!A:A,TIPOS_CAMBIO!B:B,"",0)</f>
        <v>0</v>
      </c>
      <c r="G1631" s="3">
        <f t="shared" si="50"/>
        <v>0</v>
      </c>
      <c r="H1631" s="3"/>
      <c r="I1631" s="3">
        <f ca="1">IFERROR(_xludf.XLOOKUP("Seguro",PARAMETROS_IMPORTACION!$A:$A,PARAMETROS_IMPORTACION!$C:$C,0),0)</f>
        <v>0</v>
      </c>
      <c r="J1631" s="3">
        <f ca="1">IFERROR(_xludf.XLOOKUP("Arancel",PARAMETROS_IMPORTACION!$A:$A,PARAMETROS_IMPORTACION!$C:$C,0),0)</f>
        <v>0</v>
      </c>
      <c r="K1631" s="2">
        <f ca="1">IFERROR(_xludf.XLOOKUP("Gastos_Aduana",PARAMETROS_IMPORTACION!$A:$A,PARAMETROS_IMPORTACION!$C:$C,0),0)</f>
        <v>0</v>
      </c>
      <c r="L1631" s="2">
        <f t="shared" si="51"/>
        <v>0</v>
      </c>
    </row>
    <row r="1632" spans="5:12" x14ac:dyDescent="0.35">
      <c r="E1632" s="2"/>
      <c r="F1632" s="2">
        <f>_xlfn.XLOOKUP(D1632,TIPOS_CAMBIO!A:A,TIPOS_CAMBIO!B:B,"",0)</f>
        <v>0</v>
      </c>
      <c r="G1632" s="3">
        <f t="shared" si="50"/>
        <v>0</v>
      </c>
      <c r="H1632" s="3"/>
      <c r="I1632" s="3">
        <f ca="1">IFERROR(_xludf.XLOOKUP("Seguro",PARAMETROS_IMPORTACION!$A:$A,PARAMETROS_IMPORTACION!$C:$C,0),0)</f>
        <v>0</v>
      </c>
      <c r="J1632" s="3">
        <f ca="1">IFERROR(_xludf.XLOOKUP("Arancel",PARAMETROS_IMPORTACION!$A:$A,PARAMETROS_IMPORTACION!$C:$C,0),0)</f>
        <v>0</v>
      </c>
      <c r="K1632" s="2">
        <f ca="1">IFERROR(_xludf.XLOOKUP("Gastos_Aduana",PARAMETROS_IMPORTACION!$A:$A,PARAMETROS_IMPORTACION!$C:$C,0),0)</f>
        <v>0</v>
      </c>
      <c r="L1632" s="2">
        <f t="shared" si="51"/>
        <v>0</v>
      </c>
    </row>
    <row r="1633" spans="5:12" x14ac:dyDescent="0.35">
      <c r="E1633" s="2"/>
      <c r="F1633" s="2">
        <f>_xlfn.XLOOKUP(D1633,TIPOS_CAMBIO!A:A,TIPOS_CAMBIO!B:B,"",0)</f>
        <v>0</v>
      </c>
      <c r="G1633" s="3">
        <f t="shared" si="50"/>
        <v>0</v>
      </c>
      <c r="H1633" s="3"/>
      <c r="I1633" s="3">
        <f ca="1">IFERROR(_xludf.XLOOKUP("Seguro",PARAMETROS_IMPORTACION!$A:$A,PARAMETROS_IMPORTACION!$C:$C,0),0)</f>
        <v>0</v>
      </c>
      <c r="J1633" s="3">
        <f ca="1">IFERROR(_xludf.XLOOKUP("Arancel",PARAMETROS_IMPORTACION!$A:$A,PARAMETROS_IMPORTACION!$C:$C,0),0)</f>
        <v>0</v>
      </c>
      <c r="K1633" s="2">
        <f ca="1">IFERROR(_xludf.XLOOKUP("Gastos_Aduana",PARAMETROS_IMPORTACION!$A:$A,PARAMETROS_IMPORTACION!$C:$C,0),0)</f>
        <v>0</v>
      </c>
      <c r="L1633" s="2">
        <f t="shared" si="51"/>
        <v>0</v>
      </c>
    </row>
    <row r="1634" spans="5:12" x14ac:dyDescent="0.35">
      <c r="E1634" s="2"/>
      <c r="F1634" s="2">
        <f>_xlfn.XLOOKUP(D1634,TIPOS_CAMBIO!A:A,TIPOS_CAMBIO!B:B,"",0)</f>
        <v>0</v>
      </c>
      <c r="G1634" s="3">
        <f t="shared" si="50"/>
        <v>0</v>
      </c>
      <c r="H1634" s="3"/>
      <c r="I1634" s="3">
        <f ca="1">IFERROR(_xludf.XLOOKUP("Seguro",PARAMETROS_IMPORTACION!$A:$A,PARAMETROS_IMPORTACION!$C:$C,0),0)</f>
        <v>0</v>
      </c>
      <c r="J1634" s="3">
        <f ca="1">IFERROR(_xludf.XLOOKUP("Arancel",PARAMETROS_IMPORTACION!$A:$A,PARAMETROS_IMPORTACION!$C:$C,0),0)</f>
        <v>0</v>
      </c>
      <c r="K1634" s="2">
        <f ca="1">IFERROR(_xludf.XLOOKUP("Gastos_Aduana",PARAMETROS_IMPORTACION!$A:$A,PARAMETROS_IMPORTACION!$C:$C,0),0)</f>
        <v>0</v>
      </c>
      <c r="L1634" s="2">
        <f t="shared" si="51"/>
        <v>0</v>
      </c>
    </row>
    <row r="1635" spans="5:12" x14ac:dyDescent="0.35">
      <c r="E1635" s="2"/>
      <c r="F1635" s="2">
        <f>_xlfn.XLOOKUP(D1635,TIPOS_CAMBIO!A:A,TIPOS_CAMBIO!B:B,"",0)</f>
        <v>0</v>
      </c>
      <c r="G1635" s="3">
        <f t="shared" si="50"/>
        <v>0</v>
      </c>
      <c r="H1635" s="3"/>
      <c r="I1635" s="3">
        <f ca="1">IFERROR(_xludf.XLOOKUP("Seguro",PARAMETROS_IMPORTACION!$A:$A,PARAMETROS_IMPORTACION!$C:$C,0),0)</f>
        <v>0</v>
      </c>
      <c r="J1635" s="3">
        <f ca="1">IFERROR(_xludf.XLOOKUP("Arancel",PARAMETROS_IMPORTACION!$A:$A,PARAMETROS_IMPORTACION!$C:$C,0),0)</f>
        <v>0</v>
      </c>
      <c r="K1635" s="2">
        <f ca="1">IFERROR(_xludf.XLOOKUP("Gastos_Aduana",PARAMETROS_IMPORTACION!$A:$A,PARAMETROS_IMPORTACION!$C:$C,0),0)</f>
        <v>0</v>
      </c>
      <c r="L1635" s="2">
        <f t="shared" si="51"/>
        <v>0</v>
      </c>
    </row>
    <row r="1636" spans="5:12" x14ac:dyDescent="0.35">
      <c r="E1636" s="2"/>
      <c r="F1636" s="2">
        <f>_xlfn.XLOOKUP(D1636,TIPOS_CAMBIO!A:A,TIPOS_CAMBIO!B:B,"",0)</f>
        <v>0</v>
      </c>
      <c r="G1636" s="3">
        <f t="shared" si="50"/>
        <v>0</v>
      </c>
      <c r="H1636" s="3"/>
      <c r="I1636" s="3">
        <f ca="1">IFERROR(_xludf.XLOOKUP("Seguro",PARAMETROS_IMPORTACION!$A:$A,PARAMETROS_IMPORTACION!$C:$C,0),0)</f>
        <v>0</v>
      </c>
      <c r="J1636" s="3">
        <f ca="1">IFERROR(_xludf.XLOOKUP("Arancel",PARAMETROS_IMPORTACION!$A:$A,PARAMETROS_IMPORTACION!$C:$C,0),0)</f>
        <v>0</v>
      </c>
      <c r="K1636" s="2">
        <f ca="1">IFERROR(_xludf.XLOOKUP("Gastos_Aduana",PARAMETROS_IMPORTACION!$A:$A,PARAMETROS_IMPORTACION!$C:$C,0),0)</f>
        <v>0</v>
      </c>
      <c r="L1636" s="2">
        <f t="shared" si="51"/>
        <v>0</v>
      </c>
    </row>
    <row r="1637" spans="5:12" x14ac:dyDescent="0.35">
      <c r="E1637" s="2"/>
      <c r="F1637" s="2">
        <f>_xlfn.XLOOKUP(D1637,TIPOS_CAMBIO!A:A,TIPOS_CAMBIO!B:B,"",0)</f>
        <v>0</v>
      </c>
      <c r="G1637" s="3">
        <f t="shared" si="50"/>
        <v>0</v>
      </c>
      <c r="H1637" s="3"/>
      <c r="I1637" s="3">
        <f ca="1">IFERROR(_xludf.XLOOKUP("Seguro",PARAMETROS_IMPORTACION!$A:$A,PARAMETROS_IMPORTACION!$C:$C,0),0)</f>
        <v>0</v>
      </c>
      <c r="J1637" s="3">
        <f ca="1">IFERROR(_xludf.XLOOKUP("Arancel",PARAMETROS_IMPORTACION!$A:$A,PARAMETROS_IMPORTACION!$C:$C,0),0)</f>
        <v>0</v>
      </c>
      <c r="K1637" s="2">
        <f ca="1">IFERROR(_xludf.XLOOKUP("Gastos_Aduana",PARAMETROS_IMPORTACION!$A:$A,PARAMETROS_IMPORTACION!$C:$C,0),0)</f>
        <v>0</v>
      </c>
      <c r="L1637" s="2">
        <f t="shared" si="51"/>
        <v>0</v>
      </c>
    </row>
    <row r="1638" spans="5:12" x14ac:dyDescent="0.35">
      <c r="E1638" s="2"/>
      <c r="F1638" s="2">
        <f>_xlfn.XLOOKUP(D1638,TIPOS_CAMBIO!A:A,TIPOS_CAMBIO!B:B,"",0)</f>
        <v>0</v>
      </c>
      <c r="G1638" s="3">
        <f t="shared" si="50"/>
        <v>0</v>
      </c>
      <c r="H1638" s="3"/>
      <c r="I1638" s="3">
        <f ca="1">IFERROR(_xludf.XLOOKUP("Seguro",PARAMETROS_IMPORTACION!$A:$A,PARAMETROS_IMPORTACION!$C:$C,0),0)</f>
        <v>0</v>
      </c>
      <c r="J1638" s="3">
        <f ca="1">IFERROR(_xludf.XLOOKUP("Arancel",PARAMETROS_IMPORTACION!$A:$A,PARAMETROS_IMPORTACION!$C:$C,0),0)</f>
        <v>0</v>
      </c>
      <c r="K1638" s="2">
        <f ca="1">IFERROR(_xludf.XLOOKUP("Gastos_Aduana",PARAMETROS_IMPORTACION!$A:$A,PARAMETROS_IMPORTACION!$C:$C,0),0)</f>
        <v>0</v>
      </c>
      <c r="L1638" s="2">
        <f t="shared" si="51"/>
        <v>0</v>
      </c>
    </row>
    <row r="1639" spans="5:12" x14ac:dyDescent="0.35">
      <c r="E1639" s="2"/>
      <c r="F1639" s="2">
        <f>_xlfn.XLOOKUP(D1639,TIPOS_CAMBIO!A:A,TIPOS_CAMBIO!B:B,"",0)</f>
        <v>0</v>
      </c>
      <c r="G1639" s="3">
        <f t="shared" si="50"/>
        <v>0</v>
      </c>
      <c r="H1639" s="3"/>
      <c r="I1639" s="3">
        <f ca="1">IFERROR(_xludf.XLOOKUP("Seguro",PARAMETROS_IMPORTACION!$A:$A,PARAMETROS_IMPORTACION!$C:$C,0),0)</f>
        <v>0</v>
      </c>
      <c r="J1639" s="3">
        <f ca="1">IFERROR(_xludf.XLOOKUP("Arancel",PARAMETROS_IMPORTACION!$A:$A,PARAMETROS_IMPORTACION!$C:$C,0),0)</f>
        <v>0</v>
      </c>
      <c r="K1639" s="2">
        <f ca="1">IFERROR(_xludf.XLOOKUP("Gastos_Aduana",PARAMETROS_IMPORTACION!$A:$A,PARAMETROS_IMPORTACION!$C:$C,0),0)</f>
        <v>0</v>
      </c>
      <c r="L1639" s="2">
        <f t="shared" si="51"/>
        <v>0</v>
      </c>
    </row>
    <row r="1640" spans="5:12" x14ac:dyDescent="0.35">
      <c r="E1640" s="2"/>
      <c r="F1640" s="2">
        <f>_xlfn.XLOOKUP(D1640,TIPOS_CAMBIO!A:A,TIPOS_CAMBIO!B:B,"",0)</f>
        <v>0</v>
      </c>
      <c r="G1640" s="3">
        <f t="shared" si="50"/>
        <v>0</v>
      </c>
      <c r="H1640" s="3"/>
      <c r="I1640" s="3">
        <f ca="1">IFERROR(_xludf.XLOOKUP("Seguro",PARAMETROS_IMPORTACION!$A:$A,PARAMETROS_IMPORTACION!$C:$C,0),0)</f>
        <v>0</v>
      </c>
      <c r="J1640" s="3">
        <f ca="1">IFERROR(_xludf.XLOOKUP("Arancel",PARAMETROS_IMPORTACION!$A:$A,PARAMETROS_IMPORTACION!$C:$C,0),0)</f>
        <v>0</v>
      </c>
      <c r="K1640" s="2">
        <f ca="1">IFERROR(_xludf.XLOOKUP("Gastos_Aduana",PARAMETROS_IMPORTACION!$A:$A,PARAMETROS_IMPORTACION!$C:$C,0),0)</f>
        <v>0</v>
      </c>
      <c r="L1640" s="2">
        <f t="shared" si="51"/>
        <v>0</v>
      </c>
    </row>
    <row r="1641" spans="5:12" x14ac:dyDescent="0.35">
      <c r="E1641" s="2"/>
      <c r="F1641" s="2">
        <f>_xlfn.XLOOKUP(D1641,TIPOS_CAMBIO!A:A,TIPOS_CAMBIO!B:B,"",0)</f>
        <v>0</v>
      </c>
      <c r="G1641" s="3">
        <f t="shared" si="50"/>
        <v>0</v>
      </c>
      <c r="H1641" s="3"/>
      <c r="I1641" s="3">
        <f ca="1">IFERROR(_xludf.XLOOKUP("Seguro",PARAMETROS_IMPORTACION!$A:$A,PARAMETROS_IMPORTACION!$C:$C,0),0)</f>
        <v>0</v>
      </c>
      <c r="J1641" s="3">
        <f ca="1">IFERROR(_xludf.XLOOKUP("Arancel",PARAMETROS_IMPORTACION!$A:$A,PARAMETROS_IMPORTACION!$C:$C,0),0)</f>
        <v>0</v>
      </c>
      <c r="K1641" s="2">
        <f ca="1">IFERROR(_xludf.XLOOKUP("Gastos_Aduana",PARAMETROS_IMPORTACION!$A:$A,PARAMETROS_IMPORTACION!$C:$C,0),0)</f>
        <v>0</v>
      </c>
      <c r="L1641" s="2">
        <f t="shared" si="51"/>
        <v>0</v>
      </c>
    </row>
    <row r="1642" spans="5:12" x14ac:dyDescent="0.35">
      <c r="E1642" s="2"/>
      <c r="F1642" s="2">
        <f>_xlfn.XLOOKUP(D1642,TIPOS_CAMBIO!A:A,TIPOS_CAMBIO!B:B,"",0)</f>
        <v>0</v>
      </c>
      <c r="G1642" s="3">
        <f t="shared" si="50"/>
        <v>0</v>
      </c>
      <c r="H1642" s="3"/>
      <c r="I1642" s="3">
        <f ca="1">IFERROR(_xludf.XLOOKUP("Seguro",PARAMETROS_IMPORTACION!$A:$A,PARAMETROS_IMPORTACION!$C:$C,0),0)</f>
        <v>0</v>
      </c>
      <c r="J1642" s="3">
        <f ca="1">IFERROR(_xludf.XLOOKUP("Arancel",PARAMETROS_IMPORTACION!$A:$A,PARAMETROS_IMPORTACION!$C:$C,0),0)</f>
        <v>0</v>
      </c>
      <c r="K1642" s="2">
        <f ca="1">IFERROR(_xludf.XLOOKUP("Gastos_Aduana",PARAMETROS_IMPORTACION!$A:$A,PARAMETROS_IMPORTACION!$C:$C,0),0)</f>
        <v>0</v>
      </c>
      <c r="L1642" s="2">
        <f t="shared" si="51"/>
        <v>0</v>
      </c>
    </row>
    <row r="1643" spans="5:12" x14ac:dyDescent="0.35">
      <c r="E1643" s="2"/>
      <c r="F1643" s="2">
        <f>_xlfn.XLOOKUP(D1643,TIPOS_CAMBIO!A:A,TIPOS_CAMBIO!B:B,"",0)</f>
        <v>0</v>
      </c>
      <c r="G1643" s="3">
        <f t="shared" si="50"/>
        <v>0</v>
      </c>
      <c r="H1643" s="3"/>
      <c r="I1643" s="3">
        <f ca="1">IFERROR(_xludf.XLOOKUP("Seguro",PARAMETROS_IMPORTACION!$A:$A,PARAMETROS_IMPORTACION!$C:$C,0),0)</f>
        <v>0</v>
      </c>
      <c r="J1643" s="3">
        <f ca="1">IFERROR(_xludf.XLOOKUP("Arancel",PARAMETROS_IMPORTACION!$A:$A,PARAMETROS_IMPORTACION!$C:$C,0),0)</f>
        <v>0</v>
      </c>
      <c r="K1643" s="2">
        <f ca="1">IFERROR(_xludf.XLOOKUP("Gastos_Aduana",PARAMETROS_IMPORTACION!$A:$A,PARAMETROS_IMPORTACION!$C:$C,0),0)</f>
        <v>0</v>
      </c>
      <c r="L1643" s="2">
        <f t="shared" si="51"/>
        <v>0</v>
      </c>
    </row>
    <row r="1644" spans="5:12" x14ac:dyDescent="0.35">
      <c r="E1644" s="2"/>
      <c r="F1644" s="2">
        <f>_xlfn.XLOOKUP(D1644,TIPOS_CAMBIO!A:A,TIPOS_CAMBIO!B:B,"",0)</f>
        <v>0</v>
      </c>
      <c r="G1644" s="3">
        <f t="shared" si="50"/>
        <v>0</v>
      </c>
      <c r="H1644" s="3"/>
      <c r="I1644" s="3">
        <f ca="1">IFERROR(_xludf.XLOOKUP("Seguro",PARAMETROS_IMPORTACION!$A:$A,PARAMETROS_IMPORTACION!$C:$C,0),0)</f>
        <v>0</v>
      </c>
      <c r="J1644" s="3">
        <f ca="1">IFERROR(_xludf.XLOOKUP("Arancel",PARAMETROS_IMPORTACION!$A:$A,PARAMETROS_IMPORTACION!$C:$C,0),0)</f>
        <v>0</v>
      </c>
      <c r="K1644" s="2">
        <f ca="1">IFERROR(_xludf.XLOOKUP("Gastos_Aduana",PARAMETROS_IMPORTACION!$A:$A,PARAMETROS_IMPORTACION!$C:$C,0),0)</f>
        <v>0</v>
      </c>
      <c r="L1644" s="2">
        <f t="shared" si="51"/>
        <v>0</v>
      </c>
    </row>
    <row r="1645" spans="5:12" x14ac:dyDescent="0.35">
      <c r="E1645" s="2"/>
      <c r="F1645" s="2">
        <f>_xlfn.XLOOKUP(D1645,TIPOS_CAMBIO!A:A,TIPOS_CAMBIO!B:B,"",0)</f>
        <v>0</v>
      </c>
      <c r="G1645" s="3">
        <f t="shared" si="50"/>
        <v>0</v>
      </c>
      <c r="H1645" s="3"/>
      <c r="I1645" s="3">
        <f ca="1">IFERROR(_xludf.XLOOKUP("Seguro",PARAMETROS_IMPORTACION!$A:$A,PARAMETROS_IMPORTACION!$C:$C,0),0)</f>
        <v>0</v>
      </c>
      <c r="J1645" s="3">
        <f ca="1">IFERROR(_xludf.XLOOKUP("Arancel",PARAMETROS_IMPORTACION!$A:$A,PARAMETROS_IMPORTACION!$C:$C,0),0)</f>
        <v>0</v>
      </c>
      <c r="K1645" s="2">
        <f ca="1">IFERROR(_xludf.XLOOKUP("Gastos_Aduana",PARAMETROS_IMPORTACION!$A:$A,PARAMETROS_IMPORTACION!$C:$C,0),0)</f>
        <v>0</v>
      </c>
      <c r="L1645" s="2">
        <f t="shared" si="51"/>
        <v>0</v>
      </c>
    </row>
    <row r="1646" spans="5:12" x14ac:dyDescent="0.35">
      <c r="E1646" s="2"/>
      <c r="F1646" s="2">
        <f>_xlfn.XLOOKUP(D1646,TIPOS_CAMBIO!A:A,TIPOS_CAMBIO!B:B,"",0)</f>
        <v>0</v>
      </c>
      <c r="G1646" s="3">
        <f t="shared" si="50"/>
        <v>0</v>
      </c>
      <c r="H1646" s="3"/>
      <c r="I1646" s="3">
        <f ca="1">IFERROR(_xludf.XLOOKUP("Seguro",PARAMETROS_IMPORTACION!$A:$A,PARAMETROS_IMPORTACION!$C:$C,0),0)</f>
        <v>0</v>
      </c>
      <c r="J1646" s="3">
        <f ca="1">IFERROR(_xludf.XLOOKUP("Arancel",PARAMETROS_IMPORTACION!$A:$A,PARAMETROS_IMPORTACION!$C:$C,0),0)</f>
        <v>0</v>
      </c>
      <c r="K1646" s="2">
        <f ca="1">IFERROR(_xludf.XLOOKUP("Gastos_Aduana",PARAMETROS_IMPORTACION!$A:$A,PARAMETROS_IMPORTACION!$C:$C,0),0)</f>
        <v>0</v>
      </c>
      <c r="L1646" s="2">
        <f t="shared" si="51"/>
        <v>0</v>
      </c>
    </row>
    <row r="1647" spans="5:12" x14ac:dyDescent="0.35">
      <c r="E1647" s="2"/>
      <c r="F1647" s="2">
        <f>_xlfn.XLOOKUP(D1647,TIPOS_CAMBIO!A:A,TIPOS_CAMBIO!B:B,"",0)</f>
        <v>0</v>
      </c>
      <c r="G1647" s="3">
        <f t="shared" si="50"/>
        <v>0</v>
      </c>
      <c r="H1647" s="3"/>
      <c r="I1647" s="3">
        <f ca="1">IFERROR(_xludf.XLOOKUP("Seguro",PARAMETROS_IMPORTACION!$A:$A,PARAMETROS_IMPORTACION!$C:$C,0),0)</f>
        <v>0</v>
      </c>
      <c r="J1647" s="3">
        <f ca="1">IFERROR(_xludf.XLOOKUP("Arancel",PARAMETROS_IMPORTACION!$A:$A,PARAMETROS_IMPORTACION!$C:$C,0),0)</f>
        <v>0</v>
      </c>
      <c r="K1647" s="2">
        <f ca="1">IFERROR(_xludf.XLOOKUP("Gastos_Aduana",PARAMETROS_IMPORTACION!$A:$A,PARAMETROS_IMPORTACION!$C:$C,0),0)</f>
        <v>0</v>
      </c>
      <c r="L1647" s="2">
        <f t="shared" si="51"/>
        <v>0</v>
      </c>
    </row>
    <row r="1648" spans="5:12" x14ac:dyDescent="0.35">
      <c r="E1648" s="2"/>
      <c r="F1648" s="2">
        <f>_xlfn.XLOOKUP(D1648,TIPOS_CAMBIO!A:A,TIPOS_CAMBIO!B:B,"",0)</f>
        <v>0</v>
      </c>
      <c r="G1648" s="3">
        <f t="shared" si="50"/>
        <v>0</v>
      </c>
      <c r="H1648" s="3"/>
      <c r="I1648" s="3">
        <f ca="1">IFERROR(_xludf.XLOOKUP("Seguro",PARAMETROS_IMPORTACION!$A:$A,PARAMETROS_IMPORTACION!$C:$C,0),0)</f>
        <v>0</v>
      </c>
      <c r="J1648" s="3">
        <f ca="1">IFERROR(_xludf.XLOOKUP("Arancel",PARAMETROS_IMPORTACION!$A:$A,PARAMETROS_IMPORTACION!$C:$C,0),0)</f>
        <v>0</v>
      </c>
      <c r="K1648" s="2">
        <f ca="1">IFERROR(_xludf.XLOOKUP("Gastos_Aduana",PARAMETROS_IMPORTACION!$A:$A,PARAMETROS_IMPORTACION!$C:$C,0),0)</f>
        <v>0</v>
      </c>
      <c r="L1648" s="2">
        <f t="shared" si="51"/>
        <v>0</v>
      </c>
    </row>
    <row r="1649" spans="5:12" x14ac:dyDescent="0.35">
      <c r="E1649" s="2"/>
      <c r="F1649" s="2">
        <f>_xlfn.XLOOKUP(D1649,TIPOS_CAMBIO!A:A,TIPOS_CAMBIO!B:B,"",0)</f>
        <v>0</v>
      </c>
      <c r="G1649" s="3">
        <f t="shared" si="50"/>
        <v>0</v>
      </c>
      <c r="H1649" s="3"/>
      <c r="I1649" s="3">
        <f ca="1">IFERROR(_xludf.XLOOKUP("Seguro",PARAMETROS_IMPORTACION!$A:$A,PARAMETROS_IMPORTACION!$C:$C,0),0)</f>
        <v>0</v>
      </c>
      <c r="J1649" s="3">
        <f ca="1">IFERROR(_xludf.XLOOKUP("Arancel",PARAMETROS_IMPORTACION!$A:$A,PARAMETROS_IMPORTACION!$C:$C,0),0)</f>
        <v>0</v>
      </c>
      <c r="K1649" s="2">
        <f ca="1">IFERROR(_xludf.XLOOKUP("Gastos_Aduana",PARAMETROS_IMPORTACION!$A:$A,PARAMETROS_IMPORTACION!$C:$C,0),0)</f>
        <v>0</v>
      </c>
      <c r="L1649" s="2">
        <f t="shared" si="51"/>
        <v>0</v>
      </c>
    </row>
    <row r="1650" spans="5:12" x14ac:dyDescent="0.35">
      <c r="E1650" s="2"/>
      <c r="F1650" s="2">
        <f>_xlfn.XLOOKUP(D1650,TIPOS_CAMBIO!A:A,TIPOS_CAMBIO!B:B,"",0)</f>
        <v>0</v>
      </c>
      <c r="G1650" s="3">
        <f t="shared" si="50"/>
        <v>0</v>
      </c>
      <c r="H1650" s="3"/>
      <c r="I1650" s="3">
        <f ca="1">IFERROR(_xludf.XLOOKUP("Seguro",PARAMETROS_IMPORTACION!$A:$A,PARAMETROS_IMPORTACION!$C:$C,0),0)</f>
        <v>0</v>
      </c>
      <c r="J1650" s="3">
        <f ca="1">IFERROR(_xludf.XLOOKUP("Arancel",PARAMETROS_IMPORTACION!$A:$A,PARAMETROS_IMPORTACION!$C:$C,0),0)</f>
        <v>0</v>
      </c>
      <c r="K1650" s="2">
        <f ca="1">IFERROR(_xludf.XLOOKUP("Gastos_Aduana",PARAMETROS_IMPORTACION!$A:$A,PARAMETROS_IMPORTACION!$C:$C,0),0)</f>
        <v>0</v>
      </c>
      <c r="L1650" s="2">
        <f t="shared" si="51"/>
        <v>0</v>
      </c>
    </row>
    <row r="1651" spans="5:12" x14ac:dyDescent="0.35">
      <c r="E1651" s="2"/>
      <c r="F1651" s="2">
        <f>_xlfn.XLOOKUP(D1651,TIPOS_CAMBIO!A:A,TIPOS_CAMBIO!B:B,"",0)</f>
        <v>0</v>
      </c>
      <c r="G1651" s="3">
        <f t="shared" si="50"/>
        <v>0</v>
      </c>
      <c r="H1651" s="3"/>
      <c r="I1651" s="3">
        <f ca="1">IFERROR(_xludf.XLOOKUP("Seguro",PARAMETROS_IMPORTACION!$A:$A,PARAMETROS_IMPORTACION!$C:$C,0),0)</f>
        <v>0</v>
      </c>
      <c r="J1651" s="3">
        <f ca="1">IFERROR(_xludf.XLOOKUP("Arancel",PARAMETROS_IMPORTACION!$A:$A,PARAMETROS_IMPORTACION!$C:$C,0),0)</f>
        <v>0</v>
      </c>
      <c r="K1651" s="2">
        <f ca="1">IFERROR(_xludf.XLOOKUP("Gastos_Aduana",PARAMETROS_IMPORTACION!$A:$A,PARAMETROS_IMPORTACION!$C:$C,0),0)</f>
        <v>0</v>
      </c>
      <c r="L1651" s="2">
        <f t="shared" si="51"/>
        <v>0</v>
      </c>
    </row>
    <row r="1652" spans="5:12" x14ac:dyDescent="0.35">
      <c r="E1652" s="2"/>
      <c r="F1652" s="2">
        <f>_xlfn.XLOOKUP(D1652,TIPOS_CAMBIO!A:A,TIPOS_CAMBIO!B:B,"",0)</f>
        <v>0</v>
      </c>
      <c r="G1652" s="3">
        <f t="shared" si="50"/>
        <v>0</v>
      </c>
      <c r="H1652" s="3"/>
      <c r="I1652" s="3">
        <f ca="1">IFERROR(_xludf.XLOOKUP("Seguro",PARAMETROS_IMPORTACION!$A:$A,PARAMETROS_IMPORTACION!$C:$C,0),0)</f>
        <v>0</v>
      </c>
      <c r="J1652" s="3">
        <f ca="1">IFERROR(_xludf.XLOOKUP("Arancel",PARAMETROS_IMPORTACION!$A:$A,PARAMETROS_IMPORTACION!$C:$C,0),0)</f>
        <v>0</v>
      </c>
      <c r="K1652" s="2">
        <f ca="1">IFERROR(_xludf.XLOOKUP("Gastos_Aduana",PARAMETROS_IMPORTACION!$A:$A,PARAMETROS_IMPORTACION!$C:$C,0),0)</f>
        <v>0</v>
      </c>
      <c r="L1652" s="2">
        <f t="shared" si="51"/>
        <v>0</v>
      </c>
    </row>
    <row r="1653" spans="5:12" x14ac:dyDescent="0.35">
      <c r="E1653" s="2"/>
      <c r="F1653" s="2">
        <f>_xlfn.XLOOKUP(D1653,TIPOS_CAMBIO!A:A,TIPOS_CAMBIO!B:B,"",0)</f>
        <v>0</v>
      </c>
      <c r="G1653" s="3">
        <f t="shared" si="50"/>
        <v>0</v>
      </c>
      <c r="H1653" s="3"/>
      <c r="I1653" s="3">
        <f ca="1">IFERROR(_xludf.XLOOKUP("Seguro",PARAMETROS_IMPORTACION!$A:$A,PARAMETROS_IMPORTACION!$C:$C,0),0)</f>
        <v>0</v>
      </c>
      <c r="J1653" s="3">
        <f ca="1">IFERROR(_xludf.XLOOKUP("Arancel",PARAMETROS_IMPORTACION!$A:$A,PARAMETROS_IMPORTACION!$C:$C,0),0)</f>
        <v>0</v>
      </c>
      <c r="K1653" s="2">
        <f ca="1">IFERROR(_xludf.XLOOKUP("Gastos_Aduana",PARAMETROS_IMPORTACION!$A:$A,PARAMETROS_IMPORTACION!$C:$C,0),0)</f>
        <v>0</v>
      </c>
      <c r="L1653" s="2">
        <f t="shared" si="51"/>
        <v>0</v>
      </c>
    </row>
    <row r="1654" spans="5:12" x14ac:dyDescent="0.35">
      <c r="E1654" s="2"/>
      <c r="F1654" s="2">
        <f>_xlfn.XLOOKUP(D1654,TIPOS_CAMBIO!A:A,TIPOS_CAMBIO!B:B,"",0)</f>
        <v>0</v>
      </c>
      <c r="G1654" s="3">
        <f t="shared" si="50"/>
        <v>0</v>
      </c>
      <c r="H1654" s="3"/>
      <c r="I1654" s="3">
        <f ca="1">IFERROR(_xludf.XLOOKUP("Seguro",PARAMETROS_IMPORTACION!$A:$A,PARAMETROS_IMPORTACION!$C:$C,0),0)</f>
        <v>0</v>
      </c>
      <c r="J1654" s="3">
        <f ca="1">IFERROR(_xludf.XLOOKUP("Arancel",PARAMETROS_IMPORTACION!$A:$A,PARAMETROS_IMPORTACION!$C:$C,0),0)</f>
        <v>0</v>
      </c>
      <c r="K1654" s="2">
        <f ca="1">IFERROR(_xludf.XLOOKUP("Gastos_Aduana",PARAMETROS_IMPORTACION!$A:$A,PARAMETROS_IMPORTACION!$C:$C,0),0)</f>
        <v>0</v>
      </c>
      <c r="L1654" s="2">
        <f t="shared" si="51"/>
        <v>0</v>
      </c>
    </row>
    <row r="1655" spans="5:12" x14ac:dyDescent="0.35">
      <c r="E1655" s="2"/>
      <c r="F1655" s="2">
        <f>_xlfn.XLOOKUP(D1655,TIPOS_CAMBIO!A:A,TIPOS_CAMBIO!B:B,"",0)</f>
        <v>0</v>
      </c>
      <c r="G1655" s="3">
        <f t="shared" si="50"/>
        <v>0</v>
      </c>
      <c r="H1655" s="3"/>
      <c r="I1655" s="3">
        <f ca="1">IFERROR(_xludf.XLOOKUP("Seguro",PARAMETROS_IMPORTACION!$A:$A,PARAMETROS_IMPORTACION!$C:$C,0),0)</f>
        <v>0</v>
      </c>
      <c r="J1655" s="3">
        <f ca="1">IFERROR(_xludf.XLOOKUP("Arancel",PARAMETROS_IMPORTACION!$A:$A,PARAMETROS_IMPORTACION!$C:$C,0),0)</f>
        <v>0</v>
      </c>
      <c r="K1655" s="2">
        <f ca="1">IFERROR(_xludf.XLOOKUP("Gastos_Aduana",PARAMETROS_IMPORTACION!$A:$A,PARAMETROS_IMPORTACION!$C:$C,0),0)</f>
        <v>0</v>
      </c>
      <c r="L1655" s="2">
        <f t="shared" si="51"/>
        <v>0</v>
      </c>
    </row>
    <row r="1656" spans="5:12" x14ac:dyDescent="0.35">
      <c r="E1656" s="2"/>
      <c r="F1656" s="2">
        <f>_xlfn.XLOOKUP(D1656,TIPOS_CAMBIO!A:A,TIPOS_CAMBIO!B:B,"",0)</f>
        <v>0</v>
      </c>
      <c r="G1656" s="3">
        <f t="shared" si="50"/>
        <v>0</v>
      </c>
      <c r="H1656" s="3"/>
      <c r="I1656" s="3">
        <f ca="1">IFERROR(_xludf.XLOOKUP("Seguro",PARAMETROS_IMPORTACION!$A:$A,PARAMETROS_IMPORTACION!$C:$C,0),0)</f>
        <v>0</v>
      </c>
      <c r="J1656" s="3">
        <f ca="1">IFERROR(_xludf.XLOOKUP("Arancel",PARAMETROS_IMPORTACION!$A:$A,PARAMETROS_IMPORTACION!$C:$C,0),0)</f>
        <v>0</v>
      </c>
      <c r="K1656" s="2">
        <f ca="1">IFERROR(_xludf.XLOOKUP("Gastos_Aduana",PARAMETROS_IMPORTACION!$A:$A,PARAMETROS_IMPORTACION!$C:$C,0),0)</f>
        <v>0</v>
      </c>
      <c r="L1656" s="2">
        <f t="shared" si="51"/>
        <v>0</v>
      </c>
    </row>
    <row r="1657" spans="5:12" x14ac:dyDescent="0.35">
      <c r="E1657" s="2"/>
      <c r="F1657" s="2">
        <f>_xlfn.XLOOKUP(D1657,TIPOS_CAMBIO!A:A,TIPOS_CAMBIO!B:B,"",0)</f>
        <v>0</v>
      </c>
      <c r="G1657" s="3">
        <f t="shared" si="50"/>
        <v>0</v>
      </c>
      <c r="H1657" s="3"/>
      <c r="I1657" s="3">
        <f ca="1">IFERROR(_xludf.XLOOKUP("Seguro",PARAMETROS_IMPORTACION!$A:$A,PARAMETROS_IMPORTACION!$C:$C,0),0)</f>
        <v>0</v>
      </c>
      <c r="J1657" s="3">
        <f ca="1">IFERROR(_xludf.XLOOKUP("Arancel",PARAMETROS_IMPORTACION!$A:$A,PARAMETROS_IMPORTACION!$C:$C,0),0)</f>
        <v>0</v>
      </c>
      <c r="K1657" s="2">
        <f ca="1">IFERROR(_xludf.XLOOKUP("Gastos_Aduana",PARAMETROS_IMPORTACION!$A:$A,PARAMETROS_IMPORTACION!$C:$C,0),0)</f>
        <v>0</v>
      </c>
      <c r="L1657" s="2">
        <f t="shared" si="51"/>
        <v>0</v>
      </c>
    </row>
    <row r="1658" spans="5:12" x14ac:dyDescent="0.35">
      <c r="E1658" s="2"/>
      <c r="F1658" s="2">
        <f>_xlfn.XLOOKUP(D1658,TIPOS_CAMBIO!A:A,TIPOS_CAMBIO!B:B,"",0)</f>
        <v>0</v>
      </c>
      <c r="G1658" s="3">
        <f t="shared" si="50"/>
        <v>0</v>
      </c>
      <c r="H1658" s="3"/>
      <c r="I1658" s="3">
        <f ca="1">IFERROR(_xludf.XLOOKUP("Seguro",PARAMETROS_IMPORTACION!$A:$A,PARAMETROS_IMPORTACION!$C:$C,0),0)</f>
        <v>0</v>
      </c>
      <c r="J1658" s="3">
        <f ca="1">IFERROR(_xludf.XLOOKUP("Arancel",PARAMETROS_IMPORTACION!$A:$A,PARAMETROS_IMPORTACION!$C:$C,0),0)</f>
        <v>0</v>
      </c>
      <c r="K1658" s="2">
        <f ca="1">IFERROR(_xludf.XLOOKUP("Gastos_Aduana",PARAMETROS_IMPORTACION!$A:$A,PARAMETROS_IMPORTACION!$C:$C,0),0)</f>
        <v>0</v>
      </c>
      <c r="L1658" s="2">
        <f t="shared" si="51"/>
        <v>0</v>
      </c>
    </row>
    <row r="1659" spans="5:12" x14ac:dyDescent="0.35">
      <c r="E1659" s="2"/>
      <c r="F1659" s="2">
        <f>_xlfn.XLOOKUP(D1659,TIPOS_CAMBIO!A:A,TIPOS_CAMBIO!B:B,"",0)</f>
        <v>0</v>
      </c>
      <c r="G1659" s="3">
        <f t="shared" si="50"/>
        <v>0</v>
      </c>
      <c r="H1659" s="3"/>
      <c r="I1659" s="3">
        <f ca="1">IFERROR(_xludf.XLOOKUP("Seguro",PARAMETROS_IMPORTACION!$A:$A,PARAMETROS_IMPORTACION!$C:$C,0),0)</f>
        <v>0</v>
      </c>
      <c r="J1659" s="3">
        <f ca="1">IFERROR(_xludf.XLOOKUP("Arancel",PARAMETROS_IMPORTACION!$A:$A,PARAMETROS_IMPORTACION!$C:$C,0),0)</f>
        <v>0</v>
      </c>
      <c r="K1659" s="2">
        <f ca="1">IFERROR(_xludf.XLOOKUP("Gastos_Aduana",PARAMETROS_IMPORTACION!$A:$A,PARAMETROS_IMPORTACION!$C:$C,0),0)</f>
        <v>0</v>
      </c>
      <c r="L1659" s="2">
        <f t="shared" si="51"/>
        <v>0</v>
      </c>
    </row>
    <row r="1660" spans="5:12" x14ac:dyDescent="0.35">
      <c r="E1660" s="2"/>
      <c r="F1660" s="2">
        <f>_xlfn.XLOOKUP(D1660,TIPOS_CAMBIO!A:A,TIPOS_CAMBIO!B:B,"",0)</f>
        <v>0</v>
      </c>
      <c r="G1660" s="3">
        <f t="shared" si="50"/>
        <v>0</v>
      </c>
      <c r="H1660" s="3"/>
      <c r="I1660" s="3">
        <f ca="1">IFERROR(_xludf.XLOOKUP("Seguro",PARAMETROS_IMPORTACION!$A:$A,PARAMETROS_IMPORTACION!$C:$C,0),0)</f>
        <v>0</v>
      </c>
      <c r="J1660" s="3">
        <f ca="1">IFERROR(_xludf.XLOOKUP("Arancel",PARAMETROS_IMPORTACION!$A:$A,PARAMETROS_IMPORTACION!$C:$C,0),0)</f>
        <v>0</v>
      </c>
      <c r="K1660" s="2">
        <f ca="1">IFERROR(_xludf.XLOOKUP("Gastos_Aduana",PARAMETROS_IMPORTACION!$A:$A,PARAMETROS_IMPORTACION!$C:$C,0),0)</f>
        <v>0</v>
      </c>
      <c r="L1660" s="2">
        <f t="shared" si="51"/>
        <v>0</v>
      </c>
    </row>
    <row r="1661" spans="5:12" x14ac:dyDescent="0.35">
      <c r="E1661" s="2"/>
      <c r="F1661" s="2">
        <f>_xlfn.XLOOKUP(D1661,TIPOS_CAMBIO!A:A,TIPOS_CAMBIO!B:B,"",0)</f>
        <v>0</v>
      </c>
      <c r="G1661" s="3">
        <f t="shared" si="50"/>
        <v>0</v>
      </c>
      <c r="H1661" s="3"/>
      <c r="I1661" s="3">
        <f ca="1">IFERROR(_xludf.XLOOKUP("Seguro",PARAMETROS_IMPORTACION!$A:$A,PARAMETROS_IMPORTACION!$C:$C,0),0)</f>
        <v>0</v>
      </c>
      <c r="J1661" s="3">
        <f ca="1">IFERROR(_xludf.XLOOKUP("Arancel",PARAMETROS_IMPORTACION!$A:$A,PARAMETROS_IMPORTACION!$C:$C,0),0)</f>
        <v>0</v>
      </c>
      <c r="K1661" s="2">
        <f ca="1">IFERROR(_xludf.XLOOKUP("Gastos_Aduana",PARAMETROS_IMPORTACION!$A:$A,PARAMETROS_IMPORTACION!$C:$C,0),0)</f>
        <v>0</v>
      </c>
      <c r="L1661" s="2">
        <f t="shared" si="51"/>
        <v>0</v>
      </c>
    </row>
    <row r="1662" spans="5:12" x14ac:dyDescent="0.35">
      <c r="E1662" s="2"/>
      <c r="F1662" s="2">
        <f>_xlfn.XLOOKUP(D1662,TIPOS_CAMBIO!A:A,TIPOS_CAMBIO!B:B,"",0)</f>
        <v>0</v>
      </c>
      <c r="G1662" s="3">
        <f t="shared" si="50"/>
        <v>0</v>
      </c>
      <c r="H1662" s="3"/>
      <c r="I1662" s="3">
        <f ca="1">IFERROR(_xludf.XLOOKUP("Seguro",PARAMETROS_IMPORTACION!$A:$A,PARAMETROS_IMPORTACION!$C:$C,0),0)</f>
        <v>0</v>
      </c>
      <c r="J1662" s="3">
        <f ca="1">IFERROR(_xludf.XLOOKUP("Arancel",PARAMETROS_IMPORTACION!$A:$A,PARAMETROS_IMPORTACION!$C:$C,0),0)</f>
        <v>0</v>
      </c>
      <c r="K1662" s="2">
        <f ca="1">IFERROR(_xludf.XLOOKUP("Gastos_Aduana",PARAMETROS_IMPORTACION!$A:$A,PARAMETROS_IMPORTACION!$C:$C,0),0)</f>
        <v>0</v>
      </c>
      <c r="L1662" s="2">
        <f t="shared" si="51"/>
        <v>0</v>
      </c>
    </row>
    <row r="1663" spans="5:12" x14ac:dyDescent="0.35">
      <c r="E1663" s="2"/>
      <c r="F1663" s="2">
        <f>_xlfn.XLOOKUP(D1663,TIPOS_CAMBIO!A:A,TIPOS_CAMBIO!B:B,"",0)</f>
        <v>0</v>
      </c>
      <c r="G1663" s="3">
        <f t="shared" si="50"/>
        <v>0</v>
      </c>
      <c r="H1663" s="3"/>
      <c r="I1663" s="3">
        <f ca="1">IFERROR(_xludf.XLOOKUP("Seguro",PARAMETROS_IMPORTACION!$A:$A,PARAMETROS_IMPORTACION!$C:$C,0),0)</f>
        <v>0</v>
      </c>
      <c r="J1663" s="3">
        <f ca="1">IFERROR(_xludf.XLOOKUP("Arancel",PARAMETROS_IMPORTACION!$A:$A,PARAMETROS_IMPORTACION!$C:$C,0),0)</f>
        <v>0</v>
      </c>
      <c r="K1663" s="2">
        <f ca="1">IFERROR(_xludf.XLOOKUP("Gastos_Aduana",PARAMETROS_IMPORTACION!$A:$A,PARAMETROS_IMPORTACION!$C:$C,0),0)</f>
        <v>0</v>
      </c>
      <c r="L1663" s="2">
        <f t="shared" si="51"/>
        <v>0</v>
      </c>
    </row>
    <row r="1664" spans="5:12" x14ac:dyDescent="0.35">
      <c r="E1664" s="2"/>
      <c r="F1664" s="2">
        <f>_xlfn.XLOOKUP(D1664,TIPOS_CAMBIO!A:A,TIPOS_CAMBIO!B:B,"",0)</f>
        <v>0</v>
      </c>
      <c r="G1664" s="3">
        <f t="shared" si="50"/>
        <v>0</v>
      </c>
      <c r="H1664" s="3"/>
      <c r="I1664" s="3">
        <f ca="1">IFERROR(_xludf.XLOOKUP("Seguro",PARAMETROS_IMPORTACION!$A:$A,PARAMETROS_IMPORTACION!$C:$C,0),0)</f>
        <v>0</v>
      </c>
      <c r="J1664" s="3">
        <f ca="1">IFERROR(_xludf.XLOOKUP("Arancel",PARAMETROS_IMPORTACION!$A:$A,PARAMETROS_IMPORTACION!$C:$C,0),0)</f>
        <v>0</v>
      </c>
      <c r="K1664" s="2">
        <f ca="1">IFERROR(_xludf.XLOOKUP("Gastos_Aduana",PARAMETROS_IMPORTACION!$A:$A,PARAMETROS_IMPORTACION!$C:$C,0),0)</f>
        <v>0</v>
      </c>
      <c r="L1664" s="2">
        <f t="shared" si="51"/>
        <v>0</v>
      </c>
    </row>
    <row r="1665" spans="5:12" x14ac:dyDescent="0.35">
      <c r="E1665" s="2"/>
      <c r="F1665" s="2">
        <f>_xlfn.XLOOKUP(D1665,TIPOS_CAMBIO!A:A,TIPOS_CAMBIO!B:B,"",0)</f>
        <v>0</v>
      </c>
      <c r="G1665" s="3">
        <f t="shared" si="50"/>
        <v>0</v>
      </c>
      <c r="H1665" s="3"/>
      <c r="I1665" s="3">
        <f ca="1">IFERROR(_xludf.XLOOKUP("Seguro",PARAMETROS_IMPORTACION!$A:$A,PARAMETROS_IMPORTACION!$C:$C,0),0)</f>
        <v>0</v>
      </c>
      <c r="J1665" s="3">
        <f ca="1">IFERROR(_xludf.XLOOKUP("Arancel",PARAMETROS_IMPORTACION!$A:$A,PARAMETROS_IMPORTACION!$C:$C,0),0)</f>
        <v>0</v>
      </c>
      <c r="K1665" s="2">
        <f ca="1">IFERROR(_xludf.XLOOKUP("Gastos_Aduana",PARAMETROS_IMPORTACION!$A:$A,PARAMETROS_IMPORTACION!$C:$C,0),0)</f>
        <v>0</v>
      </c>
      <c r="L1665" s="2">
        <f t="shared" si="51"/>
        <v>0</v>
      </c>
    </row>
    <row r="1666" spans="5:12" x14ac:dyDescent="0.35">
      <c r="E1666" s="2"/>
      <c r="F1666" s="2">
        <f>_xlfn.XLOOKUP(D1666,TIPOS_CAMBIO!A:A,TIPOS_CAMBIO!B:B,"",0)</f>
        <v>0</v>
      </c>
      <c r="G1666" s="3">
        <f t="shared" ref="G1666:G1729" si="52">$E1666*$F1666</f>
        <v>0</v>
      </c>
      <c r="H1666" s="3"/>
      <c r="I1666" s="3">
        <f ca="1">IFERROR(_xludf.XLOOKUP("Seguro",PARAMETROS_IMPORTACION!$A:$A,PARAMETROS_IMPORTACION!$C:$C,0),0)</f>
        <v>0</v>
      </c>
      <c r="J1666" s="3">
        <f ca="1">IFERROR(_xludf.XLOOKUP("Arancel",PARAMETROS_IMPORTACION!$A:$A,PARAMETROS_IMPORTACION!$C:$C,0),0)</f>
        <v>0</v>
      </c>
      <c r="K1666" s="2">
        <f ca="1">IFERROR(_xludf.XLOOKUP("Gastos_Aduana",PARAMETROS_IMPORTACION!$A:$A,PARAMETROS_IMPORTACION!$C:$C,0),0)</f>
        <v>0</v>
      </c>
      <c r="L1666" s="2">
        <f t="shared" si="51"/>
        <v>0</v>
      </c>
    </row>
    <row r="1667" spans="5:12" x14ac:dyDescent="0.35">
      <c r="E1667" s="2"/>
      <c r="F1667" s="2">
        <f>_xlfn.XLOOKUP(D1667,TIPOS_CAMBIO!A:A,TIPOS_CAMBIO!B:B,"",0)</f>
        <v>0</v>
      </c>
      <c r="G1667" s="3">
        <f t="shared" si="52"/>
        <v>0</v>
      </c>
      <c r="H1667" s="3"/>
      <c r="I1667" s="3">
        <f ca="1">IFERROR(_xludf.XLOOKUP("Seguro",PARAMETROS_IMPORTACION!$A:$A,PARAMETROS_IMPORTACION!$C:$C,0),0)</f>
        <v>0</v>
      </c>
      <c r="J1667" s="3">
        <f ca="1">IFERROR(_xludf.XLOOKUP("Arancel",PARAMETROS_IMPORTACION!$A:$A,PARAMETROS_IMPORTACION!$C:$C,0),0)</f>
        <v>0</v>
      </c>
      <c r="K1667" s="2">
        <f ca="1">IFERROR(_xludf.XLOOKUP("Gastos_Aduana",PARAMETROS_IMPORTACION!$A:$A,PARAMETROS_IMPORTACION!$C:$C,0),0)</f>
        <v>0</v>
      </c>
      <c r="L1667" s="2">
        <f t="shared" ref="L1667:L1730" si="53">IF($C1667="Importado",$G1667*(1+$H1667+$I1667+$J1667)+$K1667,$G1667)</f>
        <v>0</v>
      </c>
    </row>
    <row r="1668" spans="5:12" x14ac:dyDescent="0.35">
      <c r="E1668" s="2"/>
      <c r="F1668" s="2">
        <f>_xlfn.XLOOKUP(D1668,TIPOS_CAMBIO!A:A,TIPOS_CAMBIO!B:B,"",0)</f>
        <v>0</v>
      </c>
      <c r="G1668" s="3">
        <f t="shared" si="52"/>
        <v>0</v>
      </c>
      <c r="H1668" s="3"/>
      <c r="I1668" s="3">
        <f ca="1">IFERROR(_xludf.XLOOKUP("Seguro",PARAMETROS_IMPORTACION!$A:$A,PARAMETROS_IMPORTACION!$C:$C,0),0)</f>
        <v>0</v>
      </c>
      <c r="J1668" s="3">
        <f ca="1">IFERROR(_xludf.XLOOKUP("Arancel",PARAMETROS_IMPORTACION!$A:$A,PARAMETROS_IMPORTACION!$C:$C,0),0)</f>
        <v>0</v>
      </c>
      <c r="K1668" s="2">
        <f ca="1">IFERROR(_xludf.XLOOKUP("Gastos_Aduana",PARAMETROS_IMPORTACION!$A:$A,PARAMETROS_IMPORTACION!$C:$C,0),0)</f>
        <v>0</v>
      </c>
      <c r="L1668" s="2">
        <f t="shared" si="53"/>
        <v>0</v>
      </c>
    </row>
    <row r="1669" spans="5:12" x14ac:dyDescent="0.35">
      <c r="E1669" s="2"/>
      <c r="F1669" s="2">
        <f>_xlfn.XLOOKUP(D1669,TIPOS_CAMBIO!A:A,TIPOS_CAMBIO!B:B,"",0)</f>
        <v>0</v>
      </c>
      <c r="G1669" s="3">
        <f t="shared" si="52"/>
        <v>0</v>
      </c>
      <c r="H1669" s="3"/>
      <c r="I1669" s="3">
        <f ca="1">IFERROR(_xludf.XLOOKUP("Seguro",PARAMETROS_IMPORTACION!$A:$A,PARAMETROS_IMPORTACION!$C:$C,0),0)</f>
        <v>0</v>
      </c>
      <c r="J1669" s="3">
        <f ca="1">IFERROR(_xludf.XLOOKUP("Arancel",PARAMETROS_IMPORTACION!$A:$A,PARAMETROS_IMPORTACION!$C:$C,0),0)</f>
        <v>0</v>
      </c>
      <c r="K1669" s="2">
        <f ca="1">IFERROR(_xludf.XLOOKUP("Gastos_Aduana",PARAMETROS_IMPORTACION!$A:$A,PARAMETROS_IMPORTACION!$C:$C,0),0)</f>
        <v>0</v>
      </c>
      <c r="L1669" s="2">
        <f t="shared" si="53"/>
        <v>0</v>
      </c>
    </row>
    <row r="1670" spans="5:12" x14ac:dyDescent="0.35">
      <c r="E1670" s="2"/>
      <c r="F1670" s="2">
        <f>_xlfn.XLOOKUP(D1670,TIPOS_CAMBIO!A:A,TIPOS_CAMBIO!B:B,"",0)</f>
        <v>0</v>
      </c>
      <c r="G1670" s="3">
        <f t="shared" si="52"/>
        <v>0</v>
      </c>
      <c r="H1670" s="3"/>
      <c r="I1670" s="3">
        <f ca="1">IFERROR(_xludf.XLOOKUP("Seguro",PARAMETROS_IMPORTACION!$A:$A,PARAMETROS_IMPORTACION!$C:$C,0),0)</f>
        <v>0</v>
      </c>
      <c r="J1670" s="3">
        <f ca="1">IFERROR(_xludf.XLOOKUP("Arancel",PARAMETROS_IMPORTACION!$A:$A,PARAMETROS_IMPORTACION!$C:$C,0),0)</f>
        <v>0</v>
      </c>
      <c r="K1670" s="2">
        <f ca="1">IFERROR(_xludf.XLOOKUP("Gastos_Aduana",PARAMETROS_IMPORTACION!$A:$A,PARAMETROS_IMPORTACION!$C:$C,0),0)</f>
        <v>0</v>
      </c>
      <c r="L1670" s="2">
        <f t="shared" si="53"/>
        <v>0</v>
      </c>
    </row>
    <row r="1671" spans="5:12" x14ac:dyDescent="0.35">
      <c r="E1671" s="2"/>
      <c r="F1671" s="2">
        <f>_xlfn.XLOOKUP(D1671,TIPOS_CAMBIO!A:A,TIPOS_CAMBIO!B:B,"",0)</f>
        <v>0</v>
      </c>
      <c r="G1671" s="3">
        <f t="shared" si="52"/>
        <v>0</v>
      </c>
      <c r="H1671" s="3"/>
      <c r="I1671" s="3">
        <f ca="1">IFERROR(_xludf.XLOOKUP("Seguro",PARAMETROS_IMPORTACION!$A:$A,PARAMETROS_IMPORTACION!$C:$C,0),0)</f>
        <v>0</v>
      </c>
      <c r="J1671" s="3">
        <f ca="1">IFERROR(_xludf.XLOOKUP("Arancel",PARAMETROS_IMPORTACION!$A:$A,PARAMETROS_IMPORTACION!$C:$C,0),0)</f>
        <v>0</v>
      </c>
      <c r="K1671" s="2">
        <f ca="1">IFERROR(_xludf.XLOOKUP("Gastos_Aduana",PARAMETROS_IMPORTACION!$A:$A,PARAMETROS_IMPORTACION!$C:$C,0),0)</f>
        <v>0</v>
      </c>
      <c r="L1671" s="2">
        <f t="shared" si="53"/>
        <v>0</v>
      </c>
    </row>
    <row r="1672" spans="5:12" x14ac:dyDescent="0.35">
      <c r="E1672" s="2"/>
      <c r="F1672" s="2">
        <f>_xlfn.XLOOKUP(D1672,TIPOS_CAMBIO!A:A,TIPOS_CAMBIO!B:B,"",0)</f>
        <v>0</v>
      </c>
      <c r="G1672" s="3">
        <f t="shared" si="52"/>
        <v>0</v>
      </c>
      <c r="H1672" s="3"/>
      <c r="I1672" s="3">
        <f ca="1">IFERROR(_xludf.XLOOKUP("Seguro",PARAMETROS_IMPORTACION!$A:$A,PARAMETROS_IMPORTACION!$C:$C,0),0)</f>
        <v>0</v>
      </c>
      <c r="J1672" s="3">
        <f ca="1">IFERROR(_xludf.XLOOKUP("Arancel",PARAMETROS_IMPORTACION!$A:$A,PARAMETROS_IMPORTACION!$C:$C,0),0)</f>
        <v>0</v>
      </c>
      <c r="K1672" s="2">
        <f ca="1">IFERROR(_xludf.XLOOKUP("Gastos_Aduana",PARAMETROS_IMPORTACION!$A:$A,PARAMETROS_IMPORTACION!$C:$C,0),0)</f>
        <v>0</v>
      </c>
      <c r="L1672" s="2">
        <f t="shared" si="53"/>
        <v>0</v>
      </c>
    </row>
    <row r="1673" spans="5:12" x14ac:dyDescent="0.35">
      <c r="E1673" s="2"/>
      <c r="F1673" s="2">
        <f>_xlfn.XLOOKUP(D1673,TIPOS_CAMBIO!A:A,TIPOS_CAMBIO!B:B,"",0)</f>
        <v>0</v>
      </c>
      <c r="G1673" s="3">
        <f t="shared" si="52"/>
        <v>0</v>
      </c>
      <c r="H1673" s="3"/>
      <c r="I1673" s="3">
        <f ca="1">IFERROR(_xludf.XLOOKUP("Seguro",PARAMETROS_IMPORTACION!$A:$A,PARAMETROS_IMPORTACION!$C:$C,0),0)</f>
        <v>0</v>
      </c>
      <c r="J1673" s="3">
        <f ca="1">IFERROR(_xludf.XLOOKUP("Arancel",PARAMETROS_IMPORTACION!$A:$A,PARAMETROS_IMPORTACION!$C:$C,0),0)</f>
        <v>0</v>
      </c>
      <c r="K1673" s="2">
        <f ca="1">IFERROR(_xludf.XLOOKUP("Gastos_Aduana",PARAMETROS_IMPORTACION!$A:$A,PARAMETROS_IMPORTACION!$C:$C,0),0)</f>
        <v>0</v>
      </c>
      <c r="L1673" s="2">
        <f t="shared" si="53"/>
        <v>0</v>
      </c>
    </row>
    <row r="1674" spans="5:12" x14ac:dyDescent="0.35">
      <c r="E1674" s="2"/>
      <c r="F1674" s="2">
        <f>_xlfn.XLOOKUP(D1674,TIPOS_CAMBIO!A:A,TIPOS_CAMBIO!B:B,"",0)</f>
        <v>0</v>
      </c>
      <c r="G1674" s="3">
        <f t="shared" si="52"/>
        <v>0</v>
      </c>
      <c r="H1674" s="3"/>
      <c r="I1674" s="3">
        <f ca="1">IFERROR(_xludf.XLOOKUP("Seguro",PARAMETROS_IMPORTACION!$A:$A,PARAMETROS_IMPORTACION!$C:$C,0),0)</f>
        <v>0</v>
      </c>
      <c r="J1674" s="3">
        <f ca="1">IFERROR(_xludf.XLOOKUP("Arancel",PARAMETROS_IMPORTACION!$A:$A,PARAMETROS_IMPORTACION!$C:$C,0),0)</f>
        <v>0</v>
      </c>
      <c r="K1674" s="2">
        <f ca="1">IFERROR(_xludf.XLOOKUP("Gastos_Aduana",PARAMETROS_IMPORTACION!$A:$A,PARAMETROS_IMPORTACION!$C:$C,0),0)</f>
        <v>0</v>
      </c>
      <c r="L1674" s="2">
        <f t="shared" si="53"/>
        <v>0</v>
      </c>
    </row>
    <row r="1675" spans="5:12" x14ac:dyDescent="0.35">
      <c r="E1675" s="2"/>
      <c r="F1675" s="2">
        <f>_xlfn.XLOOKUP(D1675,TIPOS_CAMBIO!A:A,TIPOS_CAMBIO!B:B,"",0)</f>
        <v>0</v>
      </c>
      <c r="G1675" s="3">
        <f t="shared" si="52"/>
        <v>0</v>
      </c>
      <c r="H1675" s="3"/>
      <c r="I1675" s="3">
        <f ca="1">IFERROR(_xludf.XLOOKUP("Seguro",PARAMETROS_IMPORTACION!$A:$A,PARAMETROS_IMPORTACION!$C:$C,0),0)</f>
        <v>0</v>
      </c>
      <c r="J1675" s="3">
        <f ca="1">IFERROR(_xludf.XLOOKUP("Arancel",PARAMETROS_IMPORTACION!$A:$A,PARAMETROS_IMPORTACION!$C:$C,0),0)</f>
        <v>0</v>
      </c>
      <c r="K1675" s="2">
        <f ca="1">IFERROR(_xludf.XLOOKUP("Gastos_Aduana",PARAMETROS_IMPORTACION!$A:$A,PARAMETROS_IMPORTACION!$C:$C,0),0)</f>
        <v>0</v>
      </c>
      <c r="L1675" s="2">
        <f t="shared" si="53"/>
        <v>0</v>
      </c>
    </row>
    <row r="1676" spans="5:12" x14ac:dyDescent="0.35">
      <c r="E1676" s="2"/>
      <c r="F1676" s="2">
        <f>_xlfn.XLOOKUP(D1676,TIPOS_CAMBIO!A:A,TIPOS_CAMBIO!B:B,"",0)</f>
        <v>0</v>
      </c>
      <c r="G1676" s="3">
        <f t="shared" si="52"/>
        <v>0</v>
      </c>
      <c r="H1676" s="3"/>
      <c r="I1676" s="3">
        <f ca="1">IFERROR(_xludf.XLOOKUP("Seguro",PARAMETROS_IMPORTACION!$A:$A,PARAMETROS_IMPORTACION!$C:$C,0),0)</f>
        <v>0</v>
      </c>
      <c r="J1676" s="3">
        <f ca="1">IFERROR(_xludf.XLOOKUP("Arancel",PARAMETROS_IMPORTACION!$A:$A,PARAMETROS_IMPORTACION!$C:$C,0),0)</f>
        <v>0</v>
      </c>
      <c r="K1676" s="2">
        <f ca="1">IFERROR(_xludf.XLOOKUP("Gastos_Aduana",PARAMETROS_IMPORTACION!$A:$A,PARAMETROS_IMPORTACION!$C:$C,0),0)</f>
        <v>0</v>
      </c>
      <c r="L1676" s="2">
        <f t="shared" si="53"/>
        <v>0</v>
      </c>
    </row>
    <row r="1677" spans="5:12" x14ac:dyDescent="0.35">
      <c r="E1677" s="2"/>
      <c r="F1677" s="2">
        <f>_xlfn.XLOOKUP(D1677,TIPOS_CAMBIO!A:A,TIPOS_CAMBIO!B:B,"",0)</f>
        <v>0</v>
      </c>
      <c r="G1677" s="3">
        <f t="shared" si="52"/>
        <v>0</v>
      </c>
      <c r="H1677" s="3"/>
      <c r="I1677" s="3">
        <f ca="1">IFERROR(_xludf.XLOOKUP("Seguro",PARAMETROS_IMPORTACION!$A:$A,PARAMETROS_IMPORTACION!$C:$C,0),0)</f>
        <v>0</v>
      </c>
      <c r="J1677" s="3">
        <f ca="1">IFERROR(_xludf.XLOOKUP("Arancel",PARAMETROS_IMPORTACION!$A:$A,PARAMETROS_IMPORTACION!$C:$C,0),0)</f>
        <v>0</v>
      </c>
      <c r="K1677" s="2">
        <f ca="1">IFERROR(_xludf.XLOOKUP("Gastos_Aduana",PARAMETROS_IMPORTACION!$A:$A,PARAMETROS_IMPORTACION!$C:$C,0),0)</f>
        <v>0</v>
      </c>
      <c r="L1677" s="2">
        <f t="shared" si="53"/>
        <v>0</v>
      </c>
    </row>
    <row r="1678" spans="5:12" x14ac:dyDescent="0.35">
      <c r="E1678" s="2"/>
      <c r="F1678" s="2">
        <f>_xlfn.XLOOKUP(D1678,TIPOS_CAMBIO!A:A,TIPOS_CAMBIO!B:B,"",0)</f>
        <v>0</v>
      </c>
      <c r="G1678" s="3">
        <f t="shared" si="52"/>
        <v>0</v>
      </c>
      <c r="H1678" s="3"/>
      <c r="I1678" s="3">
        <f ca="1">IFERROR(_xludf.XLOOKUP("Seguro",PARAMETROS_IMPORTACION!$A:$A,PARAMETROS_IMPORTACION!$C:$C,0),0)</f>
        <v>0</v>
      </c>
      <c r="J1678" s="3">
        <f ca="1">IFERROR(_xludf.XLOOKUP("Arancel",PARAMETROS_IMPORTACION!$A:$A,PARAMETROS_IMPORTACION!$C:$C,0),0)</f>
        <v>0</v>
      </c>
      <c r="K1678" s="2">
        <f ca="1">IFERROR(_xludf.XLOOKUP("Gastos_Aduana",PARAMETROS_IMPORTACION!$A:$A,PARAMETROS_IMPORTACION!$C:$C,0),0)</f>
        <v>0</v>
      </c>
      <c r="L1678" s="2">
        <f t="shared" si="53"/>
        <v>0</v>
      </c>
    </row>
    <row r="1679" spans="5:12" x14ac:dyDescent="0.35">
      <c r="E1679" s="2"/>
      <c r="F1679" s="2">
        <f>_xlfn.XLOOKUP(D1679,TIPOS_CAMBIO!A:A,TIPOS_CAMBIO!B:B,"",0)</f>
        <v>0</v>
      </c>
      <c r="G1679" s="3">
        <f t="shared" si="52"/>
        <v>0</v>
      </c>
      <c r="H1679" s="3"/>
      <c r="I1679" s="3">
        <f ca="1">IFERROR(_xludf.XLOOKUP("Seguro",PARAMETROS_IMPORTACION!$A:$A,PARAMETROS_IMPORTACION!$C:$C,0),0)</f>
        <v>0</v>
      </c>
      <c r="J1679" s="3">
        <f ca="1">IFERROR(_xludf.XLOOKUP("Arancel",PARAMETROS_IMPORTACION!$A:$A,PARAMETROS_IMPORTACION!$C:$C,0),0)</f>
        <v>0</v>
      </c>
      <c r="K1679" s="2">
        <f ca="1">IFERROR(_xludf.XLOOKUP("Gastos_Aduana",PARAMETROS_IMPORTACION!$A:$A,PARAMETROS_IMPORTACION!$C:$C,0),0)</f>
        <v>0</v>
      </c>
      <c r="L1679" s="2">
        <f t="shared" si="53"/>
        <v>0</v>
      </c>
    </row>
    <row r="1680" spans="5:12" x14ac:dyDescent="0.35">
      <c r="E1680" s="2"/>
      <c r="F1680" s="2">
        <f>_xlfn.XLOOKUP(D1680,TIPOS_CAMBIO!A:A,TIPOS_CAMBIO!B:B,"",0)</f>
        <v>0</v>
      </c>
      <c r="G1680" s="3">
        <f t="shared" si="52"/>
        <v>0</v>
      </c>
      <c r="H1680" s="3"/>
      <c r="I1680" s="3">
        <f ca="1">IFERROR(_xludf.XLOOKUP("Seguro",PARAMETROS_IMPORTACION!$A:$A,PARAMETROS_IMPORTACION!$C:$C,0),0)</f>
        <v>0</v>
      </c>
      <c r="J1680" s="3">
        <f ca="1">IFERROR(_xludf.XLOOKUP("Arancel",PARAMETROS_IMPORTACION!$A:$A,PARAMETROS_IMPORTACION!$C:$C,0),0)</f>
        <v>0</v>
      </c>
      <c r="K1680" s="2">
        <f ca="1">IFERROR(_xludf.XLOOKUP("Gastos_Aduana",PARAMETROS_IMPORTACION!$A:$A,PARAMETROS_IMPORTACION!$C:$C,0),0)</f>
        <v>0</v>
      </c>
      <c r="L1680" s="2">
        <f t="shared" si="53"/>
        <v>0</v>
      </c>
    </row>
    <row r="1681" spans="5:12" x14ac:dyDescent="0.35">
      <c r="E1681" s="2"/>
      <c r="F1681" s="2">
        <f>_xlfn.XLOOKUP(D1681,TIPOS_CAMBIO!A:A,TIPOS_CAMBIO!B:B,"",0)</f>
        <v>0</v>
      </c>
      <c r="G1681" s="3">
        <f t="shared" si="52"/>
        <v>0</v>
      </c>
      <c r="H1681" s="3"/>
      <c r="I1681" s="3">
        <f ca="1">IFERROR(_xludf.XLOOKUP("Seguro",PARAMETROS_IMPORTACION!$A:$A,PARAMETROS_IMPORTACION!$C:$C,0),0)</f>
        <v>0</v>
      </c>
      <c r="J1681" s="3">
        <f ca="1">IFERROR(_xludf.XLOOKUP("Arancel",PARAMETROS_IMPORTACION!$A:$A,PARAMETROS_IMPORTACION!$C:$C,0),0)</f>
        <v>0</v>
      </c>
      <c r="K1681" s="2">
        <f ca="1">IFERROR(_xludf.XLOOKUP("Gastos_Aduana",PARAMETROS_IMPORTACION!$A:$A,PARAMETROS_IMPORTACION!$C:$C,0),0)</f>
        <v>0</v>
      </c>
      <c r="L1681" s="2">
        <f t="shared" si="53"/>
        <v>0</v>
      </c>
    </row>
    <row r="1682" spans="5:12" x14ac:dyDescent="0.35">
      <c r="E1682" s="2"/>
      <c r="F1682" s="2">
        <f>_xlfn.XLOOKUP(D1682,TIPOS_CAMBIO!A:A,TIPOS_CAMBIO!B:B,"",0)</f>
        <v>0</v>
      </c>
      <c r="G1682" s="3">
        <f t="shared" si="52"/>
        <v>0</v>
      </c>
      <c r="H1682" s="3"/>
      <c r="I1682" s="3">
        <f ca="1">IFERROR(_xludf.XLOOKUP("Seguro",PARAMETROS_IMPORTACION!$A:$A,PARAMETROS_IMPORTACION!$C:$C,0),0)</f>
        <v>0</v>
      </c>
      <c r="J1682" s="3">
        <f ca="1">IFERROR(_xludf.XLOOKUP("Arancel",PARAMETROS_IMPORTACION!$A:$A,PARAMETROS_IMPORTACION!$C:$C,0),0)</f>
        <v>0</v>
      </c>
      <c r="K1682" s="2">
        <f ca="1">IFERROR(_xludf.XLOOKUP("Gastos_Aduana",PARAMETROS_IMPORTACION!$A:$A,PARAMETROS_IMPORTACION!$C:$C,0),0)</f>
        <v>0</v>
      </c>
      <c r="L1682" s="2">
        <f t="shared" si="53"/>
        <v>0</v>
      </c>
    </row>
    <row r="1683" spans="5:12" x14ac:dyDescent="0.35">
      <c r="E1683" s="2"/>
      <c r="F1683" s="2">
        <f>_xlfn.XLOOKUP(D1683,TIPOS_CAMBIO!A:A,TIPOS_CAMBIO!B:B,"",0)</f>
        <v>0</v>
      </c>
      <c r="G1683" s="3">
        <f t="shared" si="52"/>
        <v>0</v>
      </c>
      <c r="H1683" s="3"/>
      <c r="I1683" s="3">
        <f ca="1">IFERROR(_xludf.XLOOKUP("Seguro",PARAMETROS_IMPORTACION!$A:$A,PARAMETROS_IMPORTACION!$C:$C,0),0)</f>
        <v>0</v>
      </c>
      <c r="J1683" s="3">
        <f ca="1">IFERROR(_xludf.XLOOKUP("Arancel",PARAMETROS_IMPORTACION!$A:$A,PARAMETROS_IMPORTACION!$C:$C,0),0)</f>
        <v>0</v>
      </c>
      <c r="K1683" s="2">
        <f ca="1">IFERROR(_xludf.XLOOKUP("Gastos_Aduana",PARAMETROS_IMPORTACION!$A:$A,PARAMETROS_IMPORTACION!$C:$C,0),0)</f>
        <v>0</v>
      </c>
      <c r="L1683" s="2">
        <f t="shared" si="53"/>
        <v>0</v>
      </c>
    </row>
    <row r="1684" spans="5:12" x14ac:dyDescent="0.35">
      <c r="E1684" s="2"/>
      <c r="F1684" s="2">
        <f>_xlfn.XLOOKUP(D1684,TIPOS_CAMBIO!A:A,TIPOS_CAMBIO!B:B,"",0)</f>
        <v>0</v>
      </c>
      <c r="G1684" s="3">
        <f t="shared" si="52"/>
        <v>0</v>
      </c>
      <c r="H1684" s="3"/>
      <c r="I1684" s="3">
        <f ca="1">IFERROR(_xludf.XLOOKUP("Seguro",PARAMETROS_IMPORTACION!$A:$A,PARAMETROS_IMPORTACION!$C:$C,0),0)</f>
        <v>0</v>
      </c>
      <c r="J1684" s="3">
        <f ca="1">IFERROR(_xludf.XLOOKUP("Arancel",PARAMETROS_IMPORTACION!$A:$A,PARAMETROS_IMPORTACION!$C:$C,0),0)</f>
        <v>0</v>
      </c>
      <c r="K1684" s="2">
        <f ca="1">IFERROR(_xludf.XLOOKUP("Gastos_Aduana",PARAMETROS_IMPORTACION!$A:$A,PARAMETROS_IMPORTACION!$C:$C,0),0)</f>
        <v>0</v>
      </c>
      <c r="L1684" s="2">
        <f t="shared" si="53"/>
        <v>0</v>
      </c>
    </row>
    <row r="1685" spans="5:12" x14ac:dyDescent="0.35">
      <c r="E1685" s="2"/>
      <c r="F1685" s="2">
        <f>_xlfn.XLOOKUP(D1685,TIPOS_CAMBIO!A:A,TIPOS_CAMBIO!B:B,"",0)</f>
        <v>0</v>
      </c>
      <c r="G1685" s="3">
        <f t="shared" si="52"/>
        <v>0</v>
      </c>
      <c r="H1685" s="3"/>
      <c r="I1685" s="3">
        <f ca="1">IFERROR(_xludf.XLOOKUP("Seguro",PARAMETROS_IMPORTACION!$A:$A,PARAMETROS_IMPORTACION!$C:$C,0),0)</f>
        <v>0</v>
      </c>
      <c r="J1685" s="3">
        <f ca="1">IFERROR(_xludf.XLOOKUP("Arancel",PARAMETROS_IMPORTACION!$A:$A,PARAMETROS_IMPORTACION!$C:$C,0),0)</f>
        <v>0</v>
      </c>
      <c r="K1685" s="2">
        <f ca="1">IFERROR(_xludf.XLOOKUP("Gastos_Aduana",PARAMETROS_IMPORTACION!$A:$A,PARAMETROS_IMPORTACION!$C:$C,0),0)</f>
        <v>0</v>
      </c>
      <c r="L1685" s="2">
        <f t="shared" si="53"/>
        <v>0</v>
      </c>
    </row>
    <row r="1686" spans="5:12" x14ac:dyDescent="0.35">
      <c r="E1686" s="2"/>
      <c r="F1686" s="2">
        <f>_xlfn.XLOOKUP(D1686,TIPOS_CAMBIO!A:A,TIPOS_CAMBIO!B:B,"",0)</f>
        <v>0</v>
      </c>
      <c r="G1686" s="3">
        <f t="shared" si="52"/>
        <v>0</v>
      </c>
      <c r="H1686" s="3"/>
      <c r="I1686" s="3">
        <f ca="1">IFERROR(_xludf.XLOOKUP("Seguro",PARAMETROS_IMPORTACION!$A:$A,PARAMETROS_IMPORTACION!$C:$C,0),0)</f>
        <v>0</v>
      </c>
      <c r="J1686" s="3">
        <f ca="1">IFERROR(_xludf.XLOOKUP("Arancel",PARAMETROS_IMPORTACION!$A:$A,PARAMETROS_IMPORTACION!$C:$C,0),0)</f>
        <v>0</v>
      </c>
      <c r="K1686" s="2">
        <f ca="1">IFERROR(_xludf.XLOOKUP("Gastos_Aduana",PARAMETROS_IMPORTACION!$A:$A,PARAMETROS_IMPORTACION!$C:$C,0),0)</f>
        <v>0</v>
      </c>
      <c r="L1686" s="2">
        <f t="shared" si="53"/>
        <v>0</v>
      </c>
    </row>
    <row r="1687" spans="5:12" x14ac:dyDescent="0.35">
      <c r="E1687" s="2"/>
      <c r="F1687" s="2">
        <f>_xlfn.XLOOKUP(D1687,TIPOS_CAMBIO!A:A,TIPOS_CAMBIO!B:B,"",0)</f>
        <v>0</v>
      </c>
      <c r="G1687" s="3">
        <f t="shared" si="52"/>
        <v>0</v>
      </c>
      <c r="H1687" s="3"/>
      <c r="I1687" s="3">
        <f ca="1">IFERROR(_xludf.XLOOKUP("Seguro",PARAMETROS_IMPORTACION!$A:$A,PARAMETROS_IMPORTACION!$C:$C,0),0)</f>
        <v>0</v>
      </c>
      <c r="J1687" s="3">
        <f ca="1">IFERROR(_xludf.XLOOKUP("Arancel",PARAMETROS_IMPORTACION!$A:$A,PARAMETROS_IMPORTACION!$C:$C,0),0)</f>
        <v>0</v>
      </c>
      <c r="K1687" s="2">
        <f ca="1">IFERROR(_xludf.XLOOKUP("Gastos_Aduana",PARAMETROS_IMPORTACION!$A:$A,PARAMETROS_IMPORTACION!$C:$C,0),0)</f>
        <v>0</v>
      </c>
      <c r="L1687" s="2">
        <f t="shared" si="53"/>
        <v>0</v>
      </c>
    </row>
    <row r="1688" spans="5:12" x14ac:dyDescent="0.35">
      <c r="E1688" s="2"/>
      <c r="F1688" s="2">
        <f>_xlfn.XLOOKUP(D1688,TIPOS_CAMBIO!A:A,TIPOS_CAMBIO!B:B,"",0)</f>
        <v>0</v>
      </c>
      <c r="G1688" s="3">
        <f t="shared" si="52"/>
        <v>0</v>
      </c>
      <c r="H1688" s="3"/>
      <c r="I1688" s="3">
        <f ca="1">IFERROR(_xludf.XLOOKUP("Seguro",PARAMETROS_IMPORTACION!$A:$A,PARAMETROS_IMPORTACION!$C:$C,0),0)</f>
        <v>0</v>
      </c>
      <c r="J1688" s="3">
        <f ca="1">IFERROR(_xludf.XLOOKUP("Arancel",PARAMETROS_IMPORTACION!$A:$A,PARAMETROS_IMPORTACION!$C:$C,0),0)</f>
        <v>0</v>
      </c>
      <c r="K1688" s="2">
        <f ca="1">IFERROR(_xludf.XLOOKUP("Gastos_Aduana",PARAMETROS_IMPORTACION!$A:$A,PARAMETROS_IMPORTACION!$C:$C,0),0)</f>
        <v>0</v>
      </c>
      <c r="L1688" s="2">
        <f t="shared" si="53"/>
        <v>0</v>
      </c>
    </row>
    <row r="1689" spans="5:12" x14ac:dyDescent="0.35">
      <c r="E1689" s="2"/>
      <c r="F1689" s="2">
        <f>_xlfn.XLOOKUP(D1689,TIPOS_CAMBIO!A:A,TIPOS_CAMBIO!B:B,"",0)</f>
        <v>0</v>
      </c>
      <c r="G1689" s="3">
        <f t="shared" si="52"/>
        <v>0</v>
      </c>
      <c r="H1689" s="3"/>
      <c r="I1689" s="3">
        <f ca="1">IFERROR(_xludf.XLOOKUP("Seguro",PARAMETROS_IMPORTACION!$A:$A,PARAMETROS_IMPORTACION!$C:$C,0),0)</f>
        <v>0</v>
      </c>
      <c r="J1689" s="3">
        <f ca="1">IFERROR(_xludf.XLOOKUP("Arancel",PARAMETROS_IMPORTACION!$A:$A,PARAMETROS_IMPORTACION!$C:$C,0),0)</f>
        <v>0</v>
      </c>
      <c r="K1689" s="2">
        <f ca="1">IFERROR(_xludf.XLOOKUP("Gastos_Aduana",PARAMETROS_IMPORTACION!$A:$A,PARAMETROS_IMPORTACION!$C:$C,0),0)</f>
        <v>0</v>
      </c>
      <c r="L1689" s="2">
        <f t="shared" si="53"/>
        <v>0</v>
      </c>
    </row>
    <row r="1690" spans="5:12" x14ac:dyDescent="0.35">
      <c r="E1690" s="2"/>
      <c r="F1690" s="2">
        <f>_xlfn.XLOOKUP(D1690,TIPOS_CAMBIO!A:A,TIPOS_CAMBIO!B:B,"",0)</f>
        <v>0</v>
      </c>
      <c r="G1690" s="3">
        <f t="shared" si="52"/>
        <v>0</v>
      </c>
      <c r="H1690" s="3"/>
      <c r="I1690" s="3">
        <f ca="1">IFERROR(_xludf.XLOOKUP("Seguro",PARAMETROS_IMPORTACION!$A:$A,PARAMETROS_IMPORTACION!$C:$C,0),0)</f>
        <v>0</v>
      </c>
      <c r="J1690" s="3">
        <f ca="1">IFERROR(_xludf.XLOOKUP("Arancel",PARAMETROS_IMPORTACION!$A:$A,PARAMETROS_IMPORTACION!$C:$C,0),0)</f>
        <v>0</v>
      </c>
      <c r="K1690" s="2">
        <f ca="1">IFERROR(_xludf.XLOOKUP("Gastos_Aduana",PARAMETROS_IMPORTACION!$A:$A,PARAMETROS_IMPORTACION!$C:$C,0),0)</f>
        <v>0</v>
      </c>
      <c r="L1690" s="2">
        <f t="shared" si="53"/>
        <v>0</v>
      </c>
    </row>
    <row r="1691" spans="5:12" x14ac:dyDescent="0.35">
      <c r="E1691" s="2"/>
      <c r="F1691" s="2">
        <f>_xlfn.XLOOKUP(D1691,TIPOS_CAMBIO!A:A,TIPOS_CAMBIO!B:B,"",0)</f>
        <v>0</v>
      </c>
      <c r="G1691" s="3">
        <f t="shared" si="52"/>
        <v>0</v>
      </c>
      <c r="H1691" s="3"/>
      <c r="I1691" s="3">
        <f ca="1">IFERROR(_xludf.XLOOKUP("Seguro",PARAMETROS_IMPORTACION!$A:$A,PARAMETROS_IMPORTACION!$C:$C,0),0)</f>
        <v>0</v>
      </c>
      <c r="J1691" s="3">
        <f ca="1">IFERROR(_xludf.XLOOKUP("Arancel",PARAMETROS_IMPORTACION!$A:$A,PARAMETROS_IMPORTACION!$C:$C,0),0)</f>
        <v>0</v>
      </c>
      <c r="K1691" s="2">
        <f ca="1">IFERROR(_xludf.XLOOKUP("Gastos_Aduana",PARAMETROS_IMPORTACION!$A:$A,PARAMETROS_IMPORTACION!$C:$C,0),0)</f>
        <v>0</v>
      </c>
      <c r="L1691" s="2">
        <f t="shared" si="53"/>
        <v>0</v>
      </c>
    </row>
    <row r="1692" spans="5:12" x14ac:dyDescent="0.35">
      <c r="E1692" s="2"/>
      <c r="F1692" s="2">
        <f>_xlfn.XLOOKUP(D1692,TIPOS_CAMBIO!A:A,TIPOS_CAMBIO!B:B,"",0)</f>
        <v>0</v>
      </c>
      <c r="G1692" s="3">
        <f t="shared" si="52"/>
        <v>0</v>
      </c>
      <c r="H1692" s="3"/>
      <c r="I1692" s="3">
        <f ca="1">IFERROR(_xludf.XLOOKUP("Seguro",PARAMETROS_IMPORTACION!$A:$A,PARAMETROS_IMPORTACION!$C:$C,0),0)</f>
        <v>0</v>
      </c>
      <c r="J1692" s="3">
        <f ca="1">IFERROR(_xludf.XLOOKUP("Arancel",PARAMETROS_IMPORTACION!$A:$A,PARAMETROS_IMPORTACION!$C:$C,0),0)</f>
        <v>0</v>
      </c>
      <c r="K1692" s="2">
        <f ca="1">IFERROR(_xludf.XLOOKUP("Gastos_Aduana",PARAMETROS_IMPORTACION!$A:$A,PARAMETROS_IMPORTACION!$C:$C,0),0)</f>
        <v>0</v>
      </c>
      <c r="L1692" s="2">
        <f t="shared" si="53"/>
        <v>0</v>
      </c>
    </row>
    <row r="1693" spans="5:12" x14ac:dyDescent="0.35">
      <c r="E1693" s="2"/>
      <c r="F1693" s="2">
        <f>_xlfn.XLOOKUP(D1693,TIPOS_CAMBIO!A:A,TIPOS_CAMBIO!B:B,"",0)</f>
        <v>0</v>
      </c>
      <c r="G1693" s="3">
        <f t="shared" si="52"/>
        <v>0</v>
      </c>
      <c r="H1693" s="3"/>
      <c r="I1693" s="3">
        <f ca="1">IFERROR(_xludf.XLOOKUP("Seguro",PARAMETROS_IMPORTACION!$A:$A,PARAMETROS_IMPORTACION!$C:$C,0),0)</f>
        <v>0</v>
      </c>
      <c r="J1693" s="3">
        <f ca="1">IFERROR(_xludf.XLOOKUP("Arancel",PARAMETROS_IMPORTACION!$A:$A,PARAMETROS_IMPORTACION!$C:$C,0),0)</f>
        <v>0</v>
      </c>
      <c r="K1693" s="2">
        <f ca="1">IFERROR(_xludf.XLOOKUP("Gastos_Aduana",PARAMETROS_IMPORTACION!$A:$A,PARAMETROS_IMPORTACION!$C:$C,0),0)</f>
        <v>0</v>
      </c>
      <c r="L1693" s="2">
        <f t="shared" si="53"/>
        <v>0</v>
      </c>
    </row>
    <row r="1694" spans="5:12" x14ac:dyDescent="0.35">
      <c r="E1694" s="2"/>
      <c r="F1694" s="2">
        <f>_xlfn.XLOOKUP(D1694,TIPOS_CAMBIO!A:A,TIPOS_CAMBIO!B:B,"",0)</f>
        <v>0</v>
      </c>
      <c r="G1694" s="3">
        <f t="shared" si="52"/>
        <v>0</v>
      </c>
      <c r="H1694" s="3"/>
      <c r="I1694" s="3">
        <f ca="1">IFERROR(_xludf.XLOOKUP("Seguro",PARAMETROS_IMPORTACION!$A:$A,PARAMETROS_IMPORTACION!$C:$C,0),0)</f>
        <v>0</v>
      </c>
      <c r="J1694" s="3">
        <f ca="1">IFERROR(_xludf.XLOOKUP("Arancel",PARAMETROS_IMPORTACION!$A:$A,PARAMETROS_IMPORTACION!$C:$C,0),0)</f>
        <v>0</v>
      </c>
      <c r="K1694" s="2">
        <f ca="1">IFERROR(_xludf.XLOOKUP("Gastos_Aduana",PARAMETROS_IMPORTACION!$A:$A,PARAMETROS_IMPORTACION!$C:$C,0),0)</f>
        <v>0</v>
      </c>
      <c r="L1694" s="2">
        <f t="shared" si="53"/>
        <v>0</v>
      </c>
    </row>
    <row r="1695" spans="5:12" x14ac:dyDescent="0.35">
      <c r="E1695" s="2"/>
      <c r="F1695" s="2">
        <f>_xlfn.XLOOKUP(D1695,TIPOS_CAMBIO!A:A,TIPOS_CAMBIO!B:B,"",0)</f>
        <v>0</v>
      </c>
      <c r="G1695" s="3">
        <f t="shared" si="52"/>
        <v>0</v>
      </c>
      <c r="H1695" s="3"/>
      <c r="I1695" s="3">
        <f ca="1">IFERROR(_xludf.XLOOKUP("Seguro",PARAMETROS_IMPORTACION!$A:$A,PARAMETROS_IMPORTACION!$C:$C,0),0)</f>
        <v>0</v>
      </c>
      <c r="J1695" s="3">
        <f ca="1">IFERROR(_xludf.XLOOKUP("Arancel",PARAMETROS_IMPORTACION!$A:$A,PARAMETROS_IMPORTACION!$C:$C,0),0)</f>
        <v>0</v>
      </c>
      <c r="K1695" s="2">
        <f ca="1">IFERROR(_xludf.XLOOKUP("Gastos_Aduana",PARAMETROS_IMPORTACION!$A:$A,PARAMETROS_IMPORTACION!$C:$C,0),0)</f>
        <v>0</v>
      </c>
      <c r="L1695" s="2">
        <f t="shared" si="53"/>
        <v>0</v>
      </c>
    </row>
    <row r="1696" spans="5:12" x14ac:dyDescent="0.35">
      <c r="E1696" s="2"/>
      <c r="F1696" s="2">
        <f>_xlfn.XLOOKUP(D1696,TIPOS_CAMBIO!A:A,TIPOS_CAMBIO!B:B,"",0)</f>
        <v>0</v>
      </c>
      <c r="G1696" s="3">
        <f t="shared" si="52"/>
        <v>0</v>
      </c>
      <c r="H1696" s="3"/>
      <c r="I1696" s="3">
        <f ca="1">IFERROR(_xludf.XLOOKUP("Seguro",PARAMETROS_IMPORTACION!$A:$A,PARAMETROS_IMPORTACION!$C:$C,0),0)</f>
        <v>0</v>
      </c>
      <c r="J1696" s="3">
        <f ca="1">IFERROR(_xludf.XLOOKUP("Arancel",PARAMETROS_IMPORTACION!$A:$A,PARAMETROS_IMPORTACION!$C:$C,0),0)</f>
        <v>0</v>
      </c>
      <c r="K1696" s="2">
        <f ca="1">IFERROR(_xludf.XLOOKUP("Gastos_Aduana",PARAMETROS_IMPORTACION!$A:$A,PARAMETROS_IMPORTACION!$C:$C,0),0)</f>
        <v>0</v>
      </c>
      <c r="L1696" s="2">
        <f t="shared" si="53"/>
        <v>0</v>
      </c>
    </row>
    <row r="1697" spans="5:12" x14ac:dyDescent="0.35">
      <c r="E1697" s="2"/>
      <c r="F1697" s="2">
        <f>_xlfn.XLOOKUP(D1697,TIPOS_CAMBIO!A:A,TIPOS_CAMBIO!B:B,"",0)</f>
        <v>0</v>
      </c>
      <c r="G1697" s="3">
        <f t="shared" si="52"/>
        <v>0</v>
      </c>
      <c r="H1697" s="3"/>
      <c r="I1697" s="3">
        <f ca="1">IFERROR(_xludf.XLOOKUP("Seguro",PARAMETROS_IMPORTACION!$A:$A,PARAMETROS_IMPORTACION!$C:$C,0),0)</f>
        <v>0</v>
      </c>
      <c r="J1697" s="3">
        <f ca="1">IFERROR(_xludf.XLOOKUP("Arancel",PARAMETROS_IMPORTACION!$A:$A,PARAMETROS_IMPORTACION!$C:$C,0),0)</f>
        <v>0</v>
      </c>
      <c r="K1697" s="2">
        <f ca="1">IFERROR(_xludf.XLOOKUP("Gastos_Aduana",PARAMETROS_IMPORTACION!$A:$A,PARAMETROS_IMPORTACION!$C:$C,0),0)</f>
        <v>0</v>
      </c>
      <c r="L1697" s="2">
        <f t="shared" si="53"/>
        <v>0</v>
      </c>
    </row>
    <row r="1698" spans="5:12" x14ac:dyDescent="0.35">
      <c r="E1698" s="2"/>
      <c r="F1698" s="2">
        <f>_xlfn.XLOOKUP(D1698,TIPOS_CAMBIO!A:A,TIPOS_CAMBIO!B:B,"",0)</f>
        <v>0</v>
      </c>
      <c r="G1698" s="3">
        <f t="shared" si="52"/>
        <v>0</v>
      </c>
      <c r="H1698" s="3"/>
      <c r="I1698" s="3">
        <f ca="1">IFERROR(_xludf.XLOOKUP("Seguro",PARAMETROS_IMPORTACION!$A:$A,PARAMETROS_IMPORTACION!$C:$C,0),0)</f>
        <v>0</v>
      </c>
      <c r="J1698" s="3">
        <f ca="1">IFERROR(_xludf.XLOOKUP("Arancel",PARAMETROS_IMPORTACION!$A:$A,PARAMETROS_IMPORTACION!$C:$C,0),0)</f>
        <v>0</v>
      </c>
      <c r="K1698" s="2">
        <f ca="1">IFERROR(_xludf.XLOOKUP("Gastos_Aduana",PARAMETROS_IMPORTACION!$A:$A,PARAMETROS_IMPORTACION!$C:$C,0),0)</f>
        <v>0</v>
      </c>
      <c r="L1698" s="2">
        <f t="shared" si="53"/>
        <v>0</v>
      </c>
    </row>
    <row r="1699" spans="5:12" x14ac:dyDescent="0.35">
      <c r="E1699" s="2"/>
      <c r="F1699" s="2">
        <f>_xlfn.XLOOKUP(D1699,TIPOS_CAMBIO!A:A,TIPOS_CAMBIO!B:B,"",0)</f>
        <v>0</v>
      </c>
      <c r="G1699" s="3">
        <f t="shared" si="52"/>
        <v>0</v>
      </c>
      <c r="H1699" s="3"/>
      <c r="I1699" s="3">
        <f ca="1">IFERROR(_xludf.XLOOKUP("Seguro",PARAMETROS_IMPORTACION!$A:$A,PARAMETROS_IMPORTACION!$C:$C,0),0)</f>
        <v>0</v>
      </c>
      <c r="J1699" s="3">
        <f ca="1">IFERROR(_xludf.XLOOKUP("Arancel",PARAMETROS_IMPORTACION!$A:$A,PARAMETROS_IMPORTACION!$C:$C,0),0)</f>
        <v>0</v>
      </c>
      <c r="K1699" s="2">
        <f ca="1">IFERROR(_xludf.XLOOKUP("Gastos_Aduana",PARAMETROS_IMPORTACION!$A:$A,PARAMETROS_IMPORTACION!$C:$C,0),0)</f>
        <v>0</v>
      </c>
      <c r="L1699" s="2">
        <f t="shared" si="53"/>
        <v>0</v>
      </c>
    </row>
    <row r="1700" spans="5:12" x14ac:dyDescent="0.35">
      <c r="E1700" s="2"/>
      <c r="F1700" s="2">
        <f>_xlfn.XLOOKUP(D1700,TIPOS_CAMBIO!A:A,TIPOS_CAMBIO!B:B,"",0)</f>
        <v>0</v>
      </c>
      <c r="G1700" s="3">
        <f t="shared" si="52"/>
        <v>0</v>
      </c>
      <c r="H1700" s="3"/>
      <c r="I1700" s="3">
        <f ca="1">IFERROR(_xludf.XLOOKUP("Seguro",PARAMETROS_IMPORTACION!$A:$A,PARAMETROS_IMPORTACION!$C:$C,0),0)</f>
        <v>0</v>
      </c>
      <c r="J1700" s="3">
        <f ca="1">IFERROR(_xludf.XLOOKUP("Arancel",PARAMETROS_IMPORTACION!$A:$A,PARAMETROS_IMPORTACION!$C:$C,0),0)</f>
        <v>0</v>
      </c>
      <c r="K1700" s="2">
        <f ca="1">IFERROR(_xludf.XLOOKUP("Gastos_Aduana",PARAMETROS_IMPORTACION!$A:$A,PARAMETROS_IMPORTACION!$C:$C,0),0)</f>
        <v>0</v>
      </c>
      <c r="L1700" s="2">
        <f t="shared" si="53"/>
        <v>0</v>
      </c>
    </row>
    <row r="1701" spans="5:12" x14ac:dyDescent="0.35">
      <c r="E1701" s="2"/>
      <c r="F1701" s="2">
        <f>_xlfn.XLOOKUP(D1701,TIPOS_CAMBIO!A:A,TIPOS_CAMBIO!B:B,"",0)</f>
        <v>0</v>
      </c>
      <c r="G1701" s="3">
        <f t="shared" si="52"/>
        <v>0</v>
      </c>
      <c r="H1701" s="3"/>
      <c r="I1701" s="3">
        <f ca="1">IFERROR(_xludf.XLOOKUP("Seguro",PARAMETROS_IMPORTACION!$A:$A,PARAMETROS_IMPORTACION!$C:$C,0),0)</f>
        <v>0</v>
      </c>
      <c r="J1701" s="3">
        <f ca="1">IFERROR(_xludf.XLOOKUP("Arancel",PARAMETROS_IMPORTACION!$A:$A,PARAMETROS_IMPORTACION!$C:$C,0),0)</f>
        <v>0</v>
      </c>
      <c r="K1701" s="2">
        <f ca="1">IFERROR(_xludf.XLOOKUP("Gastos_Aduana",PARAMETROS_IMPORTACION!$A:$A,PARAMETROS_IMPORTACION!$C:$C,0),0)</f>
        <v>0</v>
      </c>
      <c r="L1701" s="2">
        <f t="shared" si="53"/>
        <v>0</v>
      </c>
    </row>
    <row r="1702" spans="5:12" x14ac:dyDescent="0.35">
      <c r="E1702" s="2"/>
      <c r="F1702" s="2">
        <f>_xlfn.XLOOKUP(D1702,TIPOS_CAMBIO!A:A,TIPOS_CAMBIO!B:B,"",0)</f>
        <v>0</v>
      </c>
      <c r="G1702" s="3">
        <f t="shared" si="52"/>
        <v>0</v>
      </c>
      <c r="H1702" s="3"/>
      <c r="I1702" s="3">
        <f ca="1">IFERROR(_xludf.XLOOKUP("Seguro",PARAMETROS_IMPORTACION!$A:$A,PARAMETROS_IMPORTACION!$C:$C,0),0)</f>
        <v>0</v>
      </c>
      <c r="J1702" s="3">
        <f ca="1">IFERROR(_xludf.XLOOKUP("Arancel",PARAMETROS_IMPORTACION!$A:$A,PARAMETROS_IMPORTACION!$C:$C,0),0)</f>
        <v>0</v>
      </c>
      <c r="K1702" s="2">
        <f ca="1">IFERROR(_xludf.XLOOKUP("Gastos_Aduana",PARAMETROS_IMPORTACION!$A:$A,PARAMETROS_IMPORTACION!$C:$C,0),0)</f>
        <v>0</v>
      </c>
      <c r="L1702" s="2">
        <f t="shared" si="53"/>
        <v>0</v>
      </c>
    </row>
    <row r="1703" spans="5:12" x14ac:dyDescent="0.35">
      <c r="E1703" s="2"/>
      <c r="F1703" s="2">
        <f>_xlfn.XLOOKUP(D1703,TIPOS_CAMBIO!A:A,TIPOS_CAMBIO!B:B,"",0)</f>
        <v>0</v>
      </c>
      <c r="G1703" s="3">
        <f t="shared" si="52"/>
        <v>0</v>
      </c>
      <c r="H1703" s="3"/>
      <c r="I1703" s="3">
        <f ca="1">IFERROR(_xludf.XLOOKUP("Seguro",PARAMETROS_IMPORTACION!$A:$A,PARAMETROS_IMPORTACION!$C:$C,0),0)</f>
        <v>0</v>
      </c>
      <c r="J1703" s="3">
        <f ca="1">IFERROR(_xludf.XLOOKUP("Arancel",PARAMETROS_IMPORTACION!$A:$A,PARAMETROS_IMPORTACION!$C:$C,0),0)</f>
        <v>0</v>
      </c>
      <c r="K1703" s="2">
        <f ca="1">IFERROR(_xludf.XLOOKUP("Gastos_Aduana",PARAMETROS_IMPORTACION!$A:$A,PARAMETROS_IMPORTACION!$C:$C,0),0)</f>
        <v>0</v>
      </c>
      <c r="L1703" s="2">
        <f t="shared" si="53"/>
        <v>0</v>
      </c>
    </row>
    <row r="1704" spans="5:12" x14ac:dyDescent="0.35">
      <c r="E1704" s="2"/>
      <c r="F1704" s="2">
        <f>_xlfn.XLOOKUP(D1704,TIPOS_CAMBIO!A:A,TIPOS_CAMBIO!B:B,"",0)</f>
        <v>0</v>
      </c>
      <c r="G1704" s="3">
        <f t="shared" si="52"/>
        <v>0</v>
      </c>
      <c r="H1704" s="3"/>
      <c r="I1704" s="3">
        <f ca="1">IFERROR(_xludf.XLOOKUP("Seguro",PARAMETROS_IMPORTACION!$A:$A,PARAMETROS_IMPORTACION!$C:$C,0),0)</f>
        <v>0</v>
      </c>
      <c r="J1704" s="3">
        <f ca="1">IFERROR(_xludf.XLOOKUP("Arancel",PARAMETROS_IMPORTACION!$A:$A,PARAMETROS_IMPORTACION!$C:$C,0),0)</f>
        <v>0</v>
      </c>
      <c r="K1704" s="2">
        <f ca="1">IFERROR(_xludf.XLOOKUP("Gastos_Aduana",PARAMETROS_IMPORTACION!$A:$A,PARAMETROS_IMPORTACION!$C:$C,0),0)</f>
        <v>0</v>
      </c>
      <c r="L1704" s="2">
        <f t="shared" si="53"/>
        <v>0</v>
      </c>
    </row>
    <row r="1705" spans="5:12" x14ac:dyDescent="0.35">
      <c r="E1705" s="2"/>
      <c r="F1705" s="2">
        <f>_xlfn.XLOOKUP(D1705,TIPOS_CAMBIO!A:A,TIPOS_CAMBIO!B:B,"",0)</f>
        <v>0</v>
      </c>
      <c r="G1705" s="3">
        <f t="shared" si="52"/>
        <v>0</v>
      </c>
      <c r="H1705" s="3"/>
      <c r="I1705" s="3">
        <f ca="1">IFERROR(_xludf.XLOOKUP("Seguro",PARAMETROS_IMPORTACION!$A:$A,PARAMETROS_IMPORTACION!$C:$C,0),0)</f>
        <v>0</v>
      </c>
      <c r="J1705" s="3">
        <f ca="1">IFERROR(_xludf.XLOOKUP("Arancel",PARAMETROS_IMPORTACION!$A:$A,PARAMETROS_IMPORTACION!$C:$C,0),0)</f>
        <v>0</v>
      </c>
      <c r="K1705" s="2">
        <f ca="1">IFERROR(_xludf.XLOOKUP("Gastos_Aduana",PARAMETROS_IMPORTACION!$A:$A,PARAMETROS_IMPORTACION!$C:$C,0),0)</f>
        <v>0</v>
      </c>
      <c r="L1705" s="2">
        <f t="shared" si="53"/>
        <v>0</v>
      </c>
    </row>
    <row r="1706" spans="5:12" x14ac:dyDescent="0.35">
      <c r="E1706" s="2"/>
      <c r="F1706" s="2">
        <f>_xlfn.XLOOKUP(D1706,TIPOS_CAMBIO!A:A,TIPOS_CAMBIO!B:B,"",0)</f>
        <v>0</v>
      </c>
      <c r="G1706" s="3">
        <f t="shared" si="52"/>
        <v>0</v>
      </c>
      <c r="H1706" s="3"/>
      <c r="I1706" s="3">
        <f ca="1">IFERROR(_xludf.XLOOKUP("Seguro",PARAMETROS_IMPORTACION!$A:$A,PARAMETROS_IMPORTACION!$C:$C,0),0)</f>
        <v>0</v>
      </c>
      <c r="J1706" s="3">
        <f ca="1">IFERROR(_xludf.XLOOKUP("Arancel",PARAMETROS_IMPORTACION!$A:$A,PARAMETROS_IMPORTACION!$C:$C,0),0)</f>
        <v>0</v>
      </c>
      <c r="K1706" s="2">
        <f ca="1">IFERROR(_xludf.XLOOKUP("Gastos_Aduana",PARAMETROS_IMPORTACION!$A:$A,PARAMETROS_IMPORTACION!$C:$C,0),0)</f>
        <v>0</v>
      </c>
      <c r="L1706" s="2">
        <f t="shared" si="53"/>
        <v>0</v>
      </c>
    </row>
    <row r="1707" spans="5:12" x14ac:dyDescent="0.35">
      <c r="E1707" s="2"/>
      <c r="F1707" s="2">
        <f>_xlfn.XLOOKUP(D1707,TIPOS_CAMBIO!A:A,TIPOS_CAMBIO!B:B,"",0)</f>
        <v>0</v>
      </c>
      <c r="G1707" s="3">
        <f t="shared" si="52"/>
        <v>0</v>
      </c>
      <c r="H1707" s="3"/>
      <c r="I1707" s="3">
        <f ca="1">IFERROR(_xludf.XLOOKUP("Seguro",PARAMETROS_IMPORTACION!$A:$A,PARAMETROS_IMPORTACION!$C:$C,0),0)</f>
        <v>0</v>
      </c>
      <c r="J1707" s="3">
        <f ca="1">IFERROR(_xludf.XLOOKUP("Arancel",PARAMETROS_IMPORTACION!$A:$A,PARAMETROS_IMPORTACION!$C:$C,0),0)</f>
        <v>0</v>
      </c>
      <c r="K1707" s="2">
        <f ca="1">IFERROR(_xludf.XLOOKUP("Gastos_Aduana",PARAMETROS_IMPORTACION!$A:$A,PARAMETROS_IMPORTACION!$C:$C,0),0)</f>
        <v>0</v>
      </c>
      <c r="L1707" s="2">
        <f t="shared" si="53"/>
        <v>0</v>
      </c>
    </row>
    <row r="1708" spans="5:12" x14ac:dyDescent="0.35">
      <c r="E1708" s="2"/>
      <c r="F1708" s="2">
        <f>_xlfn.XLOOKUP(D1708,TIPOS_CAMBIO!A:A,TIPOS_CAMBIO!B:B,"",0)</f>
        <v>0</v>
      </c>
      <c r="G1708" s="3">
        <f t="shared" si="52"/>
        <v>0</v>
      </c>
      <c r="H1708" s="3"/>
      <c r="I1708" s="3">
        <f ca="1">IFERROR(_xludf.XLOOKUP("Seguro",PARAMETROS_IMPORTACION!$A:$A,PARAMETROS_IMPORTACION!$C:$C,0),0)</f>
        <v>0</v>
      </c>
      <c r="J1708" s="3">
        <f ca="1">IFERROR(_xludf.XLOOKUP("Arancel",PARAMETROS_IMPORTACION!$A:$A,PARAMETROS_IMPORTACION!$C:$C,0),0)</f>
        <v>0</v>
      </c>
      <c r="K1708" s="2">
        <f ca="1">IFERROR(_xludf.XLOOKUP("Gastos_Aduana",PARAMETROS_IMPORTACION!$A:$A,PARAMETROS_IMPORTACION!$C:$C,0),0)</f>
        <v>0</v>
      </c>
      <c r="L1708" s="2">
        <f t="shared" si="53"/>
        <v>0</v>
      </c>
    </row>
    <row r="1709" spans="5:12" x14ac:dyDescent="0.35">
      <c r="E1709" s="2"/>
      <c r="F1709" s="2">
        <f>_xlfn.XLOOKUP(D1709,TIPOS_CAMBIO!A:A,TIPOS_CAMBIO!B:B,"",0)</f>
        <v>0</v>
      </c>
      <c r="G1709" s="3">
        <f t="shared" si="52"/>
        <v>0</v>
      </c>
      <c r="H1709" s="3"/>
      <c r="I1709" s="3">
        <f ca="1">IFERROR(_xludf.XLOOKUP("Seguro",PARAMETROS_IMPORTACION!$A:$A,PARAMETROS_IMPORTACION!$C:$C,0),0)</f>
        <v>0</v>
      </c>
      <c r="J1709" s="3">
        <f ca="1">IFERROR(_xludf.XLOOKUP("Arancel",PARAMETROS_IMPORTACION!$A:$A,PARAMETROS_IMPORTACION!$C:$C,0),0)</f>
        <v>0</v>
      </c>
      <c r="K1709" s="2">
        <f ca="1">IFERROR(_xludf.XLOOKUP("Gastos_Aduana",PARAMETROS_IMPORTACION!$A:$A,PARAMETROS_IMPORTACION!$C:$C,0),0)</f>
        <v>0</v>
      </c>
      <c r="L1709" s="2">
        <f t="shared" si="53"/>
        <v>0</v>
      </c>
    </row>
    <row r="1710" spans="5:12" x14ac:dyDescent="0.35">
      <c r="E1710" s="2"/>
      <c r="F1710" s="2">
        <f>_xlfn.XLOOKUP(D1710,TIPOS_CAMBIO!A:A,TIPOS_CAMBIO!B:B,"",0)</f>
        <v>0</v>
      </c>
      <c r="G1710" s="3">
        <f t="shared" si="52"/>
        <v>0</v>
      </c>
      <c r="H1710" s="3"/>
      <c r="I1710" s="3">
        <f ca="1">IFERROR(_xludf.XLOOKUP("Seguro",PARAMETROS_IMPORTACION!$A:$A,PARAMETROS_IMPORTACION!$C:$C,0),0)</f>
        <v>0</v>
      </c>
      <c r="J1710" s="3">
        <f ca="1">IFERROR(_xludf.XLOOKUP("Arancel",PARAMETROS_IMPORTACION!$A:$A,PARAMETROS_IMPORTACION!$C:$C,0),0)</f>
        <v>0</v>
      </c>
      <c r="K1710" s="2">
        <f ca="1">IFERROR(_xludf.XLOOKUP("Gastos_Aduana",PARAMETROS_IMPORTACION!$A:$A,PARAMETROS_IMPORTACION!$C:$C,0),0)</f>
        <v>0</v>
      </c>
      <c r="L1710" s="2">
        <f t="shared" si="53"/>
        <v>0</v>
      </c>
    </row>
    <row r="1711" spans="5:12" x14ac:dyDescent="0.35">
      <c r="E1711" s="2"/>
      <c r="F1711" s="2">
        <f>_xlfn.XLOOKUP(D1711,TIPOS_CAMBIO!A:A,TIPOS_CAMBIO!B:B,"",0)</f>
        <v>0</v>
      </c>
      <c r="G1711" s="3">
        <f t="shared" si="52"/>
        <v>0</v>
      </c>
      <c r="H1711" s="3"/>
      <c r="I1711" s="3">
        <f ca="1">IFERROR(_xludf.XLOOKUP("Seguro",PARAMETROS_IMPORTACION!$A:$A,PARAMETROS_IMPORTACION!$C:$C,0),0)</f>
        <v>0</v>
      </c>
      <c r="J1711" s="3">
        <f ca="1">IFERROR(_xludf.XLOOKUP("Arancel",PARAMETROS_IMPORTACION!$A:$A,PARAMETROS_IMPORTACION!$C:$C,0),0)</f>
        <v>0</v>
      </c>
      <c r="K1711" s="2">
        <f ca="1">IFERROR(_xludf.XLOOKUP("Gastos_Aduana",PARAMETROS_IMPORTACION!$A:$A,PARAMETROS_IMPORTACION!$C:$C,0),0)</f>
        <v>0</v>
      </c>
      <c r="L1711" s="2">
        <f t="shared" si="53"/>
        <v>0</v>
      </c>
    </row>
    <row r="1712" spans="5:12" x14ac:dyDescent="0.35">
      <c r="E1712" s="2"/>
      <c r="F1712" s="2">
        <f>_xlfn.XLOOKUP(D1712,TIPOS_CAMBIO!A:A,TIPOS_CAMBIO!B:B,"",0)</f>
        <v>0</v>
      </c>
      <c r="G1712" s="3">
        <f t="shared" si="52"/>
        <v>0</v>
      </c>
      <c r="H1712" s="3"/>
      <c r="I1712" s="3">
        <f ca="1">IFERROR(_xludf.XLOOKUP("Seguro",PARAMETROS_IMPORTACION!$A:$A,PARAMETROS_IMPORTACION!$C:$C,0),0)</f>
        <v>0</v>
      </c>
      <c r="J1712" s="3">
        <f ca="1">IFERROR(_xludf.XLOOKUP("Arancel",PARAMETROS_IMPORTACION!$A:$A,PARAMETROS_IMPORTACION!$C:$C,0),0)</f>
        <v>0</v>
      </c>
      <c r="K1712" s="2">
        <f ca="1">IFERROR(_xludf.XLOOKUP("Gastos_Aduana",PARAMETROS_IMPORTACION!$A:$A,PARAMETROS_IMPORTACION!$C:$C,0),0)</f>
        <v>0</v>
      </c>
      <c r="L1712" s="2">
        <f t="shared" si="53"/>
        <v>0</v>
      </c>
    </row>
    <row r="1713" spans="5:12" x14ac:dyDescent="0.35">
      <c r="E1713" s="2"/>
      <c r="F1713" s="2">
        <f>_xlfn.XLOOKUP(D1713,TIPOS_CAMBIO!A:A,TIPOS_CAMBIO!B:B,"",0)</f>
        <v>0</v>
      </c>
      <c r="G1713" s="3">
        <f t="shared" si="52"/>
        <v>0</v>
      </c>
      <c r="H1713" s="3"/>
      <c r="I1713" s="3">
        <f ca="1">IFERROR(_xludf.XLOOKUP("Seguro",PARAMETROS_IMPORTACION!$A:$A,PARAMETROS_IMPORTACION!$C:$C,0),0)</f>
        <v>0</v>
      </c>
      <c r="J1713" s="3">
        <f ca="1">IFERROR(_xludf.XLOOKUP("Arancel",PARAMETROS_IMPORTACION!$A:$A,PARAMETROS_IMPORTACION!$C:$C,0),0)</f>
        <v>0</v>
      </c>
      <c r="K1713" s="2">
        <f ca="1">IFERROR(_xludf.XLOOKUP("Gastos_Aduana",PARAMETROS_IMPORTACION!$A:$A,PARAMETROS_IMPORTACION!$C:$C,0),0)</f>
        <v>0</v>
      </c>
      <c r="L1713" s="2">
        <f t="shared" si="53"/>
        <v>0</v>
      </c>
    </row>
    <row r="1714" spans="5:12" x14ac:dyDescent="0.35">
      <c r="E1714" s="2"/>
      <c r="F1714" s="2">
        <f>_xlfn.XLOOKUP(D1714,TIPOS_CAMBIO!A:A,TIPOS_CAMBIO!B:B,"",0)</f>
        <v>0</v>
      </c>
      <c r="G1714" s="3">
        <f t="shared" si="52"/>
        <v>0</v>
      </c>
      <c r="H1714" s="3"/>
      <c r="I1714" s="3">
        <f ca="1">IFERROR(_xludf.XLOOKUP("Seguro",PARAMETROS_IMPORTACION!$A:$A,PARAMETROS_IMPORTACION!$C:$C,0),0)</f>
        <v>0</v>
      </c>
      <c r="J1714" s="3">
        <f ca="1">IFERROR(_xludf.XLOOKUP("Arancel",PARAMETROS_IMPORTACION!$A:$A,PARAMETROS_IMPORTACION!$C:$C,0),0)</f>
        <v>0</v>
      </c>
      <c r="K1714" s="2">
        <f ca="1">IFERROR(_xludf.XLOOKUP("Gastos_Aduana",PARAMETROS_IMPORTACION!$A:$A,PARAMETROS_IMPORTACION!$C:$C,0),0)</f>
        <v>0</v>
      </c>
      <c r="L1714" s="2">
        <f t="shared" si="53"/>
        <v>0</v>
      </c>
    </row>
    <row r="1715" spans="5:12" x14ac:dyDescent="0.35">
      <c r="E1715" s="2"/>
      <c r="F1715" s="2">
        <f>_xlfn.XLOOKUP(D1715,TIPOS_CAMBIO!A:A,TIPOS_CAMBIO!B:B,"",0)</f>
        <v>0</v>
      </c>
      <c r="G1715" s="3">
        <f t="shared" si="52"/>
        <v>0</v>
      </c>
      <c r="H1715" s="3"/>
      <c r="I1715" s="3">
        <f ca="1">IFERROR(_xludf.XLOOKUP("Seguro",PARAMETROS_IMPORTACION!$A:$A,PARAMETROS_IMPORTACION!$C:$C,0),0)</f>
        <v>0</v>
      </c>
      <c r="J1715" s="3">
        <f ca="1">IFERROR(_xludf.XLOOKUP("Arancel",PARAMETROS_IMPORTACION!$A:$A,PARAMETROS_IMPORTACION!$C:$C,0),0)</f>
        <v>0</v>
      </c>
      <c r="K1715" s="2">
        <f ca="1">IFERROR(_xludf.XLOOKUP("Gastos_Aduana",PARAMETROS_IMPORTACION!$A:$A,PARAMETROS_IMPORTACION!$C:$C,0),0)</f>
        <v>0</v>
      </c>
      <c r="L1715" s="2">
        <f t="shared" si="53"/>
        <v>0</v>
      </c>
    </row>
    <row r="1716" spans="5:12" x14ac:dyDescent="0.35">
      <c r="E1716" s="2"/>
      <c r="F1716" s="2">
        <f>_xlfn.XLOOKUP(D1716,TIPOS_CAMBIO!A:A,TIPOS_CAMBIO!B:B,"",0)</f>
        <v>0</v>
      </c>
      <c r="G1716" s="3">
        <f t="shared" si="52"/>
        <v>0</v>
      </c>
      <c r="H1716" s="3"/>
      <c r="I1716" s="3">
        <f ca="1">IFERROR(_xludf.XLOOKUP("Seguro",PARAMETROS_IMPORTACION!$A:$A,PARAMETROS_IMPORTACION!$C:$C,0),0)</f>
        <v>0</v>
      </c>
      <c r="J1716" s="3">
        <f ca="1">IFERROR(_xludf.XLOOKUP("Arancel",PARAMETROS_IMPORTACION!$A:$A,PARAMETROS_IMPORTACION!$C:$C,0),0)</f>
        <v>0</v>
      </c>
      <c r="K1716" s="2">
        <f ca="1">IFERROR(_xludf.XLOOKUP("Gastos_Aduana",PARAMETROS_IMPORTACION!$A:$A,PARAMETROS_IMPORTACION!$C:$C,0),0)</f>
        <v>0</v>
      </c>
      <c r="L1716" s="2">
        <f t="shared" si="53"/>
        <v>0</v>
      </c>
    </row>
    <row r="1717" spans="5:12" x14ac:dyDescent="0.35">
      <c r="E1717" s="2"/>
      <c r="F1717" s="2">
        <f>_xlfn.XLOOKUP(D1717,TIPOS_CAMBIO!A:A,TIPOS_CAMBIO!B:B,"",0)</f>
        <v>0</v>
      </c>
      <c r="G1717" s="3">
        <f t="shared" si="52"/>
        <v>0</v>
      </c>
      <c r="H1717" s="3"/>
      <c r="I1717" s="3">
        <f ca="1">IFERROR(_xludf.XLOOKUP("Seguro",PARAMETROS_IMPORTACION!$A:$A,PARAMETROS_IMPORTACION!$C:$C,0),0)</f>
        <v>0</v>
      </c>
      <c r="J1717" s="3">
        <f ca="1">IFERROR(_xludf.XLOOKUP("Arancel",PARAMETROS_IMPORTACION!$A:$A,PARAMETROS_IMPORTACION!$C:$C,0),0)</f>
        <v>0</v>
      </c>
      <c r="K1717" s="2">
        <f ca="1">IFERROR(_xludf.XLOOKUP("Gastos_Aduana",PARAMETROS_IMPORTACION!$A:$A,PARAMETROS_IMPORTACION!$C:$C,0),0)</f>
        <v>0</v>
      </c>
      <c r="L1717" s="2">
        <f t="shared" si="53"/>
        <v>0</v>
      </c>
    </row>
    <row r="1718" spans="5:12" x14ac:dyDescent="0.35">
      <c r="E1718" s="2"/>
      <c r="F1718" s="2">
        <f>_xlfn.XLOOKUP(D1718,TIPOS_CAMBIO!A:A,TIPOS_CAMBIO!B:B,"",0)</f>
        <v>0</v>
      </c>
      <c r="G1718" s="3">
        <f t="shared" si="52"/>
        <v>0</v>
      </c>
      <c r="H1718" s="3"/>
      <c r="I1718" s="3">
        <f ca="1">IFERROR(_xludf.XLOOKUP("Seguro",PARAMETROS_IMPORTACION!$A:$A,PARAMETROS_IMPORTACION!$C:$C,0),0)</f>
        <v>0</v>
      </c>
      <c r="J1718" s="3">
        <f ca="1">IFERROR(_xludf.XLOOKUP("Arancel",PARAMETROS_IMPORTACION!$A:$A,PARAMETROS_IMPORTACION!$C:$C,0),0)</f>
        <v>0</v>
      </c>
      <c r="K1718" s="2">
        <f ca="1">IFERROR(_xludf.XLOOKUP("Gastos_Aduana",PARAMETROS_IMPORTACION!$A:$A,PARAMETROS_IMPORTACION!$C:$C,0),0)</f>
        <v>0</v>
      </c>
      <c r="L1718" s="2">
        <f t="shared" si="53"/>
        <v>0</v>
      </c>
    </row>
    <row r="1719" spans="5:12" x14ac:dyDescent="0.35">
      <c r="E1719" s="2"/>
      <c r="F1719" s="2">
        <f>_xlfn.XLOOKUP(D1719,TIPOS_CAMBIO!A:A,TIPOS_CAMBIO!B:B,"",0)</f>
        <v>0</v>
      </c>
      <c r="G1719" s="3">
        <f t="shared" si="52"/>
        <v>0</v>
      </c>
      <c r="H1719" s="3"/>
      <c r="I1719" s="3">
        <f ca="1">IFERROR(_xludf.XLOOKUP("Seguro",PARAMETROS_IMPORTACION!$A:$A,PARAMETROS_IMPORTACION!$C:$C,0),0)</f>
        <v>0</v>
      </c>
      <c r="J1719" s="3">
        <f ca="1">IFERROR(_xludf.XLOOKUP("Arancel",PARAMETROS_IMPORTACION!$A:$A,PARAMETROS_IMPORTACION!$C:$C,0),0)</f>
        <v>0</v>
      </c>
      <c r="K1719" s="2">
        <f ca="1">IFERROR(_xludf.XLOOKUP("Gastos_Aduana",PARAMETROS_IMPORTACION!$A:$A,PARAMETROS_IMPORTACION!$C:$C,0),0)</f>
        <v>0</v>
      </c>
      <c r="L1719" s="2">
        <f t="shared" si="53"/>
        <v>0</v>
      </c>
    </row>
    <row r="1720" spans="5:12" x14ac:dyDescent="0.35">
      <c r="E1720" s="2"/>
      <c r="F1720" s="2">
        <f>_xlfn.XLOOKUP(D1720,TIPOS_CAMBIO!A:A,TIPOS_CAMBIO!B:B,"",0)</f>
        <v>0</v>
      </c>
      <c r="G1720" s="3">
        <f t="shared" si="52"/>
        <v>0</v>
      </c>
      <c r="H1720" s="3"/>
      <c r="I1720" s="3">
        <f ca="1">IFERROR(_xludf.XLOOKUP("Seguro",PARAMETROS_IMPORTACION!$A:$A,PARAMETROS_IMPORTACION!$C:$C,0),0)</f>
        <v>0</v>
      </c>
      <c r="J1720" s="3">
        <f ca="1">IFERROR(_xludf.XLOOKUP("Arancel",PARAMETROS_IMPORTACION!$A:$A,PARAMETROS_IMPORTACION!$C:$C,0),0)</f>
        <v>0</v>
      </c>
      <c r="K1720" s="2">
        <f ca="1">IFERROR(_xludf.XLOOKUP("Gastos_Aduana",PARAMETROS_IMPORTACION!$A:$A,PARAMETROS_IMPORTACION!$C:$C,0),0)</f>
        <v>0</v>
      </c>
      <c r="L1720" s="2">
        <f t="shared" si="53"/>
        <v>0</v>
      </c>
    </row>
    <row r="1721" spans="5:12" x14ac:dyDescent="0.35">
      <c r="E1721" s="2"/>
      <c r="F1721" s="2">
        <f>_xlfn.XLOOKUP(D1721,TIPOS_CAMBIO!A:A,TIPOS_CAMBIO!B:B,"",0)</f>
        <v>0</v>
      </c>
      <c r="G1721" s="3">
        <f t="shared" si="52"/>
        <v>0</v>
      </c>
      <c r="H1721" s="3"/>
      <c r="I1721" s="3">
        <f ca="1">IFERROR(_xludf.XLOOKUP("Seguro",PARAMETROS_IMPORTACION!$A:$A,PARAMETROS_IMPORTACION!$C:$C,0),0)</f>
        <v>0</v>
      </c>
      <c r="J1721" s="3">
        <f ca="1">IFERROR(_xludf.XLOOKUP("Arancel",PARAMETROS_IMPORTACION!$A:$A,PARAMETROS_IMPORTACION!$C:$C,0),0)</f>
        <v>0</v>
      </c>
      <c r="K1721" s="2">
        <f ca="1">IFERROR(_xludf.XLOOKUP("Gastos_Aduana",PARAMETROS_IMPORTACION!$A:$A,PARAMETROS_IMPORTACION!$C:$C,0),0)</f>
        <v>0</v>
      </c>
      <c r="L1721" s="2">
        <f t="shared" si="53"/>
        <v>0</v>
      </c>
    </row>
    <row r="1722" spans="5:12" x14ac:dyDescent="0.35">
      <c r="E1722" s="2"/>
      <c r="F1722" s="2">
        <f>_xlfn.XLOOKUP(D1722,TIPOS_CAMBIO!A:A,TIPOS_CAMBIO!B:B,"",0)</f>
        <v>0</v>
      </c>
      <c r="G1722" s="3">
        <f t="shared" si="52"/>
        <v>0</v>
      </c>
      <c r="H1722" s="3"/>
      <c r="I1722" s="3">
        <f ca="1">IFERROR(_xludf.XLOOKUP("Seguro",PARAMETROS_IMPORTACION!$A:$A,PARAMETROS_IMPORTACION!$C:$C,0),0)</f>
        <v>0</v>
      </c>
      <c r="J1722" s="3">
        <f ca="1">IFERROR(_xludf.XLOOKUP("Arancel",PARAMETROS_IMPORTACION!$A:$A,PARAMETROS_IMPORTACION!$C:$C,0),0)</f>
        <v>0</v>
      </c>
      <c r="K1722" s="2">
        <f ca="1">IFERROR(_xludf.XLOOKUP("Gastos_Aduana",PARAMETROS_IMPORTACION!$A:$A,PARAMETROS_IMPORTACION!$C:$C,0),0)</f>
        <v>0</v>
      </c>
      <c r="L1722" s="2">
        <f t="shared" si="53"/>
        <v>0</v>
      </c>
    </row>
    <row r="1723" spans="5:12" x14ac:dyDescent="0.35">
      <c r="E1723" s="2"/>
      <c r="F1723" s="2">
        <f>_xlfn.XLOOKUP(D1723,TIPOS_CAMBIO!A:A,TIPOS_CAMBIO!B:B,"",0)</f>
        <v>0</v>
      </c>
      <c r="G1723" s="3">
        <f t="shared" si="52"/>
        <v>0</v>
      </c>
      <c r="H1723" s="3"/>
      <c r="I1723" s="3">
        <f ca="1">IFERROR(_xludf.XLOOKUP("Seguro",PARAMETROS_IMPORTACION!$A:$A,PARAMETROS_IMPORTACION!$C:$C,0),0)</f>
        <v>0</v>
      </c>
      <c r="J1723" s="3">
        <f ca="1">IFERROR(_xludf.XLOOKUP("Arancel",PARAMETROS_IMPORTACION!$A:$A,PARAMETROS_IMPORTACION!$C:$C,0),0)</f>
        <v>0</v>
      </c>
      <c r="K1723" s="2">
        <f ca="1">IFERROR(_xludf.XLOOKUP("Gastos_Aduana",PARAMETROS_IMPORTACION!$A:$A,PARAMETROS_IMPORTACION!$C:$C,0),0)</f>
        <v>0</v>
      </c>
      <c r="L1723" s="2">
        <f t="shared" si="53"/>
        <v>0</v>
      </c>
    </row>
    <row r="1724" spans="5:12" x14ac:dyDescent="0.35">
      <c r="E1724" s="2"/>
      <c r="F1724" s="2">
        <f>_xlfn.XLOOKUP(D1724,TIPOS_CAMBIO!A:A,TIPOS_CAMBIO!B:B,"",0)</f>
        <v>0</v>
      </c>
      <c r="G1724" s="3">
        <f t="shared" si="52"/>
        <v>0</v>
      </c>
      <c r="H1724" s="3"/>
      <c r="I1724" s="3">
        <f ca="1">IFERROR(_xludf.XLOOKUP("Seguro",PARAMETROS_IMPORTACION!$A:$A,PARAMETROS_IMPORTACION!$C:$C,0),0)</f>
        <v>0</v>
      </c>
      <c r="J1724" s="3">
        <f ca="1">IFERROR(_xludf.XLOOKUP("Arancel",PARAMETROS_IMPORTACION!$A:$A,PARAMETROS_IMPORTACION!$C:$C,0),0)</f>
        <v>0</v>
      </c>
      <c r="K1724" s="2">
        <f ca="1">IFERROR(_xludf.XLOOKUP("Gastos_Aduana",PARAMETROS_IMPORTACION!$A:$A,PARAMETROS_IMPORTACION!$C:$C,0),0)</f>
        <v>0</v>
      </c>
      <c r="L1724" s="2">
        <f t="shared" si="53"/>
        <v>0</v>
      </c>
    </row>
    <row r="1725" spans="5:12" x14ac:dyDescent="0.35">
      <c r="E1725" s="2"/>
      <c r="F1725" s="2">
        <f>_xlfn.XLOOKUP(D1725,TIPOS_CAMBIO!A:A,TIPOS_CAMBIO!B:B,"",0)</f>
        <v>0</v>
      </c>
      <c r="G1725" s="3">
        <f t="shared" si="52"/>
        <v>0</v>
      </c>
      <c r="H1725" s="3"/>
      <c r="I1725" s="3">
        <f ca="1">IFERROR(_xludf.XLOOKUP("Seguro",PARAMETROS_IMPORTACION!$A:$A,PARAMETROS_IMPORTACION!$C:$C,0),0)</f>
        <v>0</v>
      </c>
      <c r="J1725" s="3">
        <f ca="1">IFERROR(_xludf.XLOOKUP("Arancel",PARAMETROS_IMPORTACION!$A:$A,PARAMETROS_IMPORTACION!$C:$C,0),0)</f>
        <v>0</v>
      </c>
      <c r="K1725" s="2">
        <f ca="1">IFERROR(_xludf.XLOOKUP("Gastos_Aduana",PARAMETROS_IMPORTACION!$A:$A,PARAMETROS_IMPORTACION!$C:$C,0),0)</f>
        <v>0</v>
      </c>
      <c r="L1725" s="2">
        <f t="shared" si="53"/>
        <v>0</v>
      </c>
    </row>
    <row r="1726" spans="5:12" x14ac:dyDescent="0.35">
      <c r="E1726" s="2"/>
      <c r="F1726" s="2">
        <f>_xlfn.XLOOKUP(D1726,TIPOS_CAMBIO!A:A,TIPOS_CAMBIO!B:B,"",0)</f>
        <v>0</v>
      </c>
      <c r="G1726" s="3">
        <f t="shared" si="52"/>
        <v>0</v>
      </c>
      <c r="H1726" s="3"/>
      <c r="I1726" s="3">
        <f ca="1">IFERROR(_xludf.XLOOKUP("Seguro",PARAMETROS_IMPORTACION!$A:$A,PARAMETROS_IMPORTACION!$C:$C,0),0)</f>
        <v>0</v>
      </c>
      <c r="J1726" s="3">
        <f ca="1">IFERROR(_xludf.XLOOKUP("Arancel",PARAMETROS_IMPORTACION!$A:$A,PARAMETROS_IMPORTACION!$C:$C,0),0)</f>
        <v>0</v>
      </c>
      <c r="K1726" s="2">
        <f ca="1">IFERROR(_xludf.XLOOKUP("Gastos_Aduana",PARAMETROS_IMPORTACION!$A:$A,PARAMETROS_IMPORTACION!$C:$C,0),0)</f>
        <v>0</v>
      </c>
      <c r="L1726" s="2">
        <f t="shared" si="53"/>
        <v>0</v>
      </c>
    </row>
    <row r="1727" spans="5:12" x14ac:dyDescent="0.35">
      <c r="E1727" s="2"/>
      <c r="F1727" s="2">
        <f>_xlfn.XLOOKUP(D1727,TIPOS_CAMBIO!A:A,TIPOS_CAMBIO!B:B,"",0)</f>
        <v>0</v>
      </c>
      <c r="G1727" s="3">
        <f t="shared" si="52"/>
        <v>0</v>
      </c>
      <c r="H1727" s="3"/>
      <c r="I1727" s="3">
        <f ca="1">IFERROR(_xludf.XLOOKUP("Seguro",PARAMETROS_IMPORTACION!$A:$A,PARAMETROS_IMPORTACION!$C:$C,0),0)</f>
        <v>0</v>
      </c>
      <c r="J1727" s="3">
        <f ca="1">IFERROR(_xludf.XLOOKUP("Arancel",PARAMETROS_IMPORTACION!$A:$A,PARAMETROS_IMPORTACION!$C:$C,0),0)</f>
        <v>0</v>
      </c>
      <c r="K1727" s="2">
        <f ca="1">IFERROR(_xludf.XLOOKUP("Gastos_Aduana",PARAMETROS_IMPORTACION!$A:$A,PARAMETROS_IMPORTACION!$C:$C,0),0)</f>
        <v>0</v>
      </c>
      <c r="L1727" s="2">
        <f t="shared" si="53"/>
        <v>0</v>
      </c>
    </row>
    <row r="1728" spans="5:12" x14ac:dyDescent="0.35">
      <c r="E1728" s="2"/>
      <c r="F1728" s="2">
        <f>_xlfn.XLOOKUP(D1728,TIPOS_CAMBIO!A:A,TIPOS_CAMBIO!B:B,"",0)</f>
        <v>0</v>
      </c>
      <c r="G1728" s="3">
        <f t="shared" si="52"/>
        <v>0</v>
      </c>
      <c r="H1728" s="3"/>
      <c r="I1728" s="3">
        <f ca="1">IFERROR(_xludf.XLOOKUP("Seguro",PARAMETROS_IMPORTACION!$A:$A,PARAMETROS_IMPORTACION!$C:$C,0),0)</f>
        <v>0</v>
      </c>
      <c r="J1728" s="3">
        <f ca="1">IFERROR(_xludf.XLOOKUP("Arancel",PARAMETROS_IMPORTACION!$A:$A,PARAMETROS_IMPORTACION!$C:$C,0),0)</f>
        <v>0</v>
      </c>
      <c r="K1728" s="2">
        <f ca="1">IFERROR(_xludf.XLOOKUP("Gastos_Aduana",PARAMETROS_IMPORTACION!$A:$A,PARAMETROS_IMPORTACION!$C:$C,0),0)</f>
        <v>0</v>
      </c>
      <c r="L1728" s="2">
        <f t="shared" si="53"/>
        <v>0</v>
      </c>
    </row>
    <row r="1729" spans="5:12" x14ac:dyDescent="0.35">
      <c r="E1729" s="2"/>
      <c r="F1729" s="2">
        <f>_xlfn.XLOOKUP(D1729,TIPOS_CAMBIO!A:A,TIPOS_CAMBIO!B:B,"",0)</f>
        <v>0</v>
      </c>
      <c r="G1729" s="3">
        <f t="shared" si="52"/>
        <v>0</v>
      </c>
      <c r="H1729" s="3"/>
      <c r="I1729" s="3">
        <f ca="1">IFERROR(_xludf.XLOOKUP("Seguro",PARAMETROS_IMPORTACION!$A:$A,PARAMETROS_IMPORTACION!$C:$C,0),0)</f>
        <v>0</v>
      </c>
      <c r="J1729" s="3">
        <f ca="1">IFERROR(_xludf.XLOOKUP("Arancel",PARAMETROS_IMPORTACION!$A:$A,PARAMETROS_IMPORTACION!$C:$C,0),0)</f>
        <v>0</v>
      </c>
      <c r="K1729" s="2">
        <f ca="1">IFERROR(_xludf.XLOOKUP("Gastos_Aduana",PARAMETROS_IMPORTACION!$A:$A,PARAMETROS_IMPORTACION!$C:$C,0),0)</f>
        <v>0</v>
      </c>
      <c r="L1729" s="2">
        <f t="shared" si="53"/>
        <v>0</v>
      </c>
    </row>
    <row r="1730" spans="5:12" x14ac:dyDescent="0.35">
      <c r="E1730" s="2"/>
      <c r="F1730" s="2">
        <f>_xlfn.XLOOKUP(D1730,TIPOS_CAMBIO!A:A,TIPOS_CAMBIO!B:B,"",0)</f>
        <v>0</v>
      </c>
      <c r="G1730" s="3">
        <f t="shared" ref="G1730:G1793" si="54">$E1730*$F1730</f>
        <v>0</v>
      </c>
      <c r="H1730" s="3"/>
      <c r="I1730" s="3">
        <f ca="1">IFERROR(_xludf.XLOOKUP("Seguro",PARAMETROS_IMPORTACION!$A:$A,PARAMETROS_IMPORTACION!$C:$C,0),0)</f>
        <v>0</v>
      </c>
      <c r="J1730" s="3">
        <f ca="1">IFERROR(_xludf.XLOOKUP("Arancel",PARAMETROS_IMPORTACION!$A:$A,PARAMETROS_IMPORTACION!$C:$C,0),0)</f>
        <v>0</v>
      </c>
      <c r="K1730" s="2">
        <f ca="1">IFERROR(_xludf.XLOOKUP("Gastos_Aduana",PARAMETROS_IMPORTACION!$A:$A,PARAMETROS_IMPORTACION!$C:$C,0),0)</f>
        <v>0</v>
      </c>
      <c r="L1730" s="2">
        <f t="shared" si="53"/>
        <v>0</v>
      </c>
    </row>
    <row r="1731" spans="5:12" x14ac:dyDescent="0.35">
      <c r="E1731" s="2"/>
      <c r="F1731" s="2">
        <f>_xlfn.XLOOKUP(D1731,TIPOS_CAMBIO!A:A,TIPOS_CAMBIO!B:B,"",0)</f>
        <v>0</v>
      </c>
      <c r="G1731" s="3">
        <f t="shared" si="54"/>
        <v>0</v>
      </c>
      <c r="H1731" s="3"/>
      <c r="I1731" s="3">
        <f ca="1">IFERROR(_xludf.XLOOKUP("Seguro",PARAMETROS_IMPORTACION!$A:$A,PARAMETROS_IMPORTACION!$C:$C,0),0)</f>
        <v>0</v>
      </c>
      <c r="J1731" s="3">
        <f ca="1">IFERROR(_xludf.XLOOKUP("Arancel",PARAMETROS_IMPORTACION!$A:$A,PARAMETROS_IMPORTACION!$C:$C,0),0)</f>
        <v>0</v>
      </c>
      <c r="K1731" s="2">
        <f ca="1">IFERROR(_xludf.XLOOKUP("Gastos_Aduana",PARAMETROS_IMPORTACION!$A:$A,PARAMETROS_IMPORTACION!$C:$C,0),0)</f>
        <v>0</v>
      </c>
      <c r="L1731" s="2">
        <f t="shared" ref="L1731:L1794" si="55">IF($C1731="Importado",$G1731*(1+$H1731+$I1731+$J1731)+$K1731,$G1731)</f>
        <v>0</v>
      </c>
    </row>
    <row r="1732" spans="5:12" x14ac:dyDescent="0.35">
      <c r="E1732" s="2"/>
      <c r="F1732" s="2">
        <f>_xlfn.XLOOKUP(D1732,TIPOS_CAMBIO!A:A,TIPOS_CAMBIO!B:B,"",0)</f>
        <v>0</v>
      </c>
      <c r="G1732" s="3">
        <f t="shared" si="54"/>
        <v>0</v>
      </c>
      <c r="H1732" s="3"/>
      <c r="I1732" s="3">
        <f ca="1">IFERROR(_xludf.XLOOKUP("Seguro",PARAMETROS_IMPORTACION!$A:$A,PARAMETROS_IMPORTACION!$C:$C,0),0)</f>
        <v>0</v>
      </c>
      <c r="J1732" s="3">
        <f ca="1">IFERROR(_xludf.XLOOKUP("Arancel",PARAMETROS_IMPORTACION!$A:$A,PARAMETROS_IMPORTACION!$C:$C,0),0)</f>
        <v>0</v>
      </c>
      <c r="K1732" s="2">
        <f ca="1">IFERROR(_xludf.XLOOKUP("Gastos_Aduana",PARAMETROS_IMPORTACION!$A:$A,PARAMETROS_IMPORTACION!$C:$C,0),0)</f>
        <v>0</v>
      </c>
      <c r="L1732" s="2">
        <f t="shared" si="55"/>
        <v>0</v>
      </c>
    </row>
    <row r="1733" spans="5:12" x14ac:dyDescent="0.35">
      <c r="E1733" s="2"/>
      <c r="F1733" s="2">
        <f>_xlfn.XLOOKUP(D1733,TIPOS_CAMBIO!A:A,TIPOS_CAMBIO!B:B,"",0)</f>
        <v>0</v>
      </c>
      <c r="G1733" s="3">
        <f t="shared" si="54"/>
        <v>0</v>
      </c>
      <c r="H1733" s="3"/>
      <c r="I1733" s="3">
        <f ca="1">IFERROR(_xludf.XLOOKUP("Seguro",PARAMETROS_IMPORTACION!$A:$A,PARAMETROS_IMPORTACION!$C:$C,0),0)</f>
        <v>0</v>
      </c>
      <c r="J1733" s="3">
        <f ca="1">IFERROR(_xludf.XLOOKUP("Arancel",PARAMETROS_IMPORTACION!$A:$A,PARAMETROS_IMPORTACION!$C:$C,0),0)</f>
        <v>0</v>
      </c>
      <c r="K1733" s="2">
        <f ca="1">IFERROR(_xludf.XLOOKUP("Gastos_Aduana",PARAMETROS_IMPORTACION!$A:$A,PARAMETROS_IMPORTACION!$C:$C,0),0)</f>
        <v>0</v>
      </c>
      <c r="L1733" s="2">
        <f t="shared" si="55"/>
        <v>0</v>
      </c>
    </row>
    <row r="1734" spans="5:12" x14ac:dyDescent="0.35">
      <c r="E1734" s="2"/>
      <c r="F1734" s="2">
        <f>_xlfn.XLOOKUP(D1734,TIPOS_CAMBIO!A:A,TIPOS_CAMBIO!B:B,"",0)</f>
        <v>0</v>
      </c>
      <c r="G1734" s="3">
        <f t="shared" si="54"/>
        <v>0</v>
      </c>
      <c r="H1734" s="3"/>
      <c r="I1734" s="3">
        <f ca="1">IFERROR(_xludf.XLOOKUP("Seguro",PARAMETROS_IMPORTACION!$A:$A,PARAMETROS_IMPORTACION!$C:$C,0),0)</f>
        <v>0</v>
      </c>
      <c r="J1734" s="3">
        <f ca="1">IFERROR(_xludf.XLOOKUP("Arancel",PARAMETROS_IMPORTACION!$A:$A,PARAMETROS_IMPORTACION!$C:$C,0),0)</f>
        <v>0</v>
      </c>
      <c r="K1734" s="2">
        <f ca="1">IFERROR(_xludf.XLOOKUP("Gastos_Aduana",PARAMETROS_IMPORTACION!$A:$A,PARAMETROS_IMPORTACION!$C:$C,0),0)</f>
        <v>0</v>
      </c>
      <c r="L1734" s="2">
        <f t="shared" si="55"/>
        <v>0</v>
      </c>
    </row>
    <row r="1735" spans="5:12" x14ac:dyDescent="0.35">
      <c r="E1735" s="2"/>
      <c r="F1735" s="2">
        <f>_xlfn.XLOOKUP(D1735,TIPOS_CAMBIO!A:A,TIPOS_CAMBIO!B:B,"",0)</f>
        <v>0</v>
      </c>
      <c r="G1735" s="3">
        <f t="shared" si="54"/>
        <v>0</v>
      </c>
      <c r="H1735" s="3"/>
      <c r="I1735" s="3">
        <f ca="1">IFERROR(_xludf.XLOOKUP("Seguro",PARAMETROS_IMPORTACION!$A:$A,PARAMETROS_IMPORTACION!$C:$C,0),0)</f>
        <v>0</v>
      </c>
      <c r="J1735" s="3">
        <f ca="1">IFERROR(_xludf.XLOOKUP("Arancel",PARAMETROS_IMPORTACION!$A:$A,PARAMETROS_IMPORTACION!$C:$C,0),0)</f>
        <v>0</v>
      </c>
      <c r="K1735" s="2">
        <f ca="1">IFERROR(_xludf.XLOOKUP("Gastos_Aduana",PARAMETROS_IMPORTACION!$A:$A,PARAMETROS_IMPORTACION!$C:$C,0),0)</f>
        <v>0</v>
      </c>
      <c r="L1735" s="2">
        <f t="shared" si="55"/>
        <v>0</v>
      </c>
    </row>
    <row r="1736" spans="5:12" x14ac:dyDescent="0.35">
      <c r="E1736" s="2"/>
      <c r="F1736" s="2">
        <f>_xlfn.XLOOKUP(D1736,TIPOS_CAMBIO!A:A,TIPOS_CAMBIO!B:B,"",0)</f>
        <v>0</v>
      </c>
      <c r="G1736" s="3">
        <f t="shared" si="54"/>
        <v>0</v>
      </c>
      <c r="H1736" s="3"/>
      <c r="I1736" s="3">
        <f ca="1">IFERROR(_xludf.XLOOKUP("Seguro",PARAMETROS_IMPORTACION!$A:$A,PARAMETROS_IMPORTACION!$C:$C,0),0)</f>
        <v>0</v>
      </c>
      <c r="J1736" s="3">
        <f ca="1">IFERROR(_xludf.XLOOKUP("Arancel",PARAMETROS_IMPORTACION!$A:$A,PARAMETROS_IMPORTACION!$C:$C,0),0)</f>
        <v>0</v>
      </c>
      <c r="K1736" s="2">
        <f ca="1">IFERROR(_xludf.XLOOKUP("Gastos_Aduana",PARAMETROS_IMPORTACION!$A:$A,PARAMETROS_IMPORTACION!$C:$C,0),0)</f>
        <v>0</v>
      </c>
      <c r="L1736" s="2">
        <f t="shared" si="55"/>
        <v>0</v>
      </c>
    </row>
    <row r="1737" spans="5:12" x14ac:dyDescent="0.35">
      <c r="E1737" s="2"/>
      <c r="F1737" s="2">
        <f>_xlfn.XLOOKUP(D1737,TIPOS_CAMBIO!A:A,TIPOS_CAMBIO!B:B,"",0)</f>
        <v>0</v>
      </c>
      <c r="G1737" s="3">
        <f t="shared" si="54"/>
        <v>0</v>
      </c>
      <c r="H1737" s="3"/>
      <c r="I1737" s="3">
        <f ca="1">IFERROR(_xludf.XLOOKUP("Seguro",PARAMETROS_IMPORTACION!$A:$A,PARAMETROS_IMPORTACION!$C:$C,0),0)</f>
        <v>0</v>
      </c>
      <c r="J1737" s="3">
        <f ca="1">IFERROR(_xludf.XLOOKUP("Arancel",PARAMETROS_IMPORTACION!$A:$A,PARAMETROS_IMPORTACION!$C:$C,0),0)</f>
        <v>0</v>
      </c>
      <c r="K1737" s="2">
        <f ca="1">IFERROR(_xludf.XLOOKUP("Gastos_Aduana",PARAMETROS_IMPORTACION!$A:$A,PARAMETROS_IMPORTACION!$C:$C,0),0)</f>
        <v>0</v>
      </c>
      <c r="L1737" s="2">
        <f t="shared" si="55"/>
        <v>0</v>
      </c>
    </row>
    <row r="1738" spans="5:12" x14ac:dyDescent="0.35">
      <c r="E1738" s="2"/>
      <c r="F1738" s="2">
        <f>_xlfn.XLOOKUP(D1738,TIPOS_CAMBIO!A:A,TIPOS_CAMBIO!B:B,"",0)</f>
        <v>0</v>
      </c>
      <c r="G1738" s="3">
        <f t="shared" si="54"/>
        <v>0</v>
      </c>
      <c r="H1738" s="3"/>
      <c r="I1738" s="3">
        <f ca="1">IFERROR(_xludf.XLOOKUP("Seguro",PARAMETROS_IMPORTACION!$A:$A,PARAMETROS_IMPORTACION!$C:$C,0),0)</f>
        <v>0</v>
      </c>
      <c r="J1738" s="3">
        <f ca="1">IFERROR(_xludf.XLOOKUP("Arancel",PARAMETROS_IMPORTACION!$A:$A,PARAMETROS_IMPORTACION!$C:$C,0),0)</f>
        <v>0</v>
      </c>
      <c r="K1738" s="2">
        <f ca="1">IFERROR(_xludf.XLOOKUP("Gastos_Aduana",PARAMETROS_IMPORTACION!$A:$A,PARAMETROS_IMPORTACION!$C:$C,0),0)</f>
        <v>0</v>
      </c>
      <c r="L1738" s="2">
        <f t="shared" si="55"/>
        <v>0</v>
      </c>
    </row>
    <row r="1739" spans="5:12" x14ac:dyDescent="0.35">
      <c r="E1739" s="2"/>
      <c r="F1739" s="2">
        <f>_xlfn.XLOOKUP(D1739,TIPOS_CAMBIO!A:A,TIPOS_CAMBIO!B:B,"",0)</f>
        <v>0</v>
      </c>
      <c r="G1739" s="3">
        <f t="shared" si="54"/>
        <v>0</v>
      </c>
      <c r="H1739" s="3"/>
      <c r="I1739" s="3">
        <f ca="1">IFERROR(_xludf.XLOOKUP("Seguro",PARAMETROS_IMPORTACION!$A:$A,PARAMETROS_IMPORTACION!$C:$C,0),0)</f>
        <v>0</v>
      </c>
      <c r="J1739" s="3">
        <f ca="1">IFERROR(_xludf.XLOOKUP("Arancel",PARAMETROS_IMPORTACION!$A:$A,PARAMETROS_IMPORTACION!$C:$C,0),0)</f>
        <v>0</v>
      </c>
      <c r="K1739" s="2">
        <f ca="1">IFERROR(_xludf.XLOOKUP("Gastos_Aduana",PARAMETROS_IMPORTACION!$A:$A,PARAMETROS_IMPORTACION!$C:$C,0),0)</f>
        <v>0</v>
      </c>
      <c r="L1739" s="2">
        <f t="shared" si="55"/>
        <v>0</v>
      </c>
    </row>
    <row r="1740" spans="5:12" x14ac:dyDescent="0.35">
      <c r="E1740" s="2"/>
      <c r="F1740" s="2">
        <f>_xlfn.XLOOKUP(D1740,TIPOS_CAMBIO!A:A,TIPOS_CAMBIO!B:B,"",0)</f>
        <v>0</v>
      </c>
      <c r="G1740" s="3">
        <f t="shared" si="54"/>
        <v>0</v>
      </c>
      <c r="H1740" s="3"/>
      <c r="I1740" s="3">
        <f ca="1">IFERROR(_xludf.XLOOKUP("Seguro",PARAMETROS_IMPORTACION!$A:$A,PARAMETROS_IMPORTACION!$C:$C,0),0)</f>
        <v>0</v>
      </c>
      <c r="J1740" s="3">
        <f ca="1">IFERROR(_xludf.XLOOKUP("Arancel",PARAMETROS_IMPORTACION!$A:$A,PARAMETROS_IMPORTACION!$C:$C,0),0)</f>
        <v>0</v>
      </c>
      <c r="K1740" s="2">
        <f ca="1">IFERROR(_xludf.XLOOKUP("Gastos_Aduana",PARAMETROS_IMPORTACION!$A:$A,PARAMETROS_IMPORTACION!$C:$C,0),0)</f>
        <v>0</v>
      </c>
      <c r="L1740" s="2">
        <f t="shared" si="55"/>
        <v>0</v>
      </c>
    </row>
    <row r="1741" spans="5:12" x14ac:dyDescent="0.35">
      <c r="E1741" s="2"/>
      <c r="F1741" s="2">
        <f>_xlfn.XLOOKUP(D1741,TIPOS_CAMBIO!A:A,TIPOS_CAMBIO!B:B,"",0)</f>
        <v>0</v>
      </c>
      <c r="G1741" s="3">
        <f t="shared" si="54"/>
        <v>0</v>
      </c>
      <c r="H1741" s="3"/>
      <c r="I1741" s="3">
        <f ca="1">IFERROR(_xludf.XLOOKUP("Seguro",PARAMETROS_IMPORTACION!$A:$A,PARAMETROS_IMPORTACION!$C:$C,0),0)</f>
        <v>0</v>
      </c>
      <c r="J1741" s="3">
        <f ca="1">IFERROR(_xludf.XLOOKUP("Arancel",PARAMETROS_IMPORTACION!$A:$A,PARAMETROS_IMPORTACION!$C:$C,0),0)</f>
        <v>0</v>
      </c>
      <c r="K1741" s="2">
        <f ca="1">IFERROR(_xludf.XLOOKUP("Gastos_Aduana",PARAMETROS_IMPORTACION!$A:$A,PARAMETROS_IMPORTACION!$C:$C,0),0)</f>
        <v>0</v>
      </c>
      <c r="L1741" s="2">
        <f t="shared" si="55"/>
        <v>0</v>
      </c>
    </row>
    <row r="1742" spans="5:12" x14ac:dyDescent="0.35">
      <c r="E1742" s="2"/>
      <c r="F1742" s="2">
        <f>_xlfn.XLOOKUP(D1742,TIPOS_CAMBIO!A:A,TIPOS_CAMBIO!B:B,"",0)</f>
        <v>0</v>
      </c>
      <c r="G1742" s="3">
        <f t="shared" si="54"/>
        <v>0</v>
      </c>
      <c r="H1742" s="3"/>
      <c r="I1742" s="3">
        <f ca="1">IFERROR(_xludf.XLOOKUP("Seguro",PARAMETROS_IMPORTACION!$A:$A,PARAMETROS_IMPORTACION!$C:$C,0),0)</f>
        <v>0</v>
      </c>
      <c r="J1742" s="3">
        <f ca="1">IFERROR(_xludf.XLOOKUP("Arancel",PARAMETROS_IMPORTACION!$A:$A,PARAMETROS_IMPORTACION!$C:$C,0),0)</f>
        <v>0</v>
      </c>
      <c r="K1742" s="2">
        <f ca="1">IFERROR(_xludf.XLOOKUP("Gastos_Aduana",PARAMETROS_IMPORTACION!$A:$A,PARAMETROS_IMPORTACION!$C:$C,0),0)</f>
        <v>0</v>
      </c>
      <c r="L1742" s="2">
        <f t="shared" si="55"/>
        <v>0</v>
      </c>
    </row>
    <row r="1743" spans="5:12" x14ac:dyDescent="0.35">
      <c r="E1743" s="2"/>
      <c r="F1743" s="2">
        <f>_xlfn.XLOOKUP(D1743,TIPOS_CAMBIO!A:A,TIPOS_CAMBIO!B:B,"",0)</f>
        <v>0</v>
      </c>
      <c r="G1743" s="3">
        <f t="shared" si="54"/>
        <v>0</v>
      </c>
      <c r="H1743" s="3"/>
      <c r="I1743" s="3">
        <f ca="1">IFERROR(_xludf.XLOOKUP("Seguro",PARAMETROS_IMPORTACION!$A:$A,PARAMETROS_IMPORTACION!$C:$C,0),0)</f>
        <v>0</v>
      </c>
      <c r="J1743" s="3">
        <f ca="1">IFERROR(_xludf.XLOOKUP("Arancel",PARAMETROS_IMPORTACION!$A:$A,PARAMETROS_IMPORTACION!$C:$C,0),0)</f>
        <v>0</v>
      </c>
      <c r="K1743" s="2">
        <f ca="1">IFERROR(_xludf.XLOOKUP("Gastos_Aduana",PARAMETROS_IMPORTACION!$A:$A,PARAMETROS_IMPORTACION!$C:$C,0),0)</f>
        <v>0</v>
      </c>
      <c r="L1743" s="2">
        <f t="shared" si="55"/>
        <v>0</v>
      </c>
    </row>
    <row r="1744" spans="5:12" x14ac:dyDescent="0.35">
      <c r="E1744" s="2"/>
      <c r="F1744" s="2">
        <f>_xlfn.XLOOKUP(D1744,TIPOS_CAMBIO!A:A,TIPOS_CAMBIO!B:B,"",0)</f>
        <v>0</v>
      </c>
      <c r="G1744" s="3">
        <f t="shared" si="54"/>
        <v>0</v>
      </c>
      <c r="H1744" s="3"/>
      <c r="I1744" s="3">
        <f ca="1">IFERROR(_xludf.XLOOKUP("Seguro",PARAMETROS_IMPORTACION!$A:$A,PARAMETROS_IMPORTACION!$C:$C,0),0)</f>
        <v>0</v>
      </c>
      <c r="J1744" s="3">
        <f ca="1">IFERROR(_xludf.XLOOKUP("Arancel",PARAMETROS_IMPORTACION!$A:$A,PARAMETROS_IMPORTACION!$C:$C,0),0)</f>
        <v>0</v>
      </c>
      <c r="K1744" s="2">
        <f ca="1">IFERROR(_xludf.XLOOKUP("Gastos_Aduana",PARAMETROS_IMPORTACION!$A:$A,PARAMETROS_IMPORTACION!$C:$C,0),0)</f>
        <v>0</v>
      </c>
      <c r="L1744" s="2">
        <f t="shared" si="55"/>
        <v>0</v>
      </c>
    </row>
    <row r="1745" spans="5:12" x14ac:dyDescent="0.35">
      <c r="E1745" s="2"/>
      <c r="F1745" s="2">
        <f>_xlfn.XLOOKUP(D1745,TIPOS_CAMBIO!A:A,TIPOS_CAMBIO!B:B,"",0)</f>
        <v>0</v>
      </c>
      <c r="G1745" s="3">
        <f t="shared" si="54"/>
        <v>0</v>
      </c>
      <c r="H1745" s="3"/>
      <c r="I1745" s="3">
        <f ca="1">IFERROR(_xludf.XLOOKUP("Seguro",PARAMETROS_IMPORTACION!$A:$A,PARAMETROS_IMPORTACION!$C:$C,0),0)</f>
        <v>0</v>
      </c>
      <c r="J1745" s="3">
        <f ca="1">IFERROR(_xludf.XLOOKUP("Arancel",PARAMETROS_IMPORTACION!$A:$A,PARAMETROS_IMPORTACION!$C:$C,0),0)</f>
        <v>0</v>
      </c>
      <c r="K1745" s="2">
        <f ca="1">IFERROR(_xludf.XLOOKUP("Gastos_Aduana",PARAMETROS_IMPORTACION!$A:$A,PARAMETROS_IMPORTACION!$C:$C,0),0)</f>
        <v>0</v>
      </c>
      <c r="L1745" s="2">
        <f t="shared" si="55"/>
        <v>0</v>
      </c>
    </row>
    <row r="1746" spans="5:12" x14ac:dyDescent="0.35">
      <c r="E1746" s="2"/>
      <c r="F1746" s="2">
        <f>_xlfn.XLOOKUP(D1746,TIPOS_CAMBIO!A:A,TIPOS_CAMBIO!B:B,"",0)</f>
        <v>0</v>
      </c>
      <c r="G1746" s="3">
        <f t="shared" si="54"/>
        <v>0</v>
      </c>
      <c r="H1746" s="3"/>
      <c r="I1746" s="3">
        <f ca="1">IFERROR(_xludf.XLOOKUP("Seguro",PARAMETROS_IMPORTACION!$A:$A,PARAMETROS_IMPORTACION!$C:$C,0),0)</f>
        <v>0</v>
      </c>
      <c r="J1746" s="3">
        <f ca="1">IFERROR(_xludf.XLOOKUP("Arancel",PARAMETROS_IMPORTACION!$A:$A,PARAMETROS_IMPORTACION!$C:$C,0),0)</f>
        <v>0</v>
      </c>
      <c r="K1746" s="2">
        <f ca="1">IFERROR(_xludf.XLOOKUP("Gastos_Aduana",PARAMETROS_IMPORTACION!$A:$A,PARAMETROS_IMPORTACION!$C:$C,0),0)</f>
        <v>0</v>
      </c>
      <c r="L1746" s="2">
        <f t="shared" si="55"/>
        <v>0</v>
      </c>
    </row>
    <row r="1747" spans="5:12" x14ac:dyDescent="0.35">
      <c r="E1747" s="2"/>
      <c r="F1747" s="2">
        <f>_xlfn.XLOOKUP(D1747,TIPOS_CAMBIO!A:A,TIPOS_CAMBIO!B:B,"",0)</f>
        <v>0</v>
      </c>
      <c r="G1747" s="3">
        <f t="shared" si="54"/>
        <v>0</v>
      </c>
      <c r="H1747" s="3"/>
      <c r="I1747" s="3">
        <f ca="1">IFERROR(_xludf.XLOOKUP("Seguro",PARAMETROS_IMPORTACION!$A:$A,PARAMETROS_IMPORTACION!$C:$C,0),0)</f>
        <v>0</v>
      </c>
      <c r="J1747" s="3">
        <f ca="1">IFERROR(_xludf.XLOOKUP("Arancel",PARAMETROS_IMPORTACION!$A:$A,PARAMETROS_IMPORTACION!$C:$C,0),0)</f>
        <v>0</v>
      </c>
      <c r="K1747" s="2">
        <f ca="1">IFERROR(_xludf.XLOOKUP("Gastos_Aduana",PARAMETROS_IMPORTACION!$A:$A,PARAMETROS_IMPORTACION!$C:$C,0),0)</f>
        <v>0</v>
      </c>
      <c r="L1747" s="2">
        <f t="shared" si="55"/>
        <v>0</v>
      </c>
    </row>
    <row r="1748" spans="5:12" x14ac:dyDescent="0.35">
      <c r="E1748" s="2"/>
      <c r="F1748" s="2">
        <f>_xlfn.XLOOKUP(D1748,TIPOS_CAMBIO!A:A,TIPOS_CAMBIO!B:B,"",0)</f>
        <v>0</v>
      </c>
      <c r="G1748" s="3">
        <f t="shared" si="54"/>
        <v>0</v>
      </c>
      <c r="H1748" s="3"/>
      <c r="I1748" s="3">
        <f ca="1">IFERROR(_xludf.XLOOKUP("Seguro",PARAMETROS_IMPORTACION!$A:$A,PARAMETROS_IMPORTACION!$C:$C,0),0)</f>
        <v>0</v>
      </c>
      <c r="J1748" s="3">
        <f ca="1">IFERROR(_xludf.XLOOKUP("Arancel",PARAMETROS_IMPORTACION!$A:$A,PARAMETROS_IMPORTACION!$C:$C,0),0)</f>
        <v>0</v>
      </c>
      <c r="K1748" s="2">
        <f ca="1">IFERROR(_xludf.XLOOKUP("Gastos_Aduana",PARAMETROS_IMPORTACION!$A:$A,PARAMETROS_IMPORTACION!$C:$C,0),0)</f>
        <v>0</v>
      </c>
      <c r="L1748" s="2">
        <f t="shared" si="55"/>
        <v>0</v>
      </c>
    </row>
    <row r="1749" spans="5:12" x14ac:dyDescent="0.35">
      <c r="E1749" s="2"/>
      <c r="F1749" s="2">
        <f>_xlfn.XLOOKUP(D1749,TIPOS_CAMBIO!A:A,TIPOS_CAMBIO!B:B,"",0)</f>
        <v>0</v>
      </c>
      <c r="G1749" s="3">
        <f t="shared" si="54"/>
        <v>0</v>
      </c>
      <c r="H1749" s="3"/>
      <c r="I1749" s="3">
        <f ca="1">IFERROR(_xludf.XLOOKUP("Seguro",PARAMETROS_IMPORTACION!$A:$A,PARAMETROS_IMPORTACION!$C:$C,0),0)</f>
        <v>0</v>
      </c>
      <c r="J1749" s="3">
        <f ca="1">IFERROR(_xludf.XLOOKUP("Arancel",PARAMETROS_IMPORTACION!$A:$A,PARAMETROS_IMPORTACION!$C:$C,0),0)</f>
        <v>0</v>
      </c>
      <c r="K1749" s="2">
        <f ca="1">IFERROR(_xludf.XLOOKUP("Gastos_Aduana",PARAMETROS_IMPORTACION!$A:$A,PARAMETROS_IMPORTACION!$C:$C,0),0)</f>
        <v>0</v>
      </c>
      <c r="L1749" s="2">
        <f t="shared" si="55"/>
        <v>0</v>
      </c>
    </row>
    <row r="1750" spans="5:12" x14ac:dyDescent="0.35">
      <c r="E1750" s="2"/>
      <c r="F1750" s="2">
        <f>_xlfn.XLOOKUP(D1750,TIPOS_CAMBIO!A:A,TIPOS_CAMBIO!B:B,"",0)</f>
        <v>0</v>
      </c>
      <c r="G1750" s="3">
        <f t="shared" si="54"/>
        <v>0</v>
      </c>
      <c r="H1750" s="3"/>
      <c r="I1750" s="3">
        <f ca="1">IFERROR(_xludf.XLOOKUP("Seguro",PARAMETROS_IMPORTACION!$A:$A,PARAMETROS_IMPORTACION!$C:$C,0),0)</f>
        <v>0</v>
      </c>
      <c r="J1750" s="3">
        <f ca="1">IFERROR(_xludf.XLOOKUP("Arancel",PARAMETROS_IMPORTACION!$A:$A,PARAMETROS_IMPORTACION!$C:$C,0),0)</f>
        <v>0</v>
      </c>
      <c r="K1750" s="2">
        <f ca="1">IFERROR(_xludf.XLOOKUP("Gastos_Aduana",PARAMETROS_IMPORTACION!$A:$A,PARAMETROS_IMPORTACION!$C:$C,0),0)</f>
        <v>0</v>
      </c>
      <c r="L1750" s="2">
        <f t="shared" si="55"/>
        <v>0</v>
      </c>
    </row>
    <row r="1751" spans="5:12" x14ac:dyDescent="0.35">
      <c r="E1751" s="2"/>
      <c r="F1751" s="2">
        <f>_xlfn.XLOOKUP(D1751,TIPOS_CAMBIO!A:A,TIPOS_CAMBIO!B:B,"",0)</f>
        <v>0</v>
      </c>
      <c r="G1751" s="3">
        <f t="shared" si="54"/>
        <v>0</v>
      </c>
      <c r="H1751" s="3"/>
      <c r="I1751" s="3">
        <f ca="1">IFERROR(_xludf.XLOOKUP("Seguro",PARAMETROS_IMPORTACION!$A:$A,PARAMETROS_IMPORTACION!$C:$C,0),0)</f>
        <v>0</v>
      </c>
      <c r="J1751" s="3">
        <f ca="1">IFERROR(_xludf.XLOOKUP("Arancel",PARAMETROS_IMPORTACION!$A:$A,PARAMETROS_IMPORTACION!$C:$C,0),0)</f>
        <v>0</v>
      </c>
      <c r="K1751" s="2">
        <f ca="1">IFERROR(_xludf.XLOOKUP("Gastos_Aduana",PARAMETROS_IMPORTACION!$A:$A,PARAMETROS_IMPORTACION!$C:$C,0),0)</f>
        <v>0</v>
      </c>
      <c r="L1751" s="2">
        <f t="shared" si="55"/>
        <v>0</v>
      </c>
    </row>
    <row r="1752" spans="5:12" x14ac:dyDescent="0.35">
      <c r="E1752" s="2"/>
      <c r="F1752" s="2">
        <f>_xlfn.XLOOKUP(D1752,TIPOS_CAMBIO!A:A,TIPOS_CAMBIO!B:B,"",0)</f>
        <v>0</v>
      </c>
      <c r="G1752" s="3">
        <f t="shared" si="54"/>
        <v>0</v>
      </c>
      <c r="H1752" s="3"/>
      <c r="I1752" s="3">
        <f ca="1">IFERROR(_xludf.XLOOKUP("Seguro",PARAMETROS_IMPORTACION!$A:$A,PARAMETROS_IMPORTACION!$C:$C,0),0)</f>
        <v>0</v>
      </c>
      <c r="J1752" s="3">
        <f ca="1">IFERROR(_xludf.XLOOKUP("Arancel",PARAMETROS_IMPORTACION!$A:$A,PARAMETROS_IMPORTACION!$C:$C,0),0)</f>
        <v>0</v>
      </c>
      <c r="K1752" s="2">
        <f ca="1">IFERROR(_xludf.XLOOKUP("Gastos_Aduana",PARAMETROS_IMPORTACION!$A:$A,PARAMETROS_IMPORTACION!$C:$C,0),0)</f>
        <v>0</v>
      </c>
      <c r="L1752" s="2">
        <f t="shared" si="55"/>
        <v>0</v>
      </c>
    </row>
    <row r="1753" spans="5:12" x14ac:dyDescent="0.35">
      <c r="E1753" s="2"/>
      <c r="F1753" s="2">
        <f>_xlfn.XLOOKUP(D1753,TIPOS_CAMBIO!A:A,TIPOS_CAMBIO!B:B,"",0)</f>
        <v>0</v>
      </c>
      <c r="G1753" s="3">
        <f t="shared" si="54"/>
        <v>0</v>
      </c>
      <c r="H1753" s="3"/>
      <c r="I1753" s="3">
        <f ca="1">IFERROR(_xludf.XLOOKUP("Seguro",PARAMETROS_IMPORTACION!$A:$A,PARAMETROS_IMPORTACION!$C:$C,0),0)</f>
        <v>0</v>
      </c>
      <c r="J1753" s="3">
        <f ca="1">IFERROR(_xludf.XLOOKUP("Arancel",PARAMETROS_IMPORTACION!$A:$A,PARAMETROS_IMPORTACION!$C:$C,0),0)</f>
        <v>0</v>
      </c>
      <c r="K1753" s="2">
        <f ca="1">IFERROR(_xludf.XLOOKUP("Gastos_Aduana",PARAMETROS_IMPORTACION!$A:$A,PARAMETROS_IMPORTACION!$C:$C,0),0)</f>
        <v>0</v>
      </c>
      <c r="L1753" s="2">
        <f t="shared" si="55"/>
        <v>0</v>
      </c>
    </row>
    <row r="1754" spans="5:12" x14ac:dyDescent="0.35">
      <c r="E1754" s="2"/>
      <c r="F1754" s="2">
        <f>_xlfn.XLOOKUP(D1754,TIPOS_CAMBIO!A:A,TIPOS_CAMBIO!B:B,"",0)</f>
        <v>0</v>
      </c>
      <c r="G1754" s="3">
        <f t="shared" si="54"/>
        <v>0</v>
      </c>
      <c r="H1754" s="3"/>
      <c r="I1754" s="3">
        <f ca="1">IFERROR(_xludf.XLOOKUP("Seguro",PARAMETROS_IMPORTACION!$A:$A,PARAMETROS_IMPORTACION!$C:$C,0),0)</f>
        <v>0</v>
      </c>
      <c r="J1754" s="3">
        <f ca="1">IFERROR(_xludf.XLOOKUP("Arancel",PARAMETROS_IMPORTACION!$A:$A,PARAMETROS_IMPORTACION!$C:$C,0),0)</f>
        <v>0</v>
      </c>
      <c r="K1754" s="2">
        <f ca="1">IFERROR(_xludf.XLOOKUP("Gastos_Aduana",PARAMETROS_IMPORTACION!$A:$A,PARAMETROS_IMPORTACION!$C:$C,0),0)</f>
        <v>0</v>
      </c>
      <c r="L1754" s="2">
        <f t="shared" si="55"/>
        <v>0</v>
      </c>
    </row>
    <row r="1755" spans="5:12" x14ac:dyDescent="0.35">
      <c r="E1755" s="2"/>
      <c r="F1755" s="2">
        <f>_xlfn.XLOOKUP(D1755,TIPOS_CAMBIO!A:A,TIPOS_CAMBIO!B:B,"",0)</f>
        <v>0</v>
      </c>
      <c r="G1755" s="3">
        <f t="shared" si="54"/>
        <v>0</v>
      </c>
      <c r="H1755" s="3"/>
      <c r="I1755" s="3">
        <f ca="1">IFERROR(_xludf.XLOOKUP("Seguro",PARAMETROS_IMPORTACION!$A:$A,PARAMETROS_IMPORTACION!$C:$C,0),0)</f>
        <v>0</v>
      </c>
      <c r="J1755" s="3">
        <f ca="1">IFERROR(_xludf.XLOOKUP("Arancel",PARAMETROS_IMPORTACION!$A:$A,PARAMETROS_IMPORTACION!$C:$C,0),0)</f>
        <v>0</v>
      </c>
      <c r="K1755" s="2">
        <f ca="1">IFERROR(_xludf.XLOOKUP("Gastos_Aduana",PARAMETROS_IMPORTACION!$A:$A,PARAMETROS_IMPORTACION!$C:$C,0),0)</f>
        <v>0</v>
      </c>
      <c r="L1755" s="2">
        <f t="shared" si="55"/>
        <v>0</v>
      </c>
    </row>
    <row r="1756" spans="5:12" x14ac:dyDescent="0.35">
      <c r="E1756" s="2"/>
      <c r="F1756" s="2">
        <f>_xlfn.XLOOKUP(D1756,TIPOS_CAMBIO!A:A,TIPOS_CAMBIO!B:B,"",0)</f>
        <v>0</v>
      </c>
      <c r="G1756" s="3">
        <f t="shared" si="54"/>
        <v>0</v>
      </c>
      <c r="H1756" s="3"/>
      <c r="I1756" s="3">
        <f ca="1">IFERROR(_xludf.XLOOKUP("Seguro",PARAMETROS_IMPORTACION!$A:$A,PARAMETROS_IMPORTACION!$C:$C,0),0)</f>
        <v>0</v>
      </c>
      <c r="J1756" s="3">
        <f ca="1">IFERROR(_xludf.XLOOKUP("Arancel",PARAMETROS_IMPORTACION!$A:$A,PARAMETROS_IMPORTACION!$C:$C,0),0)</f>
        <v>0</v>
      </c>
      <c r="K1756" s="2">
        <f ca="1">IFERROR(_xludf.XLOOKUP("Gastos_Aduana",PARAMETROS_IMPORTACION!$A:$A,PARAMETROS_IMPORTACION!$C:$C,0),0)</f>
        <v>0</v>
      </c>
      <c r="L1756" s="2">
        <f t="shared" si="55"/>
        <v>0</v>
      </c>
    </row>
    <row r="1757" spans="5:12" x14ac:dyDescent="0.35">
      <c r="E1757" s="2"/>
      <c r="F1757" s="2">
        <f>_xlfn.XLOOKUP(D1757,TIPOS_CAMBIO!A:A,TIPOS_CAMBIO!B:B,"",0)</f>
        <v>0</v>
      </c>
      <c r="G1757" s="3">
        <f t="shared" si="54"/>
        <v>0</v>
      </c>
      <c r="H1757" s="3"/>
      <c r="I1757" s="3">
        <f ca="1">IFERROR(_xludf.XLOOKUP("Seguro",PARAMETROS_IMPORTACION!$A:$A,PARAMETROS_IMPORTACION!$C:$C,0),0)</f>
        <v>0</v>
      </c>
      <c r="J1757" s="3">
        <f ca="1">IFERROR(_xludf.XLOOKUP("Arancel",PARAMETROS_IMPORTACION!$A:$A,PARAMETROS_IMPORTACION!$C:$C,0),0)</f>
        <v>0</v>
      </c>
      <c r="K1757" s="2">
        <f ca="1">IFERROR(_xludf.XLOOKUP("Gastos_Aduana",PARAMETROS_IMPORTACION!$A:$A,PARAMETROS_IMPORTACION!$C:$C,0),0)</f>
        <v>0</v>
      </c>
      <c r="L1757" s="2">
        <f t="shared" si="55"/>
        <v>0</v>
      </c>
    </row>
    <row r="1758" spans="5:12" x14ac:dyDescent="0.35">
      <c r="E1758" s="2"/>
      <c r="F1758" s="2">
        <f>_xlfn.XLOOKUP(D1758,TIPOS_CAMBIO!A:A,TIPOS_CAMBIO!B:B,"",0)</f>
        <v>0</v>
      </c>
      <c r="G1758" s="3">
        <f t="shared" si="54"/>
        <v>0</v>
      </c>
      <c r="H1758" s="3"/>
      <c r="I1758" s="3">
        <f ca="1">IFERROR(_xludf.XLOOKUP("Seguro",PARAMETROS_IMPORTACION!$A:$A,PARAMETROS_IMPORTACION!$C:$C,0),0)</f>
        <v>0</v>
      </c>
      <c r="J1758" s="3">
        <f ca="1">IFERROR(_xludf.XLOOKUP("Arancel",PARAMETROS_IMPORTACION!$A:$A,PARAMETROS_IMPORTACION!$C:$C,0),0)</f>
        <v>0</v>
      </c>
      <c r="K1758" s="2">
        <f ca="1">IFERROR(_xludf.XLOOKUP("Gastos_Aduana",PARAMETROS_IMPORTACION!$A:$A,PARAMETROS_IMPORTACION!$C:$C,0),0)</f>
        <v>0</v>
      </c>
      <c r="L1758" s="2">
        <f t="shared" si="55"/>
        <v>0</v>
      </c>
    </row>
    <row r="1759" spans="5:12" x14ac:dyDescent="0.35">
      <c r="E1759" s="2"/>
      <c r="F1759" s="2">
        <f>_xlfn.XLOOKUP(D1759,TIPOS_CAMBIO!A:A,TIPOS_CAMBIO!B:B,"",0)</f>
        <v>0</v>
      </c>
      <c r="G1759" s="3">
        <f t="shared" si="54"/>
        <v>0</v>
      </c>
      <c r="H1759" s="3"/>
      <c r="I1759" s="3">
        <f ca="1">IFERROR(_xludf.XLOOKUP("Seguro",PARAMETROS_IMPORTACION!$A:$A,PARAMETROS_IMPORTACION!$C:$C,0),0)</f>
        <v>0</v>
      </c>
      <c r="J1759" s="3">
        <f ca="1">IFERROR(_xludf.XLOOKUP("Arancel",PARAMETROS_IMPORTACION!$A:$A,PARAMETROS_IMPORTACION!$C:$C,0),0)</f>
        <v>0</v>
      </c>
      <c r="K1759" s="2">
        <f ca="1">IFERROR(_xludf.XLOOKUP("Gastos_Aduana",PARAMETROS_IMPORTACION!$A:$A,PARAMETROS_IMPORTACION!$C:$C,0),0)</f>
        <v>0</v>
      </c>
      <c r="L1759" s="2">
        <f t="shared" si="55"/>
        <v>0</v>
      </c>
    </row>
    <row r="1760" spans="5:12" x14ac:dyDescent="0.35">
      <c r="E1760" s="2"/>
      <c r="F1760" s="2">
        <f>_xlfn.XLOOKUP(D1760,TIPOS_CAMBIO!A:A,TIPOS_CAMBIO!B:B,"",0)</f>
        <v>0</v>
      </c>
      <c r="G1760" s="3">
        <f t="shared" si="54"/>
        <v>0</v>
      </c>
      <c r="H1760" s="3"/>
      <c r="I1760" s="3">
        <f ca="1">IFERROR(_xludf.XLOOKUP("Seguro",PARAMETROS_IMPORTACION!$A:$A,PARAMETROS_IMPORTACION!$C:$C,0),0)</f>
        <v>0</v>
      </c>
      <c r="J1760" s="3">
        <f ca="1">IFERROR(_xludf.XLOOKUP("Arancel",PARAMETROS_IMPORTACION!$A:$A,PARAMETROS_IMPORTACION!$C:$C,0),0)</f>
        <v>0</v>
      </c>
      <c r="K1760" s="2">
        <f ca="1">IFERROR(_xludf.XLOOKUP("Gastos_Aduana",PARAMETROS_IMPORTACION!$A:$A,PARAMETROS_IMPORTACION!$C:$C,0),0)</f>
        <v>0</v>
      </c>
      <c r="L1760" s="2">
        <f t="shared" si="55"/>
        <v>0</v>
      </c>
    </row>
    <row r="1761" spans="5:12" x14ac:dyDescent="0.35">
      <c r="E1761" s="2"/>
      <c r="F1761" s="2">
        <f>_xlfn.XLOOKUP(D1761,TIPOS_CAMBIO!A:A,TIPOS_CAMBIO!B:B,"",0)</f>
        <v>0</v>
      </c>
      <c r="G1761" s="3">
        <f t="shared" si="54"/>
        <v>0</v>
      </c>
      <c r="H1761" s="3"/>
      <c r="I1761" s="3">
        <f ca="1">IFERROR(_xludf.XLOOKUP("Seguro",PARAMETROS_IMPORTACION!$A:$A,PARAMETROS_IMPORTACION!$C:$C,0),0)</f>
        <v>0</v>
      </c>
      <c r="J1761" s="3">
        <f ca="1">IFERROR(_xludf.XLOOKUP("Arancel",PARAMETROS_IMPORTACION!$A:$A,PARAMETROS_IMPORTACION!$C:$C,0),0)</f>
        <v>0</v>
      </c>
      <c r="K1761" s="2">
        <f ca="1">IFERROR(_xludf.XLOOKUP("Gastos_Aduana",PARAMETROS_IMPORTACION!$A:$A,PARAMETROS_IMPORTACION!$C:$C,0),0)</f>
        <v>0</v>
      </c>
      <c r="L1761" s="2">
        <f t="shared" si="55"/>
        <v>0</v>
      </c>
    </row>
    <row r="1762" spans="5:12" x14ac:dyDescent="0.35">
      <c r="E1762" s="2"/>
      <c r="F1762" s="2">
        <f>_xlfn.XLOOKUP(D1762,TIPOS_CAMBIO!A:A,TIPOS_CAMBIO!B:B,"",0)</f>
        <v>0</v>
      </c>
      <c r="G1762" s="3">
        <f t="shared" si="54"/>
        <v>0</v>
      </c>
      <c r="H1762" s="3"/>
      <c r="I1762" s="3">
        <f ca="1">IFERROR(_xludf.XLOOKUP("Seguro",PARAMETROS_IMPORTACION!$A:$A,PARAMETROS_IMPORTACION!$C:$C,0),0)</f>
        <v>0</v>
      </c>
      <c r="J1762" s="3">
        <f ca="1">IFERROR(_xludf.XLOOKUP("Arancel",PARAMETROS_IMPORTACION!$A:$A,PARAMETROS_IMPORTACION!$C:$C,0),0)</f>
        <v>0</v>
      </c>
      <c r="K1762" s="2">
        <f ca="1">IFERROR(_xludf.XLOOKUP("Gastos_Aduana",PARAMETROS_IMPORTACION!$A:$A,PARAMETROS_IMPORTACION!$C:$C,0),0)</f>
        <v>0</v>
      </c>
      <c r="L1762" s="2">
        <f t="shared" si="55"/>
        <v>0</v>
      </c>
    </row>
    <row r="1763" spans="5:12" x14ac:dyDescent="0.35">
      <c r="E1763" s="2"/>
      <c r="F1763" s="2">
        <f>_xlfn.XLOOKUP(D1763,TIPOS_CAMBIO!A:A,TIPOS_CAMBIO!B:B,"",0)</f>
        <v>0</v>
      </c>
      <c r="G1763" s="3">
        <f t="shared" si="54"/>
        <v>0</v>
      </c>
      <c r="H1763" s="3"/>
      <c r="I1763" s="3">
        <f ca="1">IFERROR(_xludf.XLOOKUP("Seguro",PARAMETROS_IMPORTACION!$A:$A,PARAMETROS_IMPORTACION!$C:$C,0),0)</f>
        <v>0</v>
      </c>
      <c r="J1763" s="3">
        <f ca="1">IFERROR(_xludf.XLOOKUP("Arancel",PARAMETROS_IMPORTACION!$A:$A,PARAMETROS_IMPORTACION!$C:$C,0),0)</f>
        <v>0</v>
      </c>
      <c r="K1763" s="2">
        <f ca="1">IFERROR(_xludf.XLOOKUP("Gastos_Aduana",PARAMETROS_IMPORTACION!$A:$A,PARAMETROS_IMPORTACION!$C:$C,0),0)</f>
        <v>0</v>
      </c>
      <c r="L1763" s="2">
        <f t="shared" si="55"/>
        <v>0</v>
      </c>
    </row>
    <row r="1764" spans="5:12" x14ac:dyDescent="0.35">
      <c r="E1764" s="2"/>
      <c r="F1764" s="2">
        <f>_xlfn.XLOOKUP(D1764,TIPOS_CAMBIO!A:A,TIPOS_CAMBIO!B:B,"",0)</f>
        <v>0</v>
      </c>
      <c r="G1764" s="3">
        <f t="shared" si="54"/>
        <v>0</v>
      </c>
      <c r="H1764" s="3"/>
      <c r="I1764" s="3">
        <f ca="1">IFERROR(_xludf.XLOOKUP("Seguro",PARAMETROS_IMPORTACION!$A:$A,PARAMETROS_IMPORTACION!$C:$C,0),0)</f>
        <v>0</v>
      </c>
      <c r="J1764" s="3">
        <f ca="1">IFERROR(_xludf.XLOOKUP("Arancel",PARAMETROS_IMPORTACION!$A:$A,PARAMETROS_IMPORTACION!$C:$C,0),0)</f>
        <v>0</v>
      </c>
      <c r="K1764" s="2">
        <f ca="1">IFERROR(_xludf.XLOOKUP("Gastos_Aduana",PARAMETROS_IMPORTACION!$A:$A,PARAMETROS_IMPORTACION!$C:$C,0),0)</f>
        <v>0</v>
      </c>
      <c r="L1764" s="2">
        <f t="shared" si="55"/>
        <v>0</v>
      </c>
    </row>
    <row r="1765" spans="5:12" x14ac:dyDescent="0.35">
      <c r="E1765" s="2"/>
      <c r="F1765" s="2">
        <f>_xlfn.XLOOKUP(D1765,TIPOS_CAMBIO!A:A,TIPOS_CAMBIO!B:B,"",0)</f>
        <v>0</v>
      </c>
      <c r="G1765" s="3">
        <f t="shared" si="54"/>
        <v>0</v>
      </c>
      <c r="H1765" s="3"/>
      <c r="I1765" s="3">
        <f ca="1">IFERROR(_xludf.XLOOKUP("Seguro",PARAMETROS_IMPORTACION!$A:$A,PARAMETROS_IMPORTACION!$C:$C,0),0)</f>
        <v>0</v>
      </c>
      <c r="J1765" s="3">
        <f ca="1">IFERROR(_xludf.XLOOKUP("Arancel",PARAMETROS_IMPORTACION!$A:$A,PARAMETROS_IMPORTACION!$C:$C,0),0)</f>
        <v>0</v>
      </c>
      <c r="K1765" s="2">
        <f ca="1">IFERROR(_xludf.XLOOKUP("Gastos_Aduana",PARAMETROS_IMPORTACION!$A:$A,PARAMETROS_IMPORTACION!$C:$C,0),0)</f>
        <v>0</v>
      </c>
      <c r="L1765" s="2">
        <f t="shared" si="55"/>
        <v>0</v>
      </c>
    </row>
    <row r="1766" spans="5:12" x14ac:dyDescent="0.35">
      <c r="E1766" s="2"/>
      <c r="F1766" s="2">
        <f>_xlfn.XLOOKUP(D1766,TIPOS_CAMBIO!A:A,TIPOS_CAMBIO!B:B,"",0)</f>
        <v>0</v>
      </c>
      <c r="G1766" s="3">
        <f t="shared" si="54"/>
        <v>0</v>
      </c>
      <c r="H1766" s="3"/>
      <c r="I1766" s="3">
        <f ca="1">IFERROR(_xludf.XLOOKUP("Seguro",PARAMETROS_IMPORTACION!$A:$A,PARAMETROS_IMPORTACION!$C:$C,0),0)</f>
        <v>0</v>
      </c>
      <c r="J1766" s="3">
        <f ca="1">IFERROR(_xludf.XLOOKUP("Arancel",PARAMETROS_IMPORTACION!$A:$A,PARAMETROS_IMPORTACION!$C:$C,0),0)</f>
        <v>0</v>
      </c>
      <c r="K1766" s="2">
        <f ca="1">IFERROR(_xludf.XLOOKUP("Gastos_Aduana",PARAMETROS_IMPORTACION!$A:$A,PARAMETROS_IMPORTACION!$C:$C,0),0)</f>
        <v>0</v>
      </c>
      <c r="L1766" s="2">
        <f t="shared" si="55"/>
        <v>0</v>
      </c>
    </row>
    <row r="1767" spans="5:12" x14ac:dyDescent="0.35">
      <c r="E1767" s="2"/>
      <c r="F1767" s="2">
        <f>_xlfn.XLOOKUP(D1767,TIPOS_CAMBIO!A:A,TIPOS_CAMBIO!B:B,"",0)</f>
        <v>0</v>
      </c>
      <c r="G1767" s="3">
        <f t="shared" si="54"/>
        <v>0</v>
      </c>
      <c r="H1767" s="3"/>
      <c r="I1767" s="3">
        <f ca="1">IFERROR(_xludf.XLOOKUP("Seguro",PARAMETROS_IMPORTACION!$A:$A,PARAMETROS_IMPORTACION!$C:$C,0),0)</f>
        <v>0</v>
      </c>
      <c r="J1767" s="3">
        <f ca="1">IFERROR(_xludf.XLOOKUP("Arancel",PARAMETROS_IMPORTACION!$A:$A,PARAMETROS_IMPORTACION!$C:$C,0),0)</f>
        <v>0</v>
      </c>
      <c r="K1767" s="2">
        <f ca="1">IFERROR(_xludf.XLOOKUP("Gastos_Aduana",PARAMETROS_IMPORTACION!$A:$A,PARAMETROS_IMPORTACION!$C:$C,0),0)</f>
        <v>0</v>
      </c>
      <c r="L1767" s="2">
        <f t="shared" si="55"/>
        <v>0</v>
      </c>
    </row>
    <row r="1768" spans="5:12" x14ac:dyDescent="0.35">
      <c r="E1768" s="2"/>
      <c r="F1768" s="2">
        <f>_xlfn.XLOOKUP(D1768,TIPOS_CAMBIO!A:A,TIPOS_CAMBIO!B:B,"",0)</f>
        <v>0</v>
      </c>
      <c r="G1768" s="3">
        <f t="shared" si="54"/>
        <v>0</v>
      </c>
      <c r="H1768" s="3"/>
      <c r="I1768" s="3">
        <f ca="1">IFERROR(_xludf.XLOOKUP("Seguro",PARAMETROS_IMPORTACION!$A:$A,PARAMETROS_IMPORTACION!$C:$C,0),0)</f>
        <v>0</v>
      </c>
      <c r="J1768" s="3">
        <f ca="1">IFERROR(_xludf.XLOOKUP("Arancel",PARAMETROS_IMPORTACION!$A:$A,PARAMETROS_IMPORTACION!$C:$C,0),0)</f>
        <v>0</v>
      </c>
      <c r="K1768" s="2">
        <f ca="1">IFERROR(_xludf.XLOOKUP("Gastos_Aduana",PARAMETROS_IMPORTACION!$A:$A,PARAMETROS_IMPORTACION!$C:$C,0),0)</f>
        <v>0</v>
      </c>
      <c r="L1768" s="2">
        <f t="shared" si="55"/>
        <v>0</v>
      </c>
    </row>
    <row r="1769" spans="5:12" x14ac:dyDescent="0.35">
      <c r="E1769" s="2"/>
      <c r="F1769" s="2">
        <f>_xlfn.XLOOKUP(D1769,TIPOS_CAMBIO!A:A,TIPOS_CAMBIO!B:B,"",0)</f>
        <v>0</v>
      </c>
      <c r="G1769" s="3">
        <f t="shared" si="54"/>
        <v>0</v>
      </c>
      <c r="H1769" s="3"/>
      <c r="I1769" s="3">
        <f ca="1">IFERROR(_xludf.XLOOKUP("Seguro",PARAMETROS_IMPORTACION!$A:$A,PARAMETROS_IMPORTACION!$C:$C,0),0)</f>
        <v>0</v>
      </c>
      <c r="J1769" s="3">
        <f ca="1">IFERROR(_xludf.XLOOKUP("Arancel",PARAMETROS_IMPORTACION!$A:$A,PARAMETROS_IMPORTACION!$C:$C,0),0)</f>
        <v>0</v>
      </c>
      <c r="K1769" s="2">
        <f ca="1">IFERROR(_xludf.XLOOKUP("Gastos_Aduana",PARAMETROS_IMPORTACION!$A:$A,PARAMETROS_IMPORTACION!$C:$C,0),0)</f>
        <v>0</v>
      </c>
      <c r="L1769" s="2">
        <f t="shared" si="55"/>
        <v>0</v>
      </c>
    </row>
    <row r="1770" spans="5:12" x14ac:dyDescent="0.35">
      <c r="E1770" s="2"/>
      <c r="F1770" s="2">
        <f>_xlfn.XLOOKUP(D1770,TIPOS_CAMBIO!A:A,TIPOS_CAMBIO!B:B,"",0)</f>
        <v>0</v>
      </c>
      <c r="G1770" s="3">
        <f t="shared" si="54"/>
        <v>0</v>
      </c>
      <c r="H1770" s="3"/>
      <c r="I1770" s="3">
        <f ca="1">IFERROR(_xludf.XLOOKUP("Seguro",PARAMETROS_IMPORTACION!$A:$A,PARAMETROS_IMPORTACION!$C:$C,0),0)</f>
        <v>0</v>
      </c>
      <c r="J1770" s="3">
        <f ca="1">IFERROR(_xludf.XLOOKUP("Arancel",PARAMETROS_IMPORTACION!$A:$A,PARAMETROS_IMPORTACION!$C:$C,0),0)</f>
        <v>0</v>
      </c>
      <c r="K1770" s="2">
        <f ca="1">IFERROR(_xludf.XLOOKUP("Gastos_Aduana",PARAMETROS_IMPORTACION!$A:$A,PARAMETROS_IMPORTACION!$C:$C,0),0)</f>
        <v>0</v>
      </c>
      <c r="L1770" s="2">
        <f t="shared" si="55"/>
        <v>0</v>
      </c>
    </row>
    <row r="1771" spans="5:12" x14ac:dyDescent="0.35">
      <c r="E1771" s="2"/>
      <c r="F1771" s="2">
        <f>_xlfn.XLOOKUP(D1771,TIPOS_CAMBIO!A:A,TIPOS_CAMBIO!B:B,"",0)</f>
        <v>0</v>
      </c>
      <c r="G1771" s="3">
        <f t="shared" si="54"/>
        <v>0</v>
      </c>
      <c r="H1771" s="3"/>
      <c r="I1771" s="3">
        <f ca="1">IFERROR(_xludf.XLOOKUP("Seguro",PARAMETROS_IMPORTACION!$A:$A,PARAMETROS_IMPORTACION!$C:$C,0),0)</f>
        <v>0</v>
      </c>
      <c r="J1771" s="3">
        <f ca="1">IFERROR(_xludf.XLOOKUP("Arancel",PARAMETROS_IMPORTACION!$A:$A,PARAMETROS_IMPORTACION!$C:$C,0),0)</f>
        <v>0</v>
      </c>
      <c r="K1771" s="2">
        <f ca="1">IFERROR(_xludf.XLOOKUP("Gastos_Aduana",PARAMETROS_IMPORTACION!$A:$A,PARAMETROS_IMPORTACION!$C:$C,0),0)</f>
        <v>0</v>
      </c>
      <c r="L1771" s="2">
        <f t="shared" si="55"/>
        <v>0</v>
      </c>
    </row>
    <row r="1772" spans="5:12" x14ac:dyDescent="0.35">
      <c r="E1772" s="2"/>
      <c r="F1772" s="2">
        <f>_xlfn.XLOOKUP(D1772,TIPOS_CAMBIO!A:A,TIPOS_CAMBIO!B:B,"",0)</f>
        <v>0</v>
      </c>
      <c r="G1772" s="3">
        <f t="shared" si="54"/>
        <v>0</v>
      </c>
      <c r="H1772" s="3"/>
      <c r="I1772" s="3">
        <f ca="1">IFERROR(_xludf.XLOOKUP("Seguro",PARAMETROS_IMPORTACION!$A:$A,PARAMETROS_IMPORTACION!$C:$C,0),0)</f>
        <v>0</v>
      </c>
      <c r="J1772" s="3">
        <f ca="1">IFERROR(_xludf.XLOOKUP("Arancel",PARAMETROS_IMPORTACION!$A:$A,PARAMETROS_IMPORTACION!$C:$C,0),0)</f>
        <v>0</v>
      </c>
      <c r="K1772" s="2">
        <f ca="1">IFERROR(_xludf.XLOOKUP("Gastos_Aduana",PARAMETROS_IMPORTACION!$A:$A,PARAMETROS_IMPORTACION!$C:$C,0),0)</f>
        <v>0</v>
      </c>
      <c r="L1772" s="2">
        <f t="shared" si="55"/>
        <v>0</v>
      </c>
    </row>
    <row r="1773" spans="5:12" x14ac:dyDescent="0.35">
      <c r="E1773" s="2"/>
      <c r="F1773" s="2">
        <f>_xlfn.XLOOKUP(D1773,TIPOS_CAMBIO!A:A,TIPOS_CAMBIO!B:B,"",0)</f>
        <v>0</v>
      </c>
      <c r="G1773" s="3">
        <f t="shared" si="54"/>
        <v>0</v>
      </c>
      <c r="H1773" s="3"/>
      <c r="I1773" s="3">
        <f ca="1">IFERROR(_xludf.XLOOKUP("Seguro",PARAMETROS_IMPORTACION!$A:$A,PARAMETROS_IMPORTACION!$C:$C,0),0)</f>
        <v>0</v>
      </c>
      <c r="J1773" s="3">
        <f ca="1">IFERROR(_xludf.XLOOKUP("Arancel",PARAMETROS_IMPORTACION!$A:$A,PARAMETROS_IMPORTACION!$C:$C,0),0)</f>
        <v>0</v>
      </c>
      <c r="K1773" s="2">
        <f ca="1">IFERROR(_xludf.XLOOKUP("Gastos_Aduana",PARAMETROS_IMPORTACION!$A:$A,PARAMETROS_IMPORTACION!$C:$C,0),0)</f>
        <v>0</v>
      </c>
      <c r="L1773" s="2">
        <f t="shared" si="55"/>
        <v>0</v>
      </c>
    </row>
    <row r="1774" spans="5:12" x14ac:dyDescent="0.35">
      <c r="E1774" s="2"/>
      <c r="F1774" s="2">
        <f>_xlfn.XLOOKUP(D1774,TIPOS_CAMBIO!A:A,TIPOS_CAMBIO!B:B,"",0)</f>
        <v>0</v>
      </c>
      <c r="G1774" s="3">
        <f t="shared" si="54"/>
        <v>0</v>
      </c>
      <c r="H1774" s="3"/>
      <c r="I1774" s="3">
        <f ca="1">IFERROR(_xludf.XLOOKUP("Seguro",PARAMETROS_IMPORTACION!$A:$A,PARAMETROS_IMPORTACION!$C:$C,0),0)</f>
        <v>0</v>
      </c>
      <c r="J1774" s="3">
        <f ca="1">IFERROR(_xludf.XLOOKUP("Arancel",PARAMETROS_IMPORTACION!$A:$A,PARAMETROS_IMPORTACION!$C:$C,0),0)</f>
        <v>0</v>
      </c>
      <c r="K1774" s="2">
        <f ca="1">IFERROR(_xludf.XLOOKUP("Gastos_Aduana",PARAMETROS_IMPORTACION!$A:$A,PARAMETROS_IMPORTACION!$C:$C,0),0)</f>
        <v>0</v>
      </c>
      <c r="L1774" s="2">
        <f t="shared" si="55"/>
        <v>0</v>
      </c>
    </row>
    <row r="1775" spans="5:12" x14ac:dyDescent="0.35">
      <c r="E1775" s="2"/>
      <c r="F1775" s="2">
        <f>_xlfn.XLOOKUP(D1775,TIPOS_CAMBIO!A:A,TIPOS_CAMBIO!B:B,"",0)</f>
        <v>0</v>
      </c>
      <c r="G1775" s="3">
        <f t="shared" si="54"/>
        <v>0</v>
      </c>
      <c r="H1775" s="3"/>
      <c r="I1775" s="3">
        <f ca="1">IFERROR(_xludf.XLOOKUP("Seguro",PARAMETROS_IMPORTACION!$A:$A,PARAMETROS_IMPORTACION!$C:$C,0),0)</f>
        <v>0</v>
      </c>
      <c r="J1775" s="3">
        <f ca="1">IFERROR(_xludf.XLOOKUP("Arancel",PARAMETROS_IMPORTACION!$A:$A,PARAMETROS_IMPORTACION!$C:$C,0),0)</f>
        <v>0</v>
      </c>
      <c r="K1775" s="2">
        <f ca="1">IFERROR(_xludf.XLOOKUP("Gastos_Aduana",PARAMETROS_IMPORTACION!$A:$A,PARAMETROS_IMPORTACION!$C:$C,0),0)</f>
        <v>0</v>
      </c>
      <c r="L1775" s="2">
        <f t="shared" si="55"/>
        <v>0</v>
      </c>
    </row>
    <row r="1776" spans="5:12" x14ac:dyDescent="0.35">
      <c r="E1776" s="2"/>
      <c r="F1776" s="2">
        <f>_xlfn.XLOOKUP(D1776,TIPOS_CAMBIO!A:A,TIPOS_CAMBIO!B:B,"",0)</f>
        <v>0</v>
      </c>
      <c r="G1776" s="3">
        <f t="shared" si="54"/>
        <v>0</v>
      </c>
      <c r="H1776" s="3"/>
      <c r="I1776" s="3">
        <f ca="1">IFERROR(_xludf.XLOOKUP("Seguro",PARAMETROS_IMPORTACION!$A:$A,PARAMETROS_IMPORTACION!$C:$C,0),0)</f>
        <v>0</v>
      </c>
      <c r="J1776" s="3">
        <f ca="1">IFERROR(_xludf.XLOOKUP("Arancel",PARAMETROS_IMPORTACION!$A:$A,PARAMETROS_IMPORTACION!$C:$C,0),0)</f>
        <v>0</v>
      </c>
      <c r="K1776" s="2">
        <f ca="1">IFERROR(_xludf.XLOOKUP("Gastos_Aduana",PARAMETROS_IMPORTACION!$A:$A,PARAMETROS_IMPORTACION!$C:$C,0),0)</f>
        <v>0</v>
      </c>
      <c r="L1776" s="2">
        <f t="shared" si="55"/>
        <v>0</v>
      </c>
    </row>
    <row r="1777" spans="5:12" x14ac:dyDescent="0.35">
      <c r="E1777" s="2"/>
      <c r="F1777" s="2">
        <f>_xlfn.XLOOKUP(D1777,TIPOS_CAMBIO!A:A,TIPOS_CAMBIO!B:B,"",0)</f>
        <v>0</v>
      </c>
      <c r="G1777" s="3">
        <f t="shared" si="54"/>
        <v>0</v>
      </c>
      <c r="H1777" s="3"/>
      <c r="I1777" s="3">
        <f ca="1">IFERROR(_xludf.XLOOKUP("Seguro",PARAMETROS_IMPORTACION!$A:$A,PARAMETROS_IMPORTACION!$C:$C,0),0)</f>
        <v>0</v>
      </c>
      <c r="J1777" s="3">
        <f ca="1">IFERROR(_xludf.XLOOKUP("Arancel",PARAMETROS_IMPORTACION!$A:$A,PARAMETROS_IMPORTACION!$C:$C,0),0)</f>
        <v>0</v>
      </c>
      <c r="K1777" s="2">
        <f ca="1">IFERROR(_xludf.XLOOKUP("Gastos_Aduana",PARAMETROS_IMPORTACION!$A:$A,PARAMETROS_IMPORTACION!$C:$C,0),0)</f>
        <v>0</v>
      </c>
      <c r="L1777" s="2">
        <f t="shared" si="55"/>
        <v>0</v>
      </c>
    </row>
    <row r="1778" spans="5:12" x14ac:dyDescent="0.35">
      <c r="E1778" s="2"/>
      <c r="F1778" s="2">
        <f>_xlfn.XLOOKUP(D1778,TIPOS_CAMBIO!A:A,TIPOS_CAMBIO!B:B,"",0)</f>
        <v>0</v>
      </c>
      <c r="G1778" s="3">
        <f t="shared" si="54"/>
        <v>0</v>
      </c>
      <c r="H1778" s="3"/>
      <c r="I1778" s="3">
        <f ca="1">IFERROR(_xludf.XLOOKUP("Seguro",PARAMETROS_IMPORTACION!$A:$A,PARAMETROS_IMPORTACION!$C:$C,0),0)</f>
        <v>0</v>
      </c>
      <c r="J1778" s="3">
        <f ca="1">IFERROR(_xludf.XLOOKUP("Arancel",PARAMETROS_IMPORTACION!$A:$A,PARAMETROS_IMPORTACION!$C:$C,0),0)</f>
        <v>0</v>
      </c>
      <c r="K1778" s="2">
        <f ca="1">IFERROR(_xludf.XLOOKUP("Gastos_Aduana",PARAMETROS_IMPORTACION!$A:$A,PARAMETROS_IMPORTACION!$C:$C,0),0)</f>
        <v>0</v>
      </c>
      <c r="L1778" s="2">
        <f t="shared" si="55"/>
        <v>0</v>
      </c>
    </row>
    <row r="1779" spans="5:12" x14ac:dyDescent="0.35">
      <c r="E1779" s="2"/>
      <c r="F1779" s="2">
        <f>_xlfn.XLOOKUP(D1779,TIPOS_CAMBIO!A:A,TIPOS_CAMBIO!B:B,"",0)</f>
        <v>0</v>
      </c>
      <c r="G1779" s="3">
        <f t="shared" si="54"/>
        <v>0</v>
      </c>
      <c r="H1779" s="3"/>
      <c r="I1779" s="3">
        <f ca="1">IFERROR(_xludf.XLOOKUP("Seguro",PARAMETROS_IMPORTACION!$A:$A,PARAMETROS_IMPORTACION!$C:$C,0),0)</f>
        <v>0</v>
      </c>
      <c r="J1779" s="3">
        <f ca="1">IFERROR(_xludf.XLOOKUP("Arancel",PARAMETROS_IMPORTACION!$A:$A,PARAMETROS_IMPORTACION!$C:$C,0),0)</f>
        <v>0</v>
      </c>
      <c r="K1779" s="2">
        <f ca="1">IFERROR(_xludf.XLOOKUP("Gastos_Aduana",PARAMETROS_IMPORTACION!$A:$A,PARAMETROS_IMPORTACION!$C:$C,0),0)</f>
        <v>0</v>
      </c>
      <c r="L1779" s="2">
        <f t="shared" si="55"/>
        <v>0</v>
      </c>
    </row>
    <row r="1780" spans="5:12" x14ac:dyDescent="0.35">
      <c r="E1780" s="2"/>
      <c r="F1780" s="2">
        <f>_xlfn.XLOOKUP(D1780,TIPOS_CAMBIO!A:A,TIPOS_CAMBIO!B:B,"",0)</f>
        <v>0</v>
      </c>
      <c r="G1780" s="3">
        <f t="shared" si="54"/>
        <v>0</v>
      </c>
      <c r="H1780" s="3"/>
      <c r="I1780" s="3">
        <f ca="1">IFERROR(_xludf.XLOOKUP("Seguro",PARAMETROS_IMPORTACION!$A:$A,PARAMETROS_IMPORTACION!$C:$C,0),0)</f>
        <v>0</v>
      </c>
      <c r="J1780" s="3">
        <f ca="1">IFERROR(_xludf.XLOOKUP("Arancel",PARAMETROS_IMPORTACION!$A:$A,PARAMETROS_IMPORTACION!$C:$C,0),0)</f>
        <v>0</v>
      </c>
      <c r="K1780" s="2">
        <f ca="1">IFERROR(_xludf.XLOOKUP("Gastos_Aduana",PARAMETROS_IMPORTACION!$A:$A,PARAMETROS_IMPORTACION!$C:$C,0),0)</f>
        <v>0</v>
      </c>
      <c r="L1780" s="2">
        <f t="shared" si="55"/>
        <v>0</v>
      </c>
    </row>
    <row r="1781" spans="5:12" x14ac:dyDescent="0.35">
      <c r="E1781" s="2"/>
      <c r="F1781" s="2">
        <f>_xlfn.XLOOKUP(D1781,TIPOS_CAMBIO!A:A,TIPOS_CAMBIO!B:B,"",0)</f>
        <v>0</v>
      </c>
      <c r="G1781" s="3">
        <f t="shared" si="54"/>
        <v>0</v>
      </c>
      <c r="H1781" s="3"/>
      <c r="I1781" s="3">
        <f ca="1">IFERROR(_xludf.XLOOKUP("Seguro",PARAMETROS_IMPORTACION!$A:$A,PARAMETROS_IMPORTACION!$C:$C,0),0)</f>
        <v>0</v>
      </c>
      <c r="J1781" s="3">
        <f ca="1">IFERROR(_xludf.XLOOKUP("Arancel",PARAMETROS_IMPORTACION!$A:$A,PARAMETROS_IMPORTACION!$C:$C,0),0)</f>
        <v>0</v>
      </c>
      <c r="K1781" s="2">
        <f ca="1">IFERROR(_xludf.XLOOKUP("Gastos_Aduana",PARAMETROS_IMPORTACION!$A:$A,PARAMETROS_IMPORTACION!$C:$C,0),0)</f>
        <v>0</v>
      </c>
      <c r="L1781" s="2">
        <f t="shared" si="55"/>
        <v>0</v>
      </c>
    </row>
    <row r="1782" spans="5:12" x14ac:dyDescent="0.35">
      <c r="E1782" s="2"/>
      <c r="F1782" s="2">
        <f>_xlfn.XLOOKUP(D1782,TIPOS_CAMBIO!A:A,TIPOS_CAMBIO!B:B,"",0)</f>
        <v>0</v>
      </c>
      <c r="G1782" s="3">
        <f t="shared" si="54"/>
        <v>0</v>
      </c>
      <c r="H1782" s="3"/>
      <c r="I1782" s="3">
        <f ca="1">IFERROR(_xludf.XLOOKUP("Seguro",PARAMETROS_IMPORTACION!$A:$A,PARAMETROS_IMPORTACION!$C:$C,0),0)</f>
        <v>0</v>
      </c>
      <c r="J1782" s="3">
        <f ca="1">IFERROR(_xludf.XLOOKUP("Arancel",PARAMETROS_IMPORTACION!$A:$A,PARAMETROS_IMPORTACION!$C:$C,0),0)</f>
        <v>0</v>
      </c>
      <c r="K1782" s="2">
        <f ca="1">IFERROR(_xludf.XLOOKUP("Gastos_Aduana",PARAMETROS_IMPORTACION!$A:$A,PARAMETROS_IMPORTACION!$C:$C,0),0)</f>
        <v>0</v>
      </c>
      <c r="L1782" s="2">
        <f t="shared" si="55"/>
        <v>0</v>
      </c>
    </row>
    <row r="1783" spans="5:12" x14ac:dyDescent="0.35">
      <c r="E1783" s="2"/>
      <c r="F1783" s="2">
        <f>_xlfn.XLOOKUP(D1783,TIPOS_CAMBIO!A:A,TIPOS_CAMBIO!B:B,"",0)</f>
        <v>0</v>
      </c>
      <c r="G1783" s="3">
        <f t="shared" si="54"/>
        <v>0</v>
      </c>
      <c r="H1783" s="3"/>
      <c r="I1783" s="3">
        <f ca="1">IFERROR(_xludf.XLOOKUP("Seguro",PARAMETROS_IMPORTACION!$A:$A,PARAMETROS_IMPORTACION!$C:$C,0),0)</f>
        <v>0</v>
      </c>
      <c r="J1783" s="3">
        <f ca="1">IFERROR(_xludf.XLOOKUP("Arancel",PARAMETROS_IMPORTACION!$A:$A,PARAMETROS_IMPORTACION!$C:$C,0),0)</f>
        <v>0</v>
      </c>
      <c r="K1783" s="2">
        <f ca="1">IFERROR(_xludf.XLOOKUP("Gastos_Aduana",PARAMETROS_IMPORTACION!$A:$A,PARAMETROS_IMPORTACION!$C:$C,0),0)</f>
        <v>0</v>
      </c>
      <c r="L1783" s="2">
        <f t="shared" si="55"/>
        <v>0</v>
      </c>
    </row>
    <row r="1784" spans="5:12" x14ac:dyDescent="0.35">
      <c r="E1784" s="2"/>
      <c r="F1784" s="2">
        <f>_xlfn.XLOOKUP(D1784,TIPOS_CAMBIO!A:A,TIPOS_CAMBIO!B:B,"",0)</f>
        <v>0</v>
      </c>
      <c r="G1784" s="3">
        <f t="shared" si="54"/>
        <v>0</v>
      </c>
      <c r="H1784" s="3"/>
      <c r="I1784" s="3">
        <f ca="1">IFERROR(_xludf.XLOOKUP("Seguro",PARAMETROS_IMPORTACION!$A:$A,PARAMETROS_IMPORTACION!$C:$C,0),0)</f>
        <v>0</v>
      </c>
      <c r="J1784" s="3">
        <f ca="1">IFERROR(_xludf.XLOOKUP("Arancel",PARAMETROS_IMPORTACION!$A:$A,PARAMETROS_IMPORTACION!$C:$C,0),0)</f>
        <v>0</v>
      </c>
      <c r="K1784" s="2">
        <f ca="1">IFERROR(_xludf.XLOOKUP("Gastos_Aduana",PARAMETROS_IMPORTACION!$A:$A,PARAMETROS_IMPORTACION!$C:$C,0),0)</f>
        <v>0</v>
      </c>
      <c r="L1784" s="2">
        <f t="shared" si="55"/>
        <v>0</v>
      </c>
    </row>
    <row r="1785" spans="5:12" x14ac:dyDescent="0.35">
      <c r="E1785" s="2"/>
      <c r="F1785" s="2">
        <f>_xlfn.XLOOKUP(D1785,TIPOS_CAMBIO!A:A,TIPOS_CAMBIO!B:B,"",0)</f>
        <v>0</v>
      </c>
      <c r="G1785" s="3">
        <f t="shared" si="54"/>
        <v>0</v>
      </c>
      <c r="H1785" s="3"/>
      <c r="I1785" s="3">
        <f ca="1">IFERROR(_xludf.XLOOKUP("Seguro",PARAMETROS_IMPORTACION!$A:$A,PARAMETROS_IMPORTACION!$C:$C,0),0)</f>
        <v>0</v>
      </c>
      <c r="J1785" s="3">
        <f ca="1">IFERROR(_xludf.XLOOKUP("Arancel",PARAMETROS_IMPORTACION!$A:$A,PARAMETROS_IMPORTACION!$C:$C,0),0)</f>
        <v>0</v>
      </c>
      <c r="K1785" s="2">
        <f ca="1">IFERROR(_xludf.XLOOKUP("Gastos_Aduana",PARAMETROS_IMPORTACION!$A:$A,PARAMETROS_IMPORTACION!$C:$C,0),0)</f>
        <v>0</v>
      </c>
      <c r="L1785" s="2">
        <f t="shared" si="55"/>
        <v>0</v>
      </c>
    </row>
    <row r="1786" spans="5:12" x14ac:dyDescent="0.35">
      <c r="E1786" s="2"/>
      <c r="F1786" s="2">
        <f>_xlfn.XLOOKUP(D1786,TIPOS_CAMBIO!A:A,TIPOS_CAMBIO!B:B,"",0)</f>
        <v>0</v>
      </c>
      <c r="G1786" s="3">
        <f t="shared" si="54"/>
        <v>0</v>
      </c>
      <c r="H1786" s="3"/>
      <c r="I1786" s="3">
        <f ca="1">IFERROR(_xludf.XLOOKUP("Seguro",PARAMETROS_IMPORTACION!$A:$A,PARAMETROS_IMPORTACION!$C:$C,0),0)</f>
        <v>0</v>
      </c>
      <c r="J1786" s="3">
        <f ca="1">IFERROR(_xludf.XLOOKUP("Arancel",PARAMETROS_IMPORTACION!$A:$A,PARAMETROS_IMPORTACION!$C:$C,0),0)</f>
        <v>0</v>
      </c>
      <c r="K1786" s="2">
        <f ca="1">IFERROR(_xludf.XLOOKUP("Gastos_Aduana",PARAMETROS_IMPORTACION!$A:$A,PARAMETROS_IMPORTACION!$C:$C,0),0)</f>
        <v>0</v>
      </c>
      <c r="L1786" s="2">
        <f t="shared" si="55"/>
        <v>0</v>
      </c>
    </row>
    <row r="1787" spans="5:12" x14ac:dyDescent="0.35">
      <c r="E1787" s="2"/>
      <c r="F1787" s="2">
        <f>_xlfn.XLOOKUP(D1787,TIPOS_CAMBIO!A:A,TIPOS_CAMBIO!B:B,"",0)</f>
        <v>0</v>
      </c>
      <c r="G1787" s="3">
        <f t="shared" si="54"/>
        <v>0</v>
      </c>
      <c r="H1787" s="3"/>
      <c r="I1787" s="3">
        <f ca="1">IFERROR(_xludf.XLOOKUP("Seguro",PARAMETROS_IMPORTACION!$A:$A,PARAMETROS_IMPORTACION!$C:$C,0),0)</f>
        <v>0</v>
      </c>
      <c r="J1787" s="3">
        <f ca="1">IFERROR(_xludf.XLOOKUP("Arancel",PARAMETROS_IMPORTACION!$A:$A,PARAMETROS_IMPORTACION!$C:$C,0),0)</f>
        <v>0</v>
      </c>
      <c r="K1787" s="2">
        <f ca="1">IFERROR(_xludf.XLOOKUP("Gastos_Aduana",PARAMETROS_IMPORTACION!$A:$A,PARAMETROS_IMPORTACION!$C:$C,0),0)</f>
        <v>0</v>
      </c>
      <c r="L1787" s="2">
        <f t="shared" si="55"/>
        <v>0</v>
      </c>
    </row>
    <row r="1788" spans="5:12" x14ac:dyDescent="0.35">
      <c r="E1788" s="2"/>
      <c r="F1788" s="2">
        <f>_xlfn.XLOOKUP(D1788,TIPOS_CAMBIO!A:A,TIPOS_CAMBIO!B:B,"",0)</f>
        <v>0</v>
      </c>
      <c r="G1788" s="3">
        <f t="shared" si="54"/>
        <v>0</v>
      </c>
      <c r="H1788" s="3"/>
      <c r="I1788" s="3">
        <f ca="1">IFERROR(_xludf.XLOOKUP("Seguro",PARAMETROS_IMPORTACION!$A:$A,PARAMETROS_IMPORTACION!$C:$C,0),0)</f>
        <v>0</v>
      </c>
      <c r="J1788" s="3">
        <f ca="1">IFERROR(_xludf.XLOOKUP("Arancel",PARAMETROS_IMPORTACION!$A:$A,PARAMETROS_IMPORTACION!$C:$C,0),0)</f>
        <v>0</v>
      </c>
      <c r="K1788" s="2">
        <f ca="1">IFERROR(_xludf.XLOOKUP("Gastos_Aduana",PARAMETROS_IMPORTACION!$A:$A,PARAMETROS_IMPORTACION!$C:$C,0),0)</f>
        <v>0</v>
      </c>
      <c r="L1788" s="2">
        <f t="shared" si="55"/>
        <v>0</v>
      </c>
    </row>
    <row r="1789" spans="5:12" x14ac:dyDescent="0.35">
      <c r="E1789" s="2"/>
      <c r="F1789" s="2">
        <f>_xlfn.XLOOKUP(D1789,TIPOS_CAMBIO!A:A,TIPOS_CAMBIO!B:B,"",0)</f>
        <v>0</v>
      </c>
      <c r="G1789" s="3">
        <f t="shared" si="54"/>
        <v>0</v>
      </c>
      <c r="H1789" s="3"/>
      <c r="I1789" s="3">
        <f ca="1">IFERROR(_xludf.XLOOKUP("Seguro",PARAMETROS_IMPORTACION!$A:$A,PARAMETROS_IMPORTACION!$C:$C,0),0)</f>
        <v>0</v>
      </c>
      <c r="J1789" s="3">
        <f ca="1">IFERROR(_xludf.XLOOKUP("Arancel",PARAMETROS_IMPORTACION!$A:$A,PARAMETROS_IMPORTACION!$C:$C,0),0)</f>
        <v>0</v>
      </c>
      <c r="K1789" s="2">
        <f ca="1">IFERROR(_xludf.XLOOKUP("Gastos_Aduana",PARAMETROS_IMPORTACION!$A:$A,PARAMETROS_IMPORTACION!$C:$C,0),0)</f>
        <v>0</v>
      </c>
      <c r="L1789" s="2">
        <f t="shared" si="55"/>
        <v>0</v>
      </c>
    </row>
    <row r="1790" spans="5:12" x14ac:dyDescent="0.35">
      <c r="E1790" s="2"/>
      <c r="F1790" s="2">
        <f>_xlfn.XLOOKUP(D1790,TIPOS_CAMBIO!A:A,TIPOS_CAMBIO!B:B,"",0)</f>
        <v>0</v>
      </c>
      <c r="G1790" s="3">
        <f t="shared" si="54"/>
        <v>0</v>
      </c>
      <c r="H1790" s="3"/>
      <c r="I1790" s="3">
        <f ca="1">IFERROR(_xludf.XLOOKUP("Seguro",PARAMETROS_IMPORTACION!$A:$A,PARAMETROS_IMPORTACION!$C:$C,0),0)</f>
        <v>0</v>
      </c>
      <c r="J1790" s="3">
        <f ca="1">IFERROR(_xludf.XLOOKUP("Arancel",PARAMETROS_IMPORTACION!$A:$A,PARAMETROS_IMPORTACION!$C:$C,0),0)</f>
        <v>0</v>
      </c>
      <c r="K1790" s="2">
        <f ca="1">IFERROR(_xludf.XLOOKUP("Gastos_Aduana",PARAMETROS_IMPORTACION!$A:$A,PARAMETROS_IMPORTACION!$C:$C,0),0)</f>
        <v>0</v>
      </c>
      <c r="L1790" s="2">
        <f t="shared" si="55"/>
        <v>0</v>
      </c>
    </row>
    <row r="1791" spans="5:12" x14ac:dyDescent="0.35">
      <c r="E1791" s="2"/>
      <c r="F1791" s="2">
        <f>_xlfn.XLOOKUP(D1791,TIPOS_CAMBIO!A:A,TIPOS_CAMBIO!B:B,"",0)</f>
        <v>0</v>
      </c>
      <c r="G1791" s="3">
        <f t="shared" si="54"/>
        <v>0</v>
      </c>
      <c r="H1791" s="3"/>
      <c r="I1791" s="3">
        <f ca="1">IFERROR(_xludf.XLOOKUP("Seguro",PARAMETROS_IMPORTACION!$A:$A,PARAMETROS_IMPORTACION!$C:$C,0),0)</f>
        <v>0</v>
      </c>
      <c r="J1791" s="3">
        <f ca="1">IFERROR(_xludf.XLOOKUP("Arancel",PARAMETROS_IMPORTACION!$A:$A,PARAMETROS_IMPORTACION!$C:$C,0),0)</f>
        <v>0</v>
      </c>
      <c r="K1791" s="2">
        <f ca="1">IFERROR(_xludf.XLOOKUP("Gastos_Aduana",PARAMETROS_IMPORTACION!$A:$A,PARAMETROS_IMPORTACION!$C:$C,0),0)</f>
        <v>0</v>
      </c>
      <c r="L1791" s="2">
        <f t="shared" si="55"/>
        <v>0</v>
      </c>
    </row>
    <row r="1792" spans="5:12" x14ac:dyDescent="0.35">
      <c r="E1792" s="2"/>
      <c r="F1792" s="2">
        <f>_xlfn.XLOOKUP(D1792,TIPOS_CAMBIO!A:A,TIPOS_CAMBIO!B:B,"",0)</f>
        <v>0</v>
      </c>
      <c r="G1792" s="3">
        <f t="shared" si="54"/>
        <v>0</v>
      </c>
      <c r="H1792" s="3"/>
      <c r="I1792" s="3">
        <f ca="1">IFERROR(_xludf.XLOOKUP("Seguro",PARAMETROS_IMPORTACION!$A:$A,PARAMETROS_IMPORTACION!$C:$C,0),0)</f>
        <v>0</v>
      </c>
      <c r="J1792" s="3">
        <f ca="1">IFERROR(_xludf.XLOOKUP("Arancel",PARAMETROS_IMPORTACION!$A:$A,PARAMETROS_IMPORTACION!$C:$C,0),0)</f>
        <v>0</v>
      </c>
      <c r="K1792" s="2">
        <f ca="1">IFERROR(_xludf.XLOOKUP("Gastos_Aduana",PARAMETROS_IMPORTACION!$A:$A,PARAMETROS_IMPORTACION!$C:$C,0),0)</f>
        <v>0</v>
      </c>
      <c r="L1792" s="2">
        <f t="shared" si="55"/>
        <v>0</v>
      </c>
    </row>
    <row r="1793" spans="5:12" x14ac:dyDescent="0.35">
      <c r="E1793" s="2"/>
      <c r="F1793" s="2">
        <f>_xlfn.XLOOKUP(D1793,TIPOS_CAMBIO!A:A,TIPOS_CAMBIO!B:B,"",0)</f>
        <v>0</v>
      </c>
      <c r="G1793" s="3">
        <f t="shared" si="54"/>
        <v>0</v>
      </c>
      <c r="H1793" s="3"/>
      <c r="I1793" s="3">
        <f ca="1">IFERROR(_xludf.XLOOKUP("Seguro",PARAMETROS_IMPORTACION!$A:$A,PARAMETROS_IMPORTACION!$C:$C,0),0)</f>
        <v>0</v>
      </c>
      <c r="J1793" s="3">
        <f ca="1">IFERROR(_xludf.XLOOKUP("Arancel",PARAMETROS_IMPORTACION!$A:$A,PARAMETROS_IMPORTACION!$C:$C,0),0)</f>
        <v>0</v>
      </c>
      <c r="K1793" s="2">
        <f ca="1">IFERROR(_xludf.XLOOKUP("Gastos_Aduana",PARAMETROS_IMPORTACION!$A:$A,PARAMETROS_IMPORTACION!$C:$C,0),0)</f>
        <v>0</v>
      </c>
      <c r="L1793" s="2">
        <f t="shared" si="55"/>
        <v>0</v>
      </c>
    </row>
    <row r="1794" spans="5:12" x14ac:dyDescent="0.35">
      <c r="E1794" s="2"/>
      <c r="F1794" s="2">
        <f>_xlfn.XLOOKUP(D1794,TIPOS_CAMBIO!A:A,TIPOS_CAMBIO!B:B,"",0)</f>
        <v>0</v>
      </c>
      <c r="G1794" s="3">
        <f t="shared" ref="G1794:G1857" si="56">$E1794*$F1794</f>
        <v>0</v>
      </c>
      <c r="H1794" s="3"/>
      <c r="I1794" s="3">
        <f ca="1">IFERROR(_xludf.XLOOKUP("Seguro",PARAMETROS_IMPORTACION!$A:$A,PARAMETROS_IMPORTACION!$C:$C,0),0)</f>
        <v>0</v>
      </c>
      <c r="J1794" s="3">
        <f ca="1">IFERROR(_xludf.XLOOKUP("Arancel",PARAMETROS_IMPORTACION!$A:$A,PARAMETROS_IMPORTACION!$C:$C,0),0)</f>
        <v>0</v>
      </c>
      <c r="K1794" s="2">
        <f ca="1">IFERROR(_xludf.XLOOKUP("Gastos_Aduana",PARAMETROS_IMPORTACION!$A:$A,PARAMETROS_IMPORTACION!$C:$C,0),0)</f>
        <v>0</v>
      </c>
      <c r="L1794" s="2">
        <f t="shared" si="55"/>
        <v>0</v>
      </c>
    </row>
    <row r="1795" spans="5:12" x14ac:dyDescent="0.35">
      <c r="E1795" s="2"/>
      <c r="F1795" s="2">
        <f>_xlfn.XLOOKUP(D1795,TIPOS_CAMBIO!A:A,TIPOS_CAMBIO!B:B,"",0)</f>
        <v>0</v>
      </c>
      <c r="G1795" s="3">
        <f t="shared" si="56"/>
        <v>0</v>
      </c>
      <c r="H1795" s="3"/>
      <c r="I1795" s="3">
        <f ca="1">IFERROR(_xludf.XLOOKUP("Seguro",PARAMETROS_IMPORTACION!$A:$A,PARAMETROS_IMPORTACION!$C:$C,0),0)</f>
        <v>0</v>
      </c>
      <c r="J1795" s="3">
        <f ca="1">IFERROR(_xludf.XLOOKUP("Arancel",PARAMETROS_IMPORTACION!$A:$A,PARAMETROS_IMPORTACION!$C:$C,0),0)</f>
        <v>0</v>
      </c>
      <c r="K1795" s="2">
        <f ca="1">IFERROR(_xludf.XLOOKUP("Gastos_Aduana",PARAMETROS_IMPORTACION!$A:$A,PARAMETROS_IMPORTACION!$C:$C,0),0)</f>
        <v>0</v>
      </c>
      <c r="L1795" s="2">
        <f t="shared" ref="L1795:L1858" si="57">IF($C1795="Importado",$G1795*(1+$H1795+$I1795+$J1795)+$K1795,$G1795)</f>
        <v>0</v>
      </c>
    </row>
    <row r="1796" spans="5:12" x14ac:dyDescent="0.35">
      <c r="E1796" s="2"/>
      <c r="F1796" s="2">
        <f>_xlfn.XLOOKUP(D1796,TIPOS_CAMBIO!A:A,TIPOS_CAMBIO!B:B,"",0)</f>
        <v>0</v>
      </c>
      <c r="G1796" s="3">
        <f t="shared" si="56"/>
        <v>0</v>
      </c>
      <c r="H1796" s="3"/>
      <c r="I1796" s="3">
        <f ca="1">IFERROR(_xludf.XLOOKUP("Seguro",PARAMETROS_IMPORTACION!$A:$A,PARAMETROS_IMPORTACION!$C:$C,0),0)</f>
        <v>0</v>
      </c>
      <c r="J1796" s="3">
        <f ca="1">IFERROR(_xludf.XLOOKUP("Arancel",PARAMETROS_IMPORTACION!$A:$A,PARAMETROS_IMPORTACION!$C:$C,0),0)</f>
        <v>0</v>
      </c>
      <c r="K1796" s="2">
        <f ca="1">IFERROR(_xludf.XLOOKUP("Gastos_Aduana",PARAMETROS_IMPORTACION!$A:$A,PARAMETROS_IMPORTACION!$C:$C,0),0)</f>
        <v>0</v>
      </c>
      <c r="L1796" s="2">
        <f t="shared" si="57"/>
        <v>0</v>
      </c>
    </row>
    <row r="1797" spans="5:12" x14ac:dyDescent="0.35">
      <c r="E1797" s="2"/>
      <c r="F1797" s="2">
        <f>_xlfn.XLOOKUP(D1797,TIPOS_CAMBIO!A:A,TIPOS_CAMBIO!B:B,"",0)</f>
        <v>0</v>
      </c>
      <c r="G1797" s="3">
        <f t="shared" si="56"/>
        <v>0</v>
      </c>
      <c r="H1797" s="3"/>
      <c r="I1797" s="3">
        <f ca="1">IFERROR(_xludf.XLOOKUP("Seguro",PARAMETROS_IMPORTACION!$A:$A,PARAMETROS_IMPORTACION!$C:$C,0),0)</f>
        <v>0</v>
      </c>
      <c r="J1797" s="3">
        <f ca="1">IFERROR(_xludf.XLOOKUP("Arancel",PARAMETROS_IMPORTACION!$A:$A,PARAMETROS_IMPORTACION!$C:$C,0),0)</f>
        <v>0</v>
      </c>
      <c r="K1797" s="2">
        <f ca="1">IFERROR(_xludf.XLOOKUP("Gastos_Aduana",PARAMETROS_IMPORTACION!$A:$A,PARAMETROS_IMPORTACION!$C:$C,0),0)</f>
        <v>0</v>
      </c>
      <c r="L1797" s="2">
        <f t="shared" si="57"/>
        <v>0</v>
      </c>
    </row>
    <row r="1798" spans="5:12" x14ac:dyDescent="0.35">
      <c r="E1798" s="2"/>
      <c r="F1798" s="2">
        <f>_xlfn.XLOOKUP(D1798,TIPOS_CAMBIO!A:A,TIPOS_CAMBIO!B:B,"",0)</f>
        <v>0</v>
      </c>
      <c r="G1798" s="3">
        <f t="shared" si="56"/>
        <v>0</v>
      </c>
      <c r="H1798" s="3"/>
      <c r="I1798" s="3">
        <f ca="1">IFERROR(_xludf.XLOOKUP("Seguro",PARAMETROS_IMPORTACION!$A:$A,PARAMETROS_IMPORTACION!$C:$C,0),0)</f>
        <v>0</v>
      </c>
      <c r="J1798" s="3">
        <f ca="1">IFERROR(_xludf.XLOOKUP("Arancel",PARAMETROS_IMPORTACION!$A:$A,PARAMETROS_IMPORTACION!$C:$C,0),0)</f>
        <v>0</v>
      </c>
      <c r="K1798" s="2">
        <f ca="1">IFERROR(_xludf.XLOOKUP("Gastos_Aduana",PARAMETROS_IMPORTACION!$A:$A,PARAMETROS_IMPORTACION!$C:$C,0),0)</f>
        <v>0</v>
      </c>
      <c r="L1798" s="2">
        <f t="shared" si="57"/>
        <v>0</v>
      </c>
    </row>
    <row r="1799" spans="5:12" x14ac:dyDescent="0.35">
      <c r="E1799" s="2"/>
      <c r="F1799" s="2">
        <f>_xlfn.XLOOKUP(D1799,TIPOS_CAMBIO!A:A,TIPOS_CAMBIO!B:B,"",0)</f>
        <v>0</v>
      </c>
      <c r="G1799" s="3">
        <f t="shared" si="56"/>
        <v>0</v>
      </c>
      <c r="H1799" s="3"/>
      <c r="I1799" s="3">
        <f ca="1">IFERROR(_xludf.XLOOKUP("Seguro",PARAMETROS_IMPORTACION!$A:$A,PARAMETROS_IMPORTACION!$C:$C,0),0)</f>
        <v>0</v>
      </c>
      <c r="J1799" s="3">
        <f ca="1">IFERROR(_xludf.XLOOKUP("Arancel",PARAMETROS_IMPORTACION!$A:$A,PARAMETROS_IMPORTACION!$C:$C,0),0)</f>
        <v>0</v>
      </c>
      <c r="K1799" s="2">
        <f ca="1">IFERROR(_xludf.XLOOKUP("Gastos_Aduana",PARAMETROS_IMPORTACION!$A:$A,PARAMETROS_IMPORTACION!$C:$C,0),0)</f>
        <v>0</v>
      </c>
      <c r="L1799" s="2">
        <f t="shared" si="57"/>
        <v>0</v>
      </c>
    </row>
    <row r="1800" spans="5:12" x14ac:dyDescent="0.35">
      <c r="E1800" s="2"/>
      <c r="F1800" s="2">
        <f>_xlfn.XLOOKUP(D1800,TIPOS_CAMBIO!A:A,TIPOS_CAMBIO!B:B,"",0)</f>
        <v>0</v>
      </c>
      <c r="G1800" s="3">
        <f t="shared" si="56"/>
        <v>0</v>
      </c>
      <c r="H1800" s="3"/>
      <c r="I1800" s="3">
        <f ca="1">IFERROR(_xludf.XLOOKUP("Seguro",PARAMETROS_IMPORTACION!$A:$A,PARAMETROS_IMPORTACION!$C:$C,0),0)</f>
        <v>0</v>
      </c>
      <c r="J1800" s="3">
        <f ca="1">IFERROR(_xludf.XLOOKUP("Arancel",PARAMETROS_IMPORTACION!$A:$A,PARAMETROS_IMPORTACION!$C:$C,0),0)</f>
        <v>0</v>
      </c>
      <c r="K1800" s="2">
        <f ca="1">IFERROR(_xludf.XLOOKUP("Gastos_Aduana",PARAMETROS_IMPORTACION!$A:$A,PARAMETROS_IMPORTACION!$C:$C,0),0)</f>
        <v>0</v>
      </c>
      <c r="L1800" s="2">
        <f t="shared" si="57"/>
        <v>0</v>
      </c>
    </row>
    <row r="1801" spans="5:12" x14ac:dyDescent="0.35">
      <c r="E1801" s="2"/>
      <c r="F1801" s="2">
        <f>_xlfn.XLOOKUP(D1801,TIPOS_CAMBIO!A:A,TIPOS_CAMBIO!B:B,"",0)</f>
        <v>0</v>
      </c>
      <c r="G1801" s="3">
        <f t="shared" si="56"/>
        <v>0</v>
      </c>
      <c r="H1801" s="3"/>
      <c r="I1801" s="3">
        <f ca="1">IFERROR(_xludf.XLOOKUP("Seguro",PARAMETROS_IMPORTACION!$A:$A,PARAMETROS_IMPORTACION!$C:$C,0),0)</f>
        <v>0</v>
      </c>
      <c r="J1801" s="3">
        <f ca="1">IFERROR(_xludf.XLOOKUP("Arancel",PARAMETROS_IMPORTACION!$A:$A,PARAMETROS_IMPORTACION!$C:$C,0),0)</f>
        <v>0</v>
      </c>
      <c r="K1801" s="2">
        <f ca="1">IFERROR(_xludf.XLOOKUP("Gastos_Aduana",PARAMETROS_IMPORTACION!$A:$A,PARAMETROS_IMPORTACION!$C:$C,0),0)</f>
        <v>0</v>
      </c>
      <c r="L1801" s="2">
        <f t="shared" si="57"/>
        <v>0</v>
      </c>
    </row>
    <row r="1802" spans="5:12" x14ac:dyDescent="0.35">
      <c r="E1802" s="2"/>
      <c r="F1802" s="2">
        <f>_xlfn.XLOOKUP(D1802,TIPOS_CAMBIO!A:A,TIPOS_CAMBIO!B:B,"",0)</f>
        <v>0</v>
      </c>
      <c r="G1802" s="3">
        <f t="shared" si="56"/>
        <v>0</v>
      </c>
      <c r="H1802" s="3"/>
      <c r="I1802" s="3">
        <f ca="1">IFERROR(_xludf.XLOOKUP("Seguro",PARAMETROS_IMPORTACION!$A:$A,PARAMETROS_IMPORTACION!$C:$C,0),0)</f>
        <v>0</v>
      </c>
      <c r="J1802" s="3">
        <f ca="1">IFERROR(_xludf.XLOOKUP("Arancel",PARAMETROS_IMPORTACION!$A:$A,PARAMETROS_IMPORTACION!$C:$C,0),0)</f>
        <v>0</v>
      </c>
      <c r="K1802" s="2">
        <f ca="1">IFERROR(_xludf.XLOOKUP("Gastos_Aduana",PARAMETROS_IMPORTACION!$A:$A,PARAMETROS_IMPORTACION!$C:$C,0),0)</f>
        <v>0</v>
      </c>
      <c r="L1802" s="2">
        <f t="shared" si="57"/>
        <v>0</v>
      </c>
    </row>
    <row r="1803" spans="5:12" x14ac:dyDescent="0.35">
      <c r="E1803" s="2"/>
      <c r="F1803" s="2">
        <f>_xlfn.XLOOKUP(D1803,TIPOS_CAMBIO!A:A,TIPOS_CAMBIO!B:B,"",0)</f>
        <v>0</v>
      </c>
      <c r="G1803" s="3">
        <f t="shared" si="56"/>
        <v>0</v>
      </c>
      <c r="H1803" s="3"/>
      <c r="I1803" s="3">
        <f ca="1">IFERROR(_xludf.XLOOKUP("Seguro",PARAMETROS_IMPORTACION!$A:$A,PARAMETROS_IMPORTACION!$C:$C,0),0)</f>
        <v>0</v>
      </c>
      <c r="J1803" s="3">
        <f ca="1">IFERROR(_xludf.XLOOKUP("Arancel",PARAMETROS_IMPORTACION!$A:$A,PARAMETROS_IMPORTACION!$C:$C,0),0)</f>
        <v>0</v>
      </c>
      <c r="K1803" s="2">
        <f ca="1">IFERROR(_xludf.XLOOKUP("Gastos_Aduana",PARAMETROS_IMPORTACION!$A:$A,PARAMETROS_IMPORTACION!$C:$C,0),0)</f>
        <v>0</v>
      </c>
      <c r="L1803" s="2">
        <f t="shared" si="57"/>
        <v>0</v>
      </c>
    </row>
    <row r="1804" spans="5:12" x14ac:dyDescent="0.35">
      <c r="E1804" s="2"/>
      <c r="F1804" s="2">
        <f>_xlfn.XLOOKUP(D1804,TIPOS_CAMBIO!A:A,TIPOS_CAMBIO!B:B,"",0)</f>
        <v>0</v>
      </c>
      <c r="G1804" s="3">
        <f t="shared" si="56"/>
        <v>0</v>
      </c>
      <c r="H1804" s="3"/>
      <c r="I1804" s="3">
        <f ca="1">IFERROR(_xludf.XLOOKUP("Seguro",PARAMETROS_IMPORTACION!$A:$A,PARAMETROS_IMPORTACION!$C:$C,0),0)</f>
        <v>0</v>
      </c>
      <c r="J1804" s="3">
        <f ca="1">IFERROR(_xludf.XLOOKUP("Arancel",PARAMETROS_IMPORTACION!$A:$A,PARAMETROS_IMPORTACION!$C:$C,0),0)</f>
        <v>0</v>
      </c>
      <c r="K1804" s="2">
        <f ca="1">IFERROR(_xludf.XLOOKUP("Gastos_Aduana",PARAMETROS_IMPORTACION!$A:$A,PARAMETROS_IMPORTACION!$C:$C,0),0)</f>
        <v>0</v>
      </c>
      <c r="L1804" s="2">
        <f t="shared" si="57"/>
        <v>0</v>
      </c>
    </row>
    <row r="1805" spans="5:12" x14ac:dyDescent="0.35">
      <c r="E1805" s="2"/>
      <c r="F1805" s="2">
        <f>_xlfn.XLOOKUP(D1805,TIPOS_CAMBIO!A:A,TIPOS_CAMBIO!B:B,"",0)</f>
        <v>0</v>
      </c>
      <c r="G1805" s="3">
        <f t="shared" si="56"/>
        <v>0</v>
      </c>
      <c r="H1805" s="3"/>
      <c r="I1805" s="3">
        <f ca="1">IFERROR(_xludf.XLOOKUP("Seguro",PARAMETROS_IMPORTACION!$A:$A,PARAMETROS_IMPORTACION!$C:$C,0),0)</f>
        <v>0</v>
      </c>
      <c r="J1805" s="3">
        <f ca="1">IFERROR(_xludf.XLOOKUP("Arancel",PARAMETROS_IMPORTACION!$A:$A,PARAMETROS_IMPORTACION!$C:$C,0),0)</f>
        <v>0</v>
      </c>
      <c r="K1805" s="2">
        <f ca="1">IFERROR(_xludf.XLOOKUP("Gastos_Aduana",PARAMETROS_IMPORTACION!$A:$A,PARAMETROS_IMPORTACION!$C:$C,0),0)</f>
        <v>0</v>
      </c>
      <c r="L1805" s="2">
        <f t="shared" si="57"/>
        <v>0</v>
      </c>
    </row>
    <row r="1806" spans="5:12" x14ac:dyDescent="0.35">
      <c r="E1806" s="2"/>
      <c r="F1806" s="2">
        <f>_xlfn.XLOOKUP(D1806,TIPOS_CAMBIO!A:A,TIPOS_CAMBIO!B:B,"",0)</f>
        <v>0</v>
      </c>
      <c r="G1806" s="3">
        <f t="shared" si="56"/>
        <v>0</v>
      </c>
      <c r="H1806" s="3"/>
      <c r="I1806" s="3">
        <f ca="1">IFERROR(_xludf.XLOOKUP("Seguro",PARAMETROS_IMPORTACION!$A:$A,PARAMETROS_IMPORTACION!$C:$C,0),0)</f>
        <v>0</v>
      </c>
      <c r="J1806" s="3">
        <f ca="1">IFERROR(_xludf.XLOOKUP("Arancel",PARAMETROS_IMPORTACION!$A:$A,PARAMETROS_IMPORTACION!$C:$C,0),0)</f>
        <v>0</v>
      </c>
      <c r="K1806" s="2">
        <f ca="1">IFERROR(_xludf.XLOOKUP("Gastos_Aduana",PARAMETROS_IMPORTACION!$A:$A,PARAMETROS_IMPORTACION!$C:$C,0),0)</f>
        <v>0</v>
      </c>
      <c r="L1806" s="2">
        <f t="shared" si="57"/>
        <v>0</v>
      </c>
    </row>
    <row r="1807" spans="5:12" x14ac:dyDescent="0.35">
      <c r="E1807" s="2"/>
      <c r="F1807" s="2">
        <f>_xlfn.XLOOKUP(D1807,TIPOS_CAMBIO!A:A,TIPOS_CAMBIO!B:B,"",0)</f>
        <v>0</v>
      </c>
      <c r="G1807" s="3">
        <f t="shared" si="56"/>
        <v>0</v>
      </c>
      <c r="H1807" s="3"/>
      <c r="I1807" s="3">
        <f ca="1">IFERROR(_xludf.XLOOKUP("Seguro",PARAMETROS_IMPORTACION!$A:$A,PARAMETROS_IMPORTACION!$C:$C,0),0)</f>
        <v>0</v>
      </c>
      <c r="J1807" s="3">
        <f ca="1">IFERROR(_xludf.XLOOKUP("Arancel",PARAMETROS_IMPORTACION!$A:$A,PARAMETROS_IMPORTACION!$C:$C,0),0)</f>
        <v>0</v>
      </c>
      <c r="K1807" s="2">
        <f ca="1">IFERROR(_xludf.XLOOKUP("Gastos_Aduana",PARAMETROS_IMPORTACION!$A:$A,PARAMETROS_IMPORTACION!$C:$C,0),0)</f>
        <v>0</v>
      </c>
      <c r="L1807" s="2">
        <f t="shared" si="57"/>
        <v>0</v>
      </c>
    </row>
    <row r="1808" spans="5:12" x14ac:dyDescent="0.35">
      <c r="E1808" s="2"/>
      <c r="F1808" s="2">
        <f>_xlfn.XLOOKUP(D1808,TIPOS_CAMBIO!A:A,TIPOS_CAMBIO!B:B,"",0)</f>
        <v>0</v>
      </c>
      <c r="G1808" s="3">
        <f t="shared" si="56"/>
        <v>0</v>
      </c>
      <c r="H1808" s="3"/>
      <c r="I1808" s="3">
        <f ca="1">IFERROR(_xludf.XLOOKUP("Seguro",PARAMETROS_IMPORTACION!$A:$A,PARAMETROS_IMPORTACION!$C:$C,0),0)</f>
        <v>0</v>
      </c>
      <c r="J1808" s="3">
        <f ca="1">IFERROR(_xludf.XLOOKUP("Arancel",PARAMETROS_IMPORTACION!$A:$A,PARAMETROS_IMPORTACION!$C:$C,0),0)</f>
        <v>0</v>
      </c>
      <c r="K1808" s="2">
        <f ca="1">IFERROR(_xludf.XLOOKUP("Gastos_Aduana",PARAMETROS_IMPORTACION!$A:$A,PARAMETROS_IMPORTACION!$C:$C,0),0)</f>
        <v>0</v>
      </c>
      <c r="L1808" s="2">
        <f t="shared" si="57"/>
        <v>0</v>
      </c>
    </row>
    <row r="1809" spans="5:12" x14ac:dyDescent="0.35">
      <c r="E1809" s="2"/>
      <c r="F1809" s="2">
        <f>_xlfn.XLOOKUP(D1809,TIPOS_CAMBIO!A:A,TIPOS_CAMBIO!B:B,"",0)</f>
        <v>0</v>
      </c>
      <c r="G1809" s="3">
        <f t="shared" si="56"/>
        <v>0</v>
      </c>
      <c r="H1809" s="3"/>
      <c r="I1809" s="3">
        <f ca="1">IFERROR(_xludf.XLOOKUP("Seguro",PARAMETROS_IMPORTACION!$A:$A,PARAMETROS_IMPORTACION!$C:$C,0),0)</f>
        <v>0</v>
      </c>
      <c r="J1809" s="3">
        <f ca="1">IFERROR(_xludf.XLOOKUP("Arancel",PARAMETROS_IMPORTACION!$A:$A,PARAMETROS_IMPORTACION!$C:$C,0),0)</f>
        <v>0</v>
      </c>
      <c r="K1809" s="2">
        <f ca="1">IFERROR(_xludf.XLOOKUP("Gastos_Aduana",PARAMETROS_IMPORTACION!$A:$A,PARAMETROS_IMPORTACION!$C:$C,0),0)</f>
        <v>0</v>
      </c>
      <c r="L1809" s="2">
        <f t="shared" si="57"/>
        <v>0</v>
      </c>
    </row>
    <row r="1810" spans="5:12" x14ac:dyDescent="0.35">
      <c r="E1810" s="2"/>
      <c r="F1810" s="2">
        <f>_xlfn.XLOOKUP(D1810,TIPOS_CAMBIO!A:A,TIPOS_CAMBIO!B:B,"",0)</f>
        <v>0</v>
      </c>
      <c r="G1810" s="3">
        <f t="shared" si="56"/>
        <v>0</v>
      </c>
      <c r="H1810" s="3"/>
      <c r="I1810" s="3">
        <f ca="1">IFERROR(_xludf.XLOOKUP("Seguro",PARAMETROS_IMPORTACION!$A:$A,PARAMETROS_IMPORTACION!$C:$C,0),0)</f>
        <v>0</v>
      </c>
      <c r="J1810" s="3">
        <f ca="1">IFERROR(_xludf.XLOOKUP("Arancel",PARAMETROS_IMPORTACION!$A:$A,PARAMETROS_IMPORTACION!$C:$C,0),0)</f>
        <v>0</v>
      </c>
      <c r="K1810" s="2">
        <f ca="1">IFERROR(_xludf.XLOOKUP("Gastos_Aduana",PARAMETROS_IMPORTACION!$A:$A,PARAMETROS_IMPORTACION!$C:$C,0),0)</f>
        <v>0</v>
      </c>
      <c r="L1810" s="2">
        <f t="shared" si="57"/>
        <v>0</v>
      </c>
    </row>
    <row r="1811" spans="5:12" x14ac:dyDescent="0.35">
      <c r="E1811" s="2"/>
      <c r="F1811" s="2">
        <f>_xlfn.XLOOKUP(D1811,TIPOS_CAMBIO!A:A,TIPOS_CAMBIO!B:B,"",0)</f>
        <v>0</v>
      </c>
      <c r="G1811" s="3">
        <f t="shared" si="56"/>
        <v>0</v>
      </c>
      <c r="H1811" s="3"/>
      <c r="I1811" s="3">
        <f ca="1">IFERROR(_xludf.XLOOKUP("Seguro",PARAMETROS_IMPORTACION!$A:$A,PARAMETROS_IMPORTACION!$C:$C,0),0)</f>
        <v>0</v>
      </c>
      <c r="J1811" s="3">
        <f ca="1">IFERROR(_xludf.XLOOKUP("Arancel",PARAMETROS_IMPORTACION!$A:$A,PARAMETROS_IMPORTACION!$C:$C,0),0)</f>
        <v>0</v>
      </c>
      <c r="K1811" s="2">
        <f ca="1">IFERROR(_xludf.XLOOKUP("Gastos_Aduana",PARAMETROS_IMPORTACION!$A:$A,PARAMETROS_IMPORTACION!$C:$C,0),0)</f>
        <v>0</v>
      </c>
      <c r="L1811" s="2">
        <f t="shared" si="57"/>
        <v>0</v>
      </c>
    </row>
    <row r="1812" spans="5:12" x14ac:dyDescent="0.35">
      <c r="E1812" s="2"/>
      <c r="F1812" s="2">
        <f>_xlfn.XLOOKUP(D1812,TIPOS_CAMBIO!A:A,TIPOS_CAMBIO!B:B,"",0)</f>
        <v>0</v>
      </c>
      <c r="G1812" s="3">
        <f t="shared" si="56"/>
        <v>0</v>
      </c>
      <c r="H1812" s="3"/>
      <c r="I1812" s="3">
        <f ca="1">IFERROR(_xludf.XLOOKUP("Seguro",PARAMETROS_IMPORTACION!$A:$A,PARAMETROS_IMPORTACION!$C:$C,0),0)</f>
        <v>0</v>
      </c>
      <c r="J1812" s="3">
        <f ca="1">IFERROR(_xludf.XLOOKUP("Arancel",PARAMETROS_IMPORTACION!$A:$A,PARAMETROS_IMPORTACION!$C:$C,0),0)</f>
        <v>0</v>
      </c>
      <c r="K1812" s="2">
        <f ca="1">IFERROR(_xludf.XLOOKUP("Gastos_Aduana",PARAMETROS_IMPORTACION!$A:$A,PARAMETROS_IMPORTACION!$C:$C,0),0)</f>
        <v>0</v>
      </c>
      <c r="L1812" s="2">
        <f t="shared" si="57"/>
        <v>0</v>
      </c>
    </row>
    <row r="1813" spans="5:12" x14ac:dyDescent="0.35">
      <c r="E1813" s="2"/>
      <c r="F1813" s="2">
        <f>_xlfn.XLOOKUP(D1813,TIPOS_CAMBIO!A:A,TIPOS_CAMBIO!B:B,"",0)</f>
        <v>0</v>
      </c>
      <c r="G1813" s="3">
        <f t="shared" si="56"/>
        <v>0</v>
      </c>
      <c r="H1813" s="3"/>
      <c r="I1813" s="3">
        <f ca="1">IFERROR(_xludf.XLOOKUP("Seguro",PARAMETROS_IMPORTACION!$A:$A,PARAMETROS_IMPORTACION!$C:$C,0),0)</f>
        <v>0</v>
      </c>
      <c r="J1813" s="3">
        <f ca="1">IFERROR(_xludf.XLOOKUP("Arancel",PARAMETROS_IMPORTACION!$A:$A,PARAMETROS_IMPORTACION!$C:$C,0),0)</f>
        <v>0</v>
      </c>
      <c r="K1813" s="2">
        <f ca="1">IFERROR(_xludf.XLOOKUP("Gastos_Aduana",PARAMETROS_IMPORTACION!$A:$A,PARAMETROS_IMPORTACION!$C:$C,0),0)</f>
        <v>0</v>
      </c>
      <c r="L1813" s="2">
        <f t="shared" si="57"/>
        <v>0</v>
      </c>
    </row>
    <row r="1814" spans="5:12" x14ac:dyDescent="0.35">
      <c r="E1814" s="2"/>
      <c r="F1814" s="2">
        <f>_xlfn.XLOOKUP(D1814,TIPOS_CAMBIO!A:A,TIPOS_CAMBIO!B:B,"",0)</f>
        <v>0</v>
      </c>
      <c r="G1814" s="3">
        <f t="shared" si="56"/>
        <v>0</v>
      </c>
      <c r="H1814" s="3"/>
      <c r="I1814" s="3">
        <f ca="1">IFERROR(_xludf.XLOOKUP("Seguro",PARAMETROS_IMPORTACION!$A:$A,PARAMETROS_IMPORTACION!$C:$C,0),0)</f>
        <v>0</v>
      </c>
      <c r="J1814" s="3">
        <f ca="1">IFERROR(_xludf.XLOOKUP("Arancel",PARAMETROS_IMPORTACION!$A:$A,PARAMETROS_IMPORTACION!$C:$C,0),0)</f>
        <v>0</v>
      </c>
      <c r="K1814" s="2">
        <f ca="1">IFERROR(_xludf.XLOOKUP("Gastos_Aduana",PARAMETROS_IMPORTACION!$A:$A,PARAMETROS_IMPORTACION!$C:$C,0),0)</f>
        <v>0</v>
      </c>
      <c r="L1814" s="2">
        <f t="shared" si="57"/>
        <v>0</v>
      </c>
    </row>
    <row r="1815" spans="5:12" x14ac:dyDescent="0.35">
      <c r="E1815" s="2"/>
      <c r="F1815" s="2">
        <f>_xlfn.XLOOKUP(D1815,TIPOS_CAMBIO!A:A,TIPOS_CAMBIO!B:B,"",0)</f>
        <v>0</v>
      </c>
      <c r="G1815" s="3">
        <f t="shared" si="56"/>
        <v>0</v>
      </c>
      <c r="H1815" s="3"/>
      <c r="I1815" s="3">
        <f ca="1">IFERROR(_xludf.XLOOKUP("Seguro",PARAMETROS_IMPORTACION!$A:$A,PARAMETROS_IMPORTACION!$C:$C,0),0)</f>
        <v>0</v>
      </c>
      <c r="J1815" s="3">
        <f ca="1">IFERROR(_xludf.XLOOKUP("Arancel",PARAMETROS_IMPORTACION!$A:$A,PARAMETROS_IMPORTACION!$C:$C,0),0)</f>
        <v>0</v>
      </c>
      <c r="K1815" s="2">
        <f ca="1">IFERROR(_xludf.XLOOKUP("Gastos_Aduana",PARAMETROS_IMPORTACION!$A:$A,PARAMETROS_IMPORTACION!$C:$C,0),0)</f>
        <v>0</v>
      </c>
      <c r="L1815" s="2">
        <f t="shared" si="57"/>
        <v>0</v>
      </c>
    </row>
    <row r="1816" spans="5:12" x14ac:dyDescent="0.35">
      <c r="E1816" s="2"/>
      <c r="F1816" s="2">
        <f>_xlfn.XLOOKUP(D1816,TIPOS_CAMBIO!A:A,TIPOS_CAMBIO!B:B,"",0)</f>
        <v>0</v>
      </c>
      <c r="G1816" s="3">
        <f t="shared" si="56"/>
        <v>0</v>
      </c>
      <c r="H1816" s="3"/>
      <c r="I1816" s="3">
        <f ca="1">IFERROR(_xludf.XLOOKUP("Seguro",PARAMETROS_IMPORTACION!$A:$A,PARAMETROS_IMPORTACION!$C:$C,0),0)</f>
        <v>0</v>
      </c>
      <c r="J1816" s="3">
        <f ca="1">IFERROR(_xludf.XLOOKUP("Arancel",PARAMETROS_IMPORTACION!$A:$A,PARAMETROS_IMPORTACION!$C:$C,0),0)</f>
        <v>0</v>
      </c>
      <c r="K1816" s="2">
        <f ca="1">IFERROR(_xludf.XLOOKUP("Gastos_Aduana",PARAMETROS_IMPORTACION!$A:$A,PARAMETROS_IMPORTACION!$C:$C,0),0)</f>
        <v>0</v>
      </c>
      <c r="L1816" s="2">
        <f t="shared" si="57"/>
        <v>0</v>
      </c>
    </row>
    <row r="1817" spans="5:12" x14ac:dyDescent="0.35">
      <c r="E1817" s="2"/>
      <c r="F1817" s="2">
        <f>_xlfn.XLOOKUP(D1817,TIPOS_CAMBIO!A:A,TIPOS_CAMBIO!B:B,"",0)</f>
        <v>0</v>
      </c>
      <c r="G1817" s="3">
        <f t="shared" si="56"/>
        <v>0</v>
      </c>
      <c r="H1817" s="3"/>
      <c r="I1817" s="3">
        <f ca="1">IFERROR(_xludf.XLOOKUP("Seguro",PARAMETROS_IMPORTACION!$A:$A,PARAMETROS_IMPORTACION!$C:$C,0),0)</f>
        <v>0</v>
      </c>
      <c r="J1817" s="3">
        <f ca="1">IFERROR(_xludf.XLOOKUP("Arancel",PARAMETROS_IMPORTACION!$A:$A,PARAMETROS_IMPORTACION!$C:$C,0),0)</f>
        <v>0</v>
      </c>
      <c r="K1817" s="2">
        <f ca="1">IFERROR(_xludf.XLOOKUP("Gastos_Aduana",PARAMETROS_IMPORTACION!$A:$A,PARAMETROS_IMPORTACION!$C:$C,0),0)</f>
        <v>0</v>
      </c>
      <c r="L1817" s="2">
        <f t="shared" si="57"/>
        <v>0</v>
      </c>
    </row>
    <row r="1818" spans="5:12" x14ac:dyDescent="0.35">
      <c r="E1818" s="2"/>
      <c r="F1818" s="2">
        <f>_xlfn.XLOOKUP(D1818,TIPOS_CAMBIO!A:A,TIPOS_CAMBIO!B:B,"",0)</f>
        <v>0</v>
      </c>
      <c r="G1818" s="3">
        <f t="shared" si="56"/>
        <v>0</v>
      </c>
      <c r="H1818" s="3"/>
      <c r="I1818" s="3">
        <f ca="1">IFERROR(_xludf.XLOOKUP("Seguro",PARAMETROS_IMPORTACION!$A:$A,PARAMETROS_IMPORTACION!$C:$C,0),0)</f>
        <v>0</v>
      </c>
      <c r="J1818" s="3">
        <f ca="1">IFERROR(_xludf.XLOOKUP("Arancel",PARAMETROS_IMPORTACION!$A:$A,PARAMETROS_IMPORTACION!$C:$C,0),0)</f>
        <v>0</v>
      </c>
      <c r="K1818" s="2">
        <f ca="1">IFERROR(_xludf.XLOOKUP("Gastos_Aduana",PARAMETROS_IMPORTACION!$A:$A,PARAMETROS_IMPORTACION!$C:$C,0),0)</f>
        <v>0</v>
      </c>
      <c r="L1818" s="2">
        <f t="shared" si="57"/>
        <v>0</v>
      </c>
    </row>
    <row r="1819" spans="5:12" x14ac:dyDescent="0.35">
      <c r="E1819" s="2"/>
      <c r="F1819" s="2">
        <f>_xlfn.XLOOKUP(D1819,TIPOS_CAMBIO!A:A,TIPOS_CAMBIO!B:B,"",0)</f>
        <v>0</v>
      </c>
      <c r="G1819" s="3">
        <f t="shared" si="56"/>
        <v>0</v>
      </c>
      <c r="H1819" s="3"/>
      <c r="I1819" s="3">
        <f ca="1">IFERROR(_xludf.XLOOKUP("Seguro",PARAMETROS_IMPORTACION!$A:$A,PARAMETROS_IMPORTACION!$C:$C,0),0)</f>
        <v>0</v>
      </c>
      <c r="J1819" s="3">
        <f ca="1">IFERROR(_xludf.XLOOKUP("Arancel",PARAMETROS_IMPORTACION!$A:$A,PARAMETROS_IMPORTACION!$C:$C,0),0)</f>
        <v>0</v>
      </c>
      <c r="K1819" s="2">
        <f ca="1">IFERROR(_xludf.XLOOKUP("Gastos_Aduana",PARAMETROS_IMPORTACION!$A:$A,PARAMETROS_IMPORTACION!$C:$C,0),0)</f>
        <v>0</v>
      </c>
      <c r="L1819" s="2">
        <f t="shared" si="57"/>
        <v>0</v>
      </c>
    </row>
    <row r="1820" spans="5:12" x14ac:dyDescent="0.35">
      <c r="E1820" s="2"/>
      <c r="F1820" s="2">
        <f>_xlfn.XLOOKUP(D1820,TIPOS_CAMBIO!A:A,TIPOS_CAMBIO!B:B,"",0)</f>
        <v>0</v>
      </c>
      <c r="G1820" s="3">
        <f t="shared" si="56"/>
        <v>0</v>
      </c>
      <c r="H1820" s="3"/>
      <c r="I1820" s="3">
        <f ca="1">IFERROR(_xludf.XLOOKUP("Seguro",PARAMETROS_IMPORTACION!$A:$A,PARAMETROS_IMPORTACION!$C:$C,0),0)</f>
        <v>0</v>
      </c>
      <c r="J1820" s="3">
        <f ca="1">IFERROR(_xludf.XLOOKUP("Arancel",PARAMETROS_IMPORTACION!$A:$A,PARAMETROS_IMPORTACION!$C:$C,0),0)</f>
        <v>0</v>
      </c>
      <c r="K1820" s="2">
        <f ca="1">IFERROR(_xludf.XLOOKUP("Gastos_Aduana",PARAMETROS_IMPORTACION!$A:$A,PARAMETROS_IMPORTACION!$C:$C,0),0)</f>
        <v>0</v>
      </c>
      <c r="L1820" s="2">
        <f t="shared" si="57"/>
        <v>0</v>
      </c>
    </row>
    <row r="1821" spans="5:12" x14ac:dyDescent="0.35">
      <c r="E1821" s="2"/>
      <c r="F1821" s="2">
        <f>_xlfn.XLOOKUP(D1821,TIPOS_CAMBIO!A:A,TIPOS_CAMBIO!B:B,"",0)</f>
        <v>0</v>
      </c>
      <c r="G1821" s="3">
        <f t="shared" si="56"/>
        <v>0</v>
      </c>
      <c r="H1821" s="3"/>
      <c r="I1821" s="3">
        <f ca="1">IFERROR(_xludf.XLOOKUP("Seguro",PARAMETROS_IMPORTACION!$A:$A,PARAMETROS_IMPORTACION!$C:$C,0),0)</f>
        <v>0</v>
      </c>
      <c r="J1821" s="3">
        <f ca="1">IFERROR(_xludf.XLOOKUP("Arancel",PARAMETROS_IMPORTACION!$A:$A,PARAMETROS_IMPORTACION!$C:$C,0),0)</f>
        <v>0</v>
      </c>
      <c r="K1821" s="2">
        <f ca="1">IFERROR(_xludf.XLOOKUP("Gastos_Aduana",PARAMETROS_IMPORTACION!$A:$A,PARAMETROS_IMPORTACION!$C:$C,0),0)</f>
        <v>0</v>
      </c>
      <c r="L1821" s="2">
        <f t="shared" si="57"/>
        <v>0</v>
      </c>
    </row>
    <row r="1822" spans="5:12" x14ac:dyDescent="0.35">
      <c r="E1822" s="2"/>
      <c r="F1822" s="2">
        <f>_xlfn.XLOOKUP(D1822,TIPOS_CAMBIO!A:A,TIPOS_CAMBIO!B:B,"",0)</f>
        <v>0</v>
      </c>
      <c r="G1822" s="3">
        <f t="shared" si="56"/>
        <v>0</v>
      </c>
      <c r="H1822" s="3"/>
      <c r="I1822" s="3">
        <f ca="1">IFERROR(_xludf.XLOOKUP("Seguro",PARAMETROS_IMPORTACION!$A:$A,PARAMETROS_IMPORTACION!$C:$C,0),0)</f>
        <v>0</v>
      </c>
      <c r="J1822" s="3">
        <f ca="1">IFERROR(_xludf.XLOOKUP("Arancel",PARAMETROS_IMPORTACION!$A:$A,PARAMETROS_IMPORTACION!$C:$C,0),0)</f>
        <v>0</v>
      </c>
      <c r="K1822" s="2">
        <f ca="1">IFERROR(_xludf.XLOOKUP("Gastos_Aduana",PARAMETROS_IMPORTACION!$A:$A,PARAMETROS_IMPORTACION!$C:$C,0),0)</f>
        <v>0</v>
      </c>
      <c r="L1822" s="2">
        <f t="shared" si="57"/>
        <v>0</v>
      </c>
    </row>
    <row r="1823" spans="5:12" x14ac:dyDescent="0.35">
      <c r="E1823" s="2"/>
      <c r="F1823" s="2">
        <f>_xlfn.XLOOKUP(D1823,TIPOS_CAMBIO!A:A,TIPOS_CAMBIO!B:B,"",0)</f>
        <v>0</v>
      </c>
      <c r="G1823" s="3">
        <f t="shared" si="56"/>
        <v>0</v>
      </c>
      <c r="H1823" s="3"/>
      <c r="I1823" s="3">
        <f ca="1">IFERROR(_xludf.XLOOKUP("Seguro",PARAMETROS_IMPORTACION!$A:$A,PARAMETROS_IMPORTACION!$C:$C,0),0)</f>
        <v>0</v>
      </c>
      <c r="J1823" s="3">
        <f ca="1">IFERROR(_xludf.XLOOKUP("Arancel",PARAMETROS_IMPORTACION!$A:$A,PARAMETROS_IMPORTACION!$C:$C,0),0)</f>
        <v>0</v>
      </c>
      <c r="K1823" s="2">
        <f ca="1">IFERROR(_xludf.XLOOKUP("Gastos_Aduana",PARAMETROS_IMPORTACION!$A:$A,PARAMETROS_IMPORTACION!$C:$C,0),0)</f>
        <v>0</v>
      </c>
      <c r="L1823" s="2">
        <f t="shared" si="57"/>
        <v>0</v>
      </c>
    </row>
    <row r="1824" spans="5:12" x14ac:dyDescent="0.35">
      <c r="E1824" s="2"/>
      <c r="F1824" s="2">
        <f>_xlfn.XLOOKUP(D1824,TIPOS_CAMBIO!A:A,TIPOS_CAMBIO!B:B,"",0)</f>
        <v>0</v>
      </c>
      <c r="G1824" s="3">
        <f t="shared" si="56"/>
        <v>0</v>
      </c>
      <c r="H1824" s="3"/>
      <c r="I1824" s="3">
        <f ca="1">IFERROR(_xludf.XLOOKUP("Seguro",PARAMETROS_IMPORTACION!$A:$A,PARAMETROS_IMPORTACION!$C:$C,0),0)</f>
        <v>0</v>
      </c>
      <c r="J1824" s="3">
        <f ca="1">IFERROR(_xludf.XLOOKUP("Arancel",PARAMETROS_IMPORTACION!$A:$A,PARAMETROS_IMPORTACION!$C:$C,0),0)</f>
        <v>0</v>
      </c>
      <c r="K1824" s="2">
        <f ca="1">IFERROR(_xludf.XLOOKUP("Gastos_Aduana",PARAMETROS_IMPORTACION!$A:$A,PARAMETROS_IMPORTACION!$C:$C,0),0)</f>
        <v>0</v>
      </c>
      <c r="L1824" s="2">
        <f t="shared" si="57"/>
        <v>0</v>
      </c>
    </row>
    <row r="1825" spans="5:12" x14ac:dyDescent="0.35">
      <c r="E1825" s="2"/>
      <c r="F1825" s="2">
        <f>_xlfn.XLOOKUP(D1825,TIPOS_CAMBIO!A:A,TIPOS_CAMBIO!B:B,"",0)</f>
        <v>0</v>
      </c>
      <c r="G1825" s="3">
        <f t="shared" si="56"/>
        <v>0</v>
      </c>
      <c r="H1825" s="3"/>
      <c r="I1825" s="3">
        <f ca="1">IFERROR(_xludf.XLOOKUP("Seguro",PARAMETROS_IMPORTACION!$A:$A,PARAMETROS_IMPORTACION!$C:$C,0),0)</f>
        <v>0</v>
      </c>
      <c r="J1825" s="3">
        <f ca="1">IFERROR(_xludf.XLOOKUP("Arancel",PARAMETROS_IMPORTACION!$A:$A,PARAMETROS_IMPORTACION!$C:$C,0),0)</f>
        <v>0</v>
      </c>
      <c r="K1825" s="2">
        <f ca="1">IFERROR(_xludf.XLOOKUP("Gastos_Aduana",PARAMETROS_IMPORTACION!$A:$A,PARAMETROS_IMPORTACION!$C:$C,0),0)</f>
        <v>0</v>
      </c>
      <c r="L1825" s="2">
        <f t="shared" si="57"/>
        <v>0</v>
      </c>
    </row>
    <row r="1826" spans="5:12" x14ac:dyDescent="0.35">
      <c r="E1826" s="2"/>
      <c r="F1826" s="2">
        <f>_xlfn.XLOOKUP(D1826,TIPOS_CAMBIO!A:A,TIPOS_CAMBIO!B:B,"",0)</f>
        <v>0</v>
      </c>
      <c r="G1826" s="3">
        <f t="shared" si="56"/>
        <v>0</v>
      </c>
      <c r="H1826" s="3"/>
      <c r="I1826" s="3">
        <f ca="1">IFERROR(_xludf.XLOOKUP("Seguro",PARAMETROS_IMPORTACION!$A:$A,PARAMETROS_IMPORTACION!$C:$C,0),0)</f>
        <v>0</v>
      </c>
      <c r="J1826" s="3">
        <f ca="1">IFERROR(_xludf.XLOOKUP("Arancel",PARAMETROS_IMPORTACION!$A:$A,PARAMETROS_IMPORTACION!$C:$C,0),0)</f>
        <v>0</v>
      </c>
      <c r="K1826" s="2">
        <f ca="1">IFERROR(_xludf.XLOOKUP("Gastos_Aduana",PARAMETROS_IMPORTACION!$A:$A,PARAMETROS_IMPORTACION!$C:$C,0),0)</f>
        <v>0</v>
      </c>
      <c r="L1826" s="2">
        <f t="shared" si="57"/>
        <v>0</v>
      </c>
    </row>
    <row r="1827" spans="5:12" x14ac:dyDescent="0.35">
      <c r="E1827" s="2"/>
      <c r="F1827" s="2">
        <f>_xlfn.XLOOKUP(D1827,TIPOS_CAMBIO!A:A,TIPOS_CAMBIO!B:B,"",0)</f>
        <v>0</v>
      </c>
      <c r="G1827" s="3">
        <f t="shared" si="56"/>
        <v>0</v>
      </c>
      <c r="H1827" s="3"/>
      <c r="I1827" s="3">
        <f ca="1">IFERROR(_xludf.XLOOKUP("Seguro",PARAMETROS_IMPORTACION!$A:$A,PARAMETROS_IMPORTACION!$C:$C,0),0)</f>
        <v>0</v>
      </c>
      <c r="J1827" s="3">
        <f ca="1">IFERROR(_xludf.XLOOKUP("Arancel",PARAMETROS_IMPORTACION!$A:$A,PARAMETROS_IMPORTACION!$C:$C,0),0)</f>
        <v>0</v>
      </c>
      <c r="K1827" s="2">
        <f ca="1">IFERROR(_xludf.XLOOKUP("Gastos_Aduana",PARAMETROS_IMPORTACION!$A:$A,PARAMETROS_IMPORTACION!$C:$C,0),0)</f>
        <v>0</v>
      </c>
      <c r="L1827" s="2">
        <f t="shared" si="57"/>
        <v>0</v>
      </c>
    </row>
    <row r="1828" spans="5:12" x14ac:dyDescent="0.35">
      <c r="E1828" s="2"/>
      <c r="F1828" s="2">
        <f>_xlfn.XLOOKUP(D1828,TIPOS_CAMBIO!A:A,TIPOS_CAMBIO!B:B,"",0)</f>
        <v>0</v>
      </c>
      <c r="G1828" s="3">
        <f t="shared" si="56"/>
        <v>0</v>
      </c>
      <c r="H1828" s="3"/>
      <c r="I1828" s="3">
        <f ca="1">IFERROR(_xludf.XLOOKUP("Seguro",PARAMETROS_IMPORTACION!$A:$A,PARAMETROS_IMPORTACION!$C:$C,0),0)</f>
        <v>0</v>
      </c>
      <c r="J1828" s="3">
        <f ca="1">IFERROR(_xludf.XLOOKUP("Arancel",PARAMETROS_IMPORTACION!$A:$A,PARAMETROS_IMPORTACION!$C:$C,0),0)</f>
        <v>0</v>
      </c>
      <c r="K1828" s="2">
        <f ca="1">IFERROR(_xludf.XLOOKUP("Gastos_Aduana",PARAMETROS_IMPORTACION!$A:$A,PARAMETROS_IMPORTACION!$C:$C,0),0)</f>
        <v>0</v>
      </c>
      <c r="L1828" s="2">
        <f t="shared" si="57"/>
        <v>0</v>
      </c>
    </row>
    <row r="1829" spans="5:12" x14ac:dyDescent="0.35">
      <c r="E1829" s="2"/>
      <c r="F1829" s="2">
        <f>_xlfn.XLOOKUP(D1829,TIPOS_CAMBIO!A:A,TIPOS_CAMBIO!B:B,"",0)</f>
        <v>0</v>
      </c>
      <c r="G1829" s="3">
        <f t="shared" si="56"/>
        <v>0</v>
      </c>
      <c r="H1829" s="3"/>
      <c r="I1829" s="3">
        <f ca="1">IFERROR(_xludf.XLOOKUP("Seguro",PARAMETROS_IMPORTACION!$A:$A,PARAMETROS_IMPORTACION!$C:$C,0),0)</f>
        <v>0</v>
      </c>
      <c r="J1829" s="3">
        <f ca="1">IFERROR(_xludf.XLOOKUP("Arancel",PARAMETROS_IMPORTACION!$A:$A,PARAMETROS_IMPORTACION!$C:$C,0),0)</f>
        <v>0</v>
      </c>
      <c r="K1829" s="2">
        <f ca="1">IFERROR(_xludf.XLOOKUP("Gastos_Aduana",PARAMETROS_IMPORTACION!$A:$A,PARAMETROS_IMPORTACION!$C:$C,0),0)</f>
        <v>0</v>
      </c>
      <c r="L1829" s="2">
        <f t="shared" si="57"/>
        <v>0</v>
      </c>
    </row>
    <row r="1830" spans="5:12" x14ac:dyDescent="0.35">
      <c r="E1830" s="2"/>
      <c r="F1830" s="2">
        <f>_xlfn.XLOOKUP(D1830,TIPOS_CAMBIO!A:A,TIPOS_CAMBIO!B:B,"",0)</f>
        <v>0</v>
      </c>
      <c r="G1830" s="3">
        <f t="shared" si="56"/>
        <v>0</v>
      </c>
      <c r="H1830" s="3"/>
      <c r="I1830" s="3">
        <f ca="1">IFERROR(_xludf.XLOOKUP("Seguro",PARAMETROS_IMPORTACION!$A:$A,PARAMETROS_IMPORTACION!$C:$C,0),0)</f>
        <v>0</v>
      </c>
      <c r="J1830" s="3">
        <f ca="1">IFERROR(_xludf.XLOOKUP("Arancel",PARAMETROS_IMPORTACION!$A:$A,PARAMETROS_IMPORTACION!$C:$C,0),0)</f>
        <v>0</v>
      </c>
      <c r="K1830" s="2">
        <f ca="1">IFERROR(_xludf.XLOOKUP("Gastos_Aduana",PARAMETROS_IMPORTACION!$A:$A,PARAMETROS_IMPORTACION!$C:$C,0),0)</f>
        <v>0</v>
      </c>
      <c r="L1830" s="2">
        <f t="shared" si="57"/>
        <v>0</v>
      </c>
    </row>
    <row r="1831" spans="5:12" x14ac:dyDescent="0.35">
      <c r="E1831" s="2"/>
      <c r="F1831" s="2">
        <f>_xlfn.XLOOKUP(D1831,TIPOS_CAMBIO!A:A,TIPOS_CAMBIO!B:B,"",0)</f>
        <v>0</v>
      </c>
      <c r="G1831" s="3">
        <f t="shared" si="56"/>
        <v>0</v>
      </c>
      <c r="H1831" s="3"/>
      <c r="I1831" s="3">
        <f ca="1">IFERROR(_xludf.XLOOKUP("Seguro",PARAMETROS_IMPORTACION!$A:$A,PARAMETROS_IMPORTACION!$C:$C,0),0)</f>
        <v>0</v>
      </c>
      <c r="J1831" s="3">
        <f ca="1">IFERROR(_xludf.XLOOKUP("Arancel",PARAMETROS_IMPORTACION!$A:$A,PARAMETROS_IMPORTACION!$C:$C,0),0)</f>
        <v>0</v>
      </c>
      <c r="K1831" s="2">
        <f ca="1">IFERROR(_xludf.XLOOKUP("Gastos_Aduana",PARAMETROS_IMPORTACION!$A:$A,PARAMETROS_IMPORTACION!$C:$C,0),0)</f>
        <v>0</v>
      </c>
      <c r="L1831" s="2">
        <f t="shared" si="57"/>
        <v>0</v>
      </c>
    </row>
    <row r="1832" spans="5:12" x14ac:dyDescent="0.35">
      <c r="E1832" s="2"/>
      <c r="F1832" s="2">
        <f>_xlfn.XLOOKUP(D1832,TIPOS_CAMBIO!A:A,TIPOS_CAMBIO!B:B,"",0)</f>
        <v>0</v>
      </c>
      <c r="G1832" s="3">
        <f t="shared" si="56"/>
        <v>0</v>
      </c>
      <c r="H1832" s="3"/>
      <c r="I1832" s="3">
        <f ca="1">IFERROR(_xludf.XLOOKUP("Seguro",PARAMETROS_IMPORTACION!$A:$A,PARAMETROS_IMPORTACION!$C:$C,0),0)</f>
        <v>0</v>
      </c>
      <c r="J1832" s="3">
        <f ca="1">IFERROR(_xludf.XLOOKUP("Arancel",PARAMETROS_IMPORTACION!$A:$A,PARAMETROS_IMPORTACION!$C:$C,0),0)</f>
        <v>0</v>
      </c>
      <c r="K1832" s="2">
        <f ca="1">IFERROR(_xludf.XLOOKUP("Gastos_Aduana",PARAMETROS_IMPORTACION!$A:$A,PARAMETROS_IMPORTACION!$C:$C,0),0)</f>
        <v>0</v>
      </c>
      <c r="L1832" s="2">
        <f t="shared" si="57"/>
        <v>0</v>
      </c>
    </row>
    <row r="1833" spans="5:12" x14ac:dyDescent="0.35">
      <c r="E1833" s="2"/>
      <c r="F1833" s="2">
        <f>_xlfn.XLOOKUP(D1833,TIPOS_CAMBIO!A:A,TIPOS_CAMBIO!B:B,"",0)</f>
        <v>0</v>
      </c>
      <c r="G1833" s="3">
        <f t="shared" si="56"/>
        <v>0</v>
      </c>
      <c r="H1833" s="3"/>
      <c r="I1833" s="3">
        <f ca="1">IFERROR(_xludf.XLOOKUP("Seguro",PARAMETROS_IMPORTACION!$A:$A,PARAMETROS_IMPORTACION!$C:$C,0),0)</f>
        <v>0</v>
      </c>
      <c r="J1833" s="3">
        <f ca="1">IFERROR(_xludf.XLOOKUP("Arancel",PARAMETROS_IMPORTACION!$A:$A,PARAMETROS_IMPORTACION!$C:$C,0),0)</f>
        <v>0</v>
      </c>
      <c r="K1833" s="2">
        <f ca="1">IFERROR(_xludf.XLOOKUP("Gastos_Aduana",PARAMETROS_IMPORTACION!$A:$A,PARAMETROS_IMPORTACION!$C:$C,0),0)</f>
        <v>0</v>
      </c>
      <c r="L1833" s="2">
        <f t="shared" si="57"/>
        <v>0</v>
      </c>
    </row>
    <row r="1834" spans="5:12" x14ac:dyDescent="0.35">
      <c r="E1834" s="2"/>
      <c r="F1834" s="2">
        <f>_xlfn.XLOOKUP(D1834,TIPOS_CAMBIO!A:A,TIPOS_CAMBIO!B:B,"",0)</f>
        <v>0</v>
      </c>
      <c r="G1834" s="3">
        <f t="shared" si="56"/>
        <v>0</v>
      </c>
      <c r="H1834" s="3"/>
      <c r="I1834" s="3">
        <f ca="1">IFERROR(_xludf.XLOOKUP("Seguro",PARAMETROS_IMPORTACION!$A:$A,PARAMETROS_IMPORTACION!$C:$C,0),0)</f>
        <v>0</v>
      </c>
      <c r="J1834" s="3">
        <f ca="1">IFERROR(_xludf.XLOOKUP("Arancel",PARAMETROS_IMPORTACION!$A:$A,PARAMETROS_IMPORTACION!$C:$C,0),0)</f>
        <v>0</v>
      </c>
      <c r="K1834" s="2">
        <f ca="1">IFERROR(_xludf.XLOOKUP("Gastos_Aduana",PARAMETROS_IMPORTACION!$A:$A,PARAMETROS_IMPORTACION!$C:$C,0),0)</f>
        <v>0</v>
      </c>
      <c r="L1834" s="2">
        <f t="shared" si="57"/>
        <v>0</v>
      </c>
    </row>
    <row r="1835" spans="5:12" x14ac:dyDescent="0.35">
      <c r="E1835" s="2"/>
      <c r="F1835" s="2">
        <f>_xlfn.XLOOKUP(D1835,TIPOS_CAMBIO!A:A,TIPOS_CAMBIO!B:B,"",0)</f>
        <v>0</v>
      </c>
      <c r="G1835" s="3">
        <f t="shared" si="56"/>
        <v>0</v>
      </c>
      <c r="H1835" s="3"/>
      <c r="I1835" s="3">
        <f ca="1">IFERROR(_xludf.XLOOKUP("Seguro",PARAMETROS_IMPORTACION!$A:$A,PARAMETROS_IMPORTACION!$C:$C,0),0)</f>
        <v>0</v>
      </c>
      <c r="J1835" s="3">
        <f ca="1">IFERROR(_xludf.XLOOKUP("Arancel",PARAMETROS_IMPORTACION!$A:$A,PARAMETROS_IMPORTACION!$C:$C,0),0)</f>
        <v>0</v>
      </c>
      <c r="K1835" s="2">
        <f ca="1">IFERROR(_xludf.XLOOKUP("Gastos_Aduana",PARAMETROS_IMPORTACION!$A:$A,PARAMETROS_IMPORTACION!$C:$C,0),0)</f>
        <v>0</v>
      </c>
      <c r="L1835" s="2">
        <f t="shared" si="57"/>
        <v>0</v>
      </c>
    </row>
    <row r="1836" spans="5:12" x14ac:dyDescent="0.35">
      <c r="E1836" s="2"/>
      <c r="F1836" s="2">
        <f>_xlfn.XLOOKUP(D1836,TIPOS_CAMBIO!A:A,TIPOS_CAMBIO!B:B,"",0)</f>
        <v>0</v>
      </c>
      <c r="G1836" s="3">
        <f t="shared" si="56"/>
        <v>0</v>
      </c>
      <c r="H1836" s="3"/>
      <c r="I1836" s="3">
        <f ca="1">IFERROR(_xludf.XLOOKUP("Seguro",PARAMETROS_IMPORTACION!$A:$A,PARAMETROS_IMPORTACION!$C:$C,0),0)</f>
        <v>0</v>
      </c>
      <c r="J1836" s="3">
        <f ca="1">IFERROR(_xludf.XLOOKUP("Arancel",PARAMETROS_IMPORTACION!$A:$A,PARAMETROS_IMPORTACION!$C:$C,0),0)</f>
        <v>0</v>
      </c>
      <c r="K1836" s="2">
        <f ca="1">IFERROR(_xludf.XLOOKUP("Gastos_Aduana",PARAMETROS_IMPORTACION!$A:$A,PARAMETROS_IMPORTACION!$C:$C,0),0)</f>
        <v>0</v>
      </c>
      <c r="L1836" s="2">
        <f t="shared" si="57"/>
        <v>0</v>
      </c>
    </row>
    <row r="1837" spans="5:12" x14ac:dyDescent="0.35">
      <c r="E1837" s="2"/>
      <c r="F1837" s="2">
        <f>_xlfn.XLOOKUP(D1837,TIPOS_CAMBIO!A:A,TIPOS_CAMBIO!B:B,"",0)</f>
        <v>0</v>
      </c>
      <c r="G1837" s="3">
        <f t="shared" si="56"/>
        <v>0</v>
      </c>
      <c r="H1837" s="3"/>
      <c r="I1837" s="3">
        <f ca="1">IFERROR(_xludf.XLOOKUP("Seguro",PARAMETROS_IMPORTACION!$A:$A,PARAMETROS_IMPORTACION!$C:$C,0),0)</f>
        <v>0</v>
      </c>
      <c r="J1837" s="3">
        <f ca="1">IFERROR(_xludf.XLOOKUP("Arancel",PARAMETROS_IMPORTACION!$A:$A,PARAMETROS_IMPORTACION!$C:$C,0),0)</f>
        <v>0</v>
      </c>
      <c r="K1837" s="2">
        <f ca="1">IFERROR(_xludf.XLOOKUP("Gastos_Aduana",PARAMETROS_IMPORTACION!$A:$A,PARAMETROS_IMPORTACION!$C:$C,0),0)</f>
        <v>0</v>
      </c>
      <c r="L1837" s="2">
        <f t="shared" si="57"/>
        <v>0</v>
      </c>
    </row>
    <row r="1838" spans="5:12" x14ac:dyDescent="0.35">
      <c r="E1838" s="2"/>
      <c r="F1838" s="2">
        <f>_xlfn.XLOOKUP(D1838,TIPOS_CAMBIO!A:A,TIPOS_CAMBIO!B:B,"",0)</f>
        <v>0</v>
      </c>
      <c r="G1838" s="3">
        <f t="shared" si="56"/>
        <v>0</v>
      </c>
      <c r="H1838" s="3"/>
      <c r="I1838" s="3">
        <f ca="1">IFERROR(_xludf.XLOOKUP("Seguro",PARAMETROS_IMPORTACION!$A:$A,PARAMETROS_IMPORTACION!$C:$C,0),0)</f>
        <v>0</v>
      </c>
      <c r="J1838" s="3">
        <f ca="1">IFERROR(_xludf.XLOOKUP("Arancel",PARAMETROS_IMPORTACION!$A:$A,PARAMETROS_IMPORTACION!$C:$C,0),0)</f>
        <v>0</v>
      </c>
      <c r="K1838" s="2">
        <f ca="1">IFERROR(_xludf.XLOOKUP("Gastos_Aduana",PARAMETROS_IMPORTACION!$A:$A,PARAMETROS_IMPORTACION!$C:$C,0),0)</f>
        <v>0</v>
      </c>
      <c r="L1838" s="2">
        <f t="shared" si="57"/>
        <v>0</v>
      </c>
    </row>
    <row r="1839" spans="5:12" x14ac:dyDescent="0.35">
      <c r="E1839" s="2"/>
      <c r="F1839" s="2">
        <f>_xlfn.XLOOKUP(D1839,TIPOS_CAMBIO!A:A,TIPOS_CAMBIO!B:B,"",0)</f>
        <v>0</v>
      </c>
      <c r="G1839" s="3">
        <f t="shared" si="56"/>
        <v>0</v>
      </c>
      <c r="H1839" s="3"/>
      <c r="I1839" s="3">
        <f ca="1">IFERROR(_xludf.XLOOKUP("Seguro",PARAMETROS_IMPORTACION!$A:$A,PARAMETROS_IMPORTACION!$C:$C,0),0)</f>
        <v>0</v>
      </c>
      <c r="J1839" s="3">
        <f ca="1">IFERROR(_xludf.XLOOKUP("Arancel",PARAMETROS_IMPORTACION!$A:$A,PARAMETROS_IMPORTACION!$C:$C,0),0)</f>
        <v>0</v>
      </c>
      <c r="K1839" s="2">
        <f ca="1">IFERROR(_xludf.XLOOKUP("Gastos_Aduana",PARAMETROS_IMPORTACION!$A:$A,PARAMETROS_IMPORTACION!$C:$C,0),0)</f>
        <v>0</v>
      </c>
      <c r="L1839" s="2">
        <f t="shared" si="57"/>
        <v>0</v>
      </c>
    </row>
    <row r="1840" spans="5:12" x14ac:dyDescent="0.35">
      <c r="E1840" s="2"/>
      <c r="F1840" s="2">
        <f>_xlfn.XLOOKUP(D1840,TIPOS_CAMBIO!A:A,TIPOS_CAMBIO!B:B,"",0)</f>
        <v>0</v>
      </c>
      <c r="G1840" s="3">
        <f t="shared" si="56"/>
        <v>0</v>
      </c>
      <c r="H1840" s="3"/>
      <c r="I1840" s="3">
        <f ca="1">IFERROR(_xludf.XLOOKUP("Seguro",PARAMETROS_IMPORTACION!$A:$A,PARAMETROS_IMPORTACION!$C:$C,0),0)</f>
        <v>0</v>
      </c>
      <c r="J1840" s="3">
        <f ca="1">IFERROR(_xludf.XLOOKUP("Arancel",PARAMETROS_IMPORTACION!$A:$A,PARAMETROS_IMPORTACION!$C:$C,0),0)</f>
        <v>0</v>
      </c>
      <c r="K1840" s="2">
        <f ca="1">IFERROR(_xludf.XLOOKUP("Gastos_Aduana",PARAMETROS_IMPORTACION!$A:$A,PARAMETROS_IMPORTACION!$C:$C,0),0)</f>
        <v>0</v>
      </c>
      <c r="L1840" s="2">
        <f t="shared" si="57"/>
        <v>0</v>
      </c>
    </row>
    <row r="1841" spans="5:12" x14ac:dyDescent="0.35">
      <c r="E1841" s="2"/>
      <c r="F1841" s="2">
        <f>_xlfn.XLOOKUP(D1841,TIPOS_CAMBIO!A:A,TIPOS_CAMBIO!B:B,"",0)</f>
        <v>0</v>
      </c>
      <c r="G1841" s="3">
        <f t="shared" si="56"/>
        <v>0</v>
      </c>
      <c r="H1841" s="3"/>
      <c r="I1841" s="3">
        <f ca="1">IFERROR(_xludf.XLOOKUP("Seguro",PARAMETROS_IMPORTACION!$A:$A,PARAMETROS_IMPORTACION!$C:$C,0),0)</f>
        <v>0</v>
      </c>
      <c r="J1841" s="3">
        <f ca="1">IFERROR(_xludf.XLOOKUP("Arancel",PARAMETROS_IMPORTACION!$A:$A,PARAMETROS_IMPORTACION!$C:$C,0),0)</f>
        <v>0</v>
      </c>
      <c r="K1841" s="2">
        <f ca="1">IFERROR(_xludf.XLOOKUP("Gastos_Aduana",PARAMETROS_IMPORTACION!$A:$A,PARAMETROS_IMPORTACION!$C:$C,0),0)</f>
        <v>0</v>
      </c>
      <c r="L1841" s="2">
        <f t="shared" si="57"/>
        <v>0</v>
      </c>
    </row>
    <row r="1842" spans="5:12" x14ac:dyDescent="0.35">
      <c r="E1842" s="2"/>
      <c r="F1842" s="2">
        <f>_xlfn.XLOOKUP(D1842,TIPOS_CAMBIO!A:A,TIPOS_CAMBIO!B:B,"",0)</f>
        <v>0</v>
      </c>
      <c r="G1842" s="3">
        <f t="shared" si="56"/>
        <v>0</v>
      </c>
      <c r="H1842" s="3"/>
      <c r="I1842" s="3">
        <f ca="1">IFERROR(_xludf.XLOOKUP("Seguro",PARAMETROS_IMPORTACION!$A:$A,PARAMETROS_IMPORTACION!$C:$C,0),0)</f>
        <v>0</v>
      </c>
      <c r="J1842" s="3">
        <f ca="1">IFERROR(_xludf.XLOOKUP("Arancel",PARAMETROS_IMPORTACION!$A:$A,PARAMETROS_IMPORTACION!$C:$C,0),0)</f>
        <v>0</v>
      </c>
      <c r="K1842" s="2">
        <f ca="1">IFERROR(_xludf.XLOOKUP("Gastos_Aduana",PARAMETROS_IMPORTACION!$A:$A,PARAMETROS_IMPORTACION!$C:$C,0),0)</f>
        <v>0</v>
      </c>
      <c r="L1842" s="2">
        <f t="shared" si="57"/>
        <v>0</v>
      </c>
    </row>
    <row r="1843" spans="5:12" x14ac:dyDescent="0.35">
      <c r="E1843" s="2"/>
      <c r="F1843" s="2">
        <f>_xlfn.XLOOKUP(D1843,TIPOS_CAMBIO!A:A,TIPOS_CAMBIO!B:B,"",0)</f>
        <v>0</v>
      </c>
      <c r="G1843" s="3">
        <f t="shared" si="56"/>
        <v>0</v>
      </c>
      <c r="H1843" s="3"/>
      <c r="I1843" s="3">
        <f ca="1">IFERROR(_xludf.XLOOKUP("Seguro",PARAMETROS_IMPORTACION!$A:$A,PARAMETROS_IMPORTACION!$C:$C,0),0)</f>
        <v>0</v>
      </c>
      <c r="J1843" s="3">
        <f ca="1">IFERROR(_xludf.XLOOKUP("Arancel",PARAMETROS_IMPORTACION!$A:$A,PARAMETROS_IMPORTACION!$C:$C,0),0)</f>
        <v>0</v>
      </c>
      <c r="K1843" s="2">
        <f ca="1">IFERROR(_xludf.XLOOKUP("Gastos_Aduana",PARAMETROS_IMPORTACION!$A:$A,PARAMETROS_IMPORTACION!$C:$C,0),0)</f>
        <v>0</v>
      </c>
      <c r="L1843" s="2">
        <f t="shared" si="57"/>
        <v>0</v>
      </c>
    </row>
    <row r="1844" spans="5:12" x14ac:dyDescent="0.35">
      <c r="E1844" s="2"/>
      <c r="F1844" s="2">
        <f>_xlfn.XLOOKUP(D1844,TIPOS_CAMBIO!A:A,TIPOS_CAMBIO!B:B,"",0)</f>
        <v>0</v>
      </c>
      <c r="G1844" s="3">
        <f t="shared" si="56"/>
        <v>0</v>
      </c>
      <c r="H1844" s="3"/>
      <c r="I1844" s="3">
        <f ca="1">IFERROR(_xludf.XLOOKUP("Seguro",PARAMETROS_IMPORTACION!$A:$A,PARAMETROS_IMPORTACION!$C:$C,0),0)</f>
        <v>0</v>
      </c>
      <c r="J1844" s="3">
        <f ca="1">IFERROR(_xludf.XLOOKUP("Arancel",PARAMETROS_IMPORTACION!$A:$A,PARAMETROS_IMPORTACION!$C:$C,0),0)</f>
        <v>0</v>
      </c>
      <c r="K1844" s="2">
        <f ca="1">IFERROR(_xludf.XLOOKUP("Gastos_Aduana",PARAMETROS_IMPORTACION!$A:$A,PARAMETROS_IMPORTACION!$C:$C,0),0)</f>
        <v>0</v>
      </c>
      <c r="L1844" s="2">
        <f t="shared" si="57"/>
        <v>0</v>
      </c>
    </row>
    <row r="1845" spans="5:12" x14ac:dyDescent="0.35">
      <c r="E1845" s="2"/>
      <c r="F1845" s="2">
        <f>_xlfn.XLOOKUP(D1845,TIPOS_CAMBIO!A:A,TIPOS_CAMBIO!B:B,"",0)</f>
        <v>0</v>
      </c>
      <c r="G1845" s="3">
        <f t="shared" si="56"/>
        <v>0</v>
      </c>
      <c r="H1845" s="3"/>
      <c r="I1845" s="3">
        <f ca="1">IFERROR(_xludf.XLOOKUP("Seguro",PARAMETROS_IMPORTACION!$A:$A,PARAMETROS_IMPORTACION!$C:$C,0),0)</f>
        <v>0</v>
      </c>
      <c r="J1845" s="3">
        <f ca="1">IFERROR(_xludf.XLOOKUP("Arancel",PARAMETROS_IMPORTACION!$A:$A,PARAMETROS_IMPORTACION!$C:$C,0),0)</f>
        <v>0</v>
      </c>
      <c r="K1845" s="2">
        <f ca="1">IFERROR(_xludf.XLOOKUP("Gastos_Aduana",PARAMETROS_IMPORTACION!$A:$A,PARAMETROS_IMPORTACION!$C:$C,0),0)</f>
        <v>0</v>
      </c>
      <c r="L1845" s="2">
        <f t="shared" si="57"/>
        <v>0</v>
      </c>
    </row>
    <row r="1846" spans="5:12" x14ac:dyDescent="0.35">
      <c r="E1846" s="2"/>
      <c r="F1846" s="2">
        <f>_xlfn.XLOOKUP(D1846,TIPOS_CAMBIO!A:A,TIPOS_CAMBIO!B:B,"",0)</f>
        <v>0</v>
      </c>
      <c r="G1846" s="3">
        <f t="shared" si="56"/>
        <v>0</v>
      </c>
      <c r="H1846" s="3"/>
      <c r="I1846" s="3">
        <f ca="1">IFERROR(_xludf.XLOOKUP("Seguro",PARAMETROS_IMPORTACION!$A:$A,PARAMETROS_IMPORTACION!$C:$C,0),0)</f>
        <v>0</v>
      </c>
      <c r="J1846" s="3">
        <f ca="1">IFERROR(_xludf.XLOOKUP("Arancel",PARAMETROS_IMPORTACION!$A:$A,PARAMETROS_IMPORTACION!$C:$C,0),0)</f>
        <v>0</v>
      </c>
      <c r="K1846" s="2">
        <f ca="1">IFERROR(_xludf.XLOOKUP("Gastos_Aduana",PARAMETROS_IMPORTACION!$A:$A,PARAMETROS_IMPORTACION!$C:$C,0),0)</f>
        <v>0</v>
      </c>
      <c r="L1846" s="2">
        <f t="shared" si="57"/>
        <v>0</v>
      </c>
    </row>
    <row r="1847" spans="5:12" x14ac:dyDescent="0.35">
      <c r="E1847" s="2"/>
      <c r="F1847" s="2">
        <f>_xlfn.XLOOKUP(D1847,TIPOS_CAMBIO!A:A,TIPOS_CAMBIO!B:B,"",0)</f>
        <v>0</v>
      </c>
      <c r="G1847" s="3">
        <f t="shared" si="56"/>
        <v>0</v>
      </c>
      <c r="H1847" s="3"/>
      <c r="I1847" s="3">
        <f ca="1">IFERROR(_xludf.XLOOKUP("Seguro",PARAMETROS_IMPORTACION!$A:$A,PARAMETROS_IMPORTACION!$C:$C,0),0)</f>
        <v>0</v>
      </c>
      <c r="J1847" s="3">
        <f ca="1">IFERROR(_xludf.XLOOKUP("Arancel",PARAMETROS_IMPORTACION!$A:$A,PARAMETROS_IMPORTACION!$C:$C,0),0)</f>
        <v>0</v>
      </c>
      <c r="K1847" s="2">
        <f ca="1">IFERROR(_xludf.XLOOKUP("Gastos_Aduana",PARAMETROS_IMPORTACION!$A:$A,PARAMETROS_IMPORTACION!$C:$C,0),0)</f>
        <v>0</v>
      </c>
      <c r="L1847" s="2">
        <f t="shared" si="57"/>
        <v>0</v>
      </c>
    </row>
    <row r="1848" spans="5:12" x14ac:dyDescent="0.35">
      <c r="E1848" s="2"/>
      <c r="F1848" s="2">
        <f>_xlfn.XLOOKUP(D1848,TIPOS_CAMBIO!A:A,TIPOS_CAMBIO!B:B,"",0)</f>
        <v>0</v>
      </c>
      <c r="G1848" s="3">
        <f t="shared" si="56"/>
        <v>0</v>
      </c>
      <c r="H1848" s="3"/>
      <c r="I1848" s="3">
        <f ca="1">IFERROR(_xludf.XLOOKUP("Seguro",PARAMETROS_IMPORTACION!$A:$A,PARAMETROS_IMPORTACION!$C:$C,0),0)</f>
        <v>0</v>
      </c>
      <c r="J1848" s="3">
        <f ca="1">IFERROR(_xludf.XLOOKUP("Arancel",PARAMETROS_IMPORTACION!$A:$A,PARAMETROS_IMPORTACION!$C:$C,0),0)</f>
        <v>0</v>
      </c>
      <c r="K1848" s="2">
        <f ca="1">IFERROR(_xludf.XLOOKUP("Gastos_Aduana",PARAMETROS_IMPORTACION!$A:$A,PARAMETROS_IMPORTACION!$C:$C,0),0)</f>
        <v>0</v>
      </c>
      <c r="L1848" s="2">
        <f t="shared" si="57"/>
        <v>0</v>
      </c>
    </row>
    <row r="1849" spans="5:12" x14ac:dyDescent="0.35">
      <c r="E1849" s="2"/>
      <c r="F1849" s="2">
        <f>_xlfn.XLOOKUP(D1849,TIPOS_CAMBIO!A:A,TIPOS_CAMBIO!B:B,"",0)</f>
        <v>0</v>
      </c>
      <c r="G1849" s="3">
        <f t="shared" si="56"/>
        <v>0</v>
      </c>
      <c r="H1849" s="3"/>
      <c r="I1849" s="3">
        <f ca="1">IFERROR(_xludf.XLOOKUP("Seguro",PARAMETROS_IMPORTACION!$A:$A,PARAMETROS_IMPORTACION!$C:$C,0),0)</f>
        <v>0</v>
      </c>
      <c r="J1849" s="3">
        <f ca="1">IFERROR(_xludf.XLOOKUP("Arancel",PARAMETROS_IMPORTACION!$A:$A,PARAMETROS_IMPORTACION!$C:$C,0),0)</f>
        <v>0</v>
      </c>
      <c r="K1849" s="2">
        <f ca="1">IFERROR(_xludf.XLOOKUP("Gastos_Aduana",PARAMETROS_IMPORTACION!$A:$A,PARAMETROS_IMPORTACION!$C:$C,0),0)</f>
        <v>0</v>
      </c>
      <c r="L1849" s="2">
        <f t="shared" si="57"/>
        <v>0</v>
      </c>
    </row>
    <row r="1850" spans="5:12" x14ac:dyDescent="0.35">
      <c r="E1850" s="2"/>
      <c r="F1850" s="2">
        <f>_xlfn.XLOOKUP(D1850,TIPOS_CAMBIO!A:A,TIPOS_CAMBIO!B:B,"",0)</f>
        <v>0</v>
      </c>
      <c r="G1850" s="3">
        <f t="shared" si="56"/>
        <v>0</v>
      </c>
      <c r="H1850" s="3"/>
      <c r="I1850" s="3">
        <f ca="1">IFERROR(_xludf.XLOOKUP("Seguro",PARAMETROS_IMPORTACION!$A:$A,PARAMETROS_IMPORTACION!$C:$C,0),0)</f>
        <v>0</v>
      </c>
      <c r="J1850" s="3">
        <f ca="1">IFERROR(_xludf.XLOOKUP("Arancel",PARAMETROS_IMPORTACION!$A:$A,PARAMETROS_IMPORTACION!$C:$C,0),0)</f>
        <v>0</v>
      </c>
      <c r="K1850" s="2">
        <f ca="1">IFERROR(_xludf.XLOOKUP("Gastos_Aduana",PARAMETROS_IMPORTACION!$A:$A,PARAMETROS_IMPORTACION!$C:$C,0),0)</f>
        <v>0</v>
      </c>
      <c r="L1850" s="2">
        <f t="shared" si="57"/>
        <v>0</v>
      </c>
    </row>
    <row r="1851" spans="5:12" x14ac:dyDescent="0.35">
      <c r="E1851" s="2"/>
      <c r="F1851" s="2">
        <f>_xlfn.XLOOKUP(D1851,TIPOS_CAMBIO!A:A,TIPOS_CAMBIO!B:B,"",0)</f>
        <v>0</v>
      </c>
      <c r="G1851" s="3">
        <f t="shared" si="56"/>
        <v>0</v>
      </c>
      <c r="H1851" s="3"/>
      <c r="I1851" s="3">
        <f ca="1">IFERROR(_xludf.XLOOKUP("Seguro",PARAMETROS_IMPORTACION!$A:$A,PARAMETROS_IMPORTACION!$C:$C,0),0)</f>
        <v>0</v>
      </c>
      <c r="J1851" s="3">
        <f ca="1">IFERROR(_xludf.XLOOKUP("Arancel",PARAMETROS_IMPORTACION!$A:$A,PARAMETROS_IMPORTACION!$C:$C,0),0)</f>
        <v>0</v>
      </c>
      <c r="K1851" s="2">
        <f ca="1">IFERROR(_xludf.XLOOKUP("Gastos_Aduana",PARAMETROS_IMPORTACION!$A:$A,PARAMETROS_IMPORTACION!$C:$C,0),0)</f>
        <v>0</v>
      </c>
      <c r="L1851" s="2">
        <f t="shared" si="57"/>
        <v>0</v>
      </c>
    </row>
    <row r="1852" spans="5:12" x14ac:dyDescent="0.35">
      <c r="E1852" s="2"/>
      <c r="F1852" s="2">
        <f>_xlfn.XLOOKUP(D1852,TIPOS_CAMBIO!A:A,TIPOS_CAMBIO!B:B,"",0)</f>
        <v>0</v>
      </c>
      <c r="G1852" s="3">
        <f t="shared" si="56"/>
        <v>0</v>
      </c>
      <c r="H1852" s="3"/>
      <c r="I1852" s="3">
        <f ca="1">IFERROR(_xludf.XLOOKUP("Seguro",PARAMETROS_IMPORTACION!$A:$A,PARAMETROS_IMPORTACION!$C:$C,0),0)</f>
        <v>0</v>
      </c>
      <c r="J1852" s="3">
        <f ca="1">IFERROR(_xludf.XLOOKUP("Arancel",PARAMETROS_IMPORTACION!$A:$A,PARAMETROS_IMPORTACION!$C:$C,0),0)</f>
        <v>0</v>
      </c>
      <c r="K1852" s="2">
        <f ca="1">IFERROR(_xludf.XLOOKUP("Gastos_Aduana",PARAMETROS_IMPORTACION!$A:$A,PARAMETROS_IMPORTACION!$C:$C,0),0)</f>
        <v>0</v>
      </c>
      <c r="L1852" s="2">
        <f t="shared" si="57"/>
        <v>0</v>
      </c>
    </row>
    <row r="1853" spans="5:12" x14ac:dyDescent="0.35">
      <c r="E1853" s="2"/>
      <c r="F1853" s="2">
        <f>_xlfn.XLOOKUP(D1853,TIPOS_CAMBIO!A:A,TIPOS_CAMBIO!B:B,"",0)</f>
        <v>0</v>
      </c>
      <c r="G1853" s="3">
        <f t="shared" si="56"/>
        <v>0</v>
      </c>
      <c r="H1853" s="3"/>
      <c r="I1853" s="3">
        <f ca="1">IFERROR(_xludf.XLOOKUP("Seguro",PARAMETROS_IMPORTACION!$A:$A,PARAMETROS_IMPORTACION!$C:$C,0),0)</f>
        <v>0</v>
      </c>
      <c r="J1853" s="3">
        <f ca="1">IFERROR(_xludf.XLOOKUP("Arancel",PARAMETROS_IMPORTACION!$A:$A,PARAMETROS_IMPORTACION!$C:$C,0),0)</f>
        <v>0</v>
      </c>
      <c r="K1853" s="2">
        <f ca="1">IFERROR(_xludf.XLOOKUP("Gastos_Aduana",PARAMETROS_IMPORTACION!$A:$A,PARAMETROS_IMPORTACION!$C:$C,0),0)</f>
        <v>0</v>
      </c>
      <c r="L1853" s="2">
        <f t="shared" si="57"/>
        <v>0</v>
      </c>
    </row>
    <row r="1854" spans="5:12" x14ac:dyDescent="0.35">
      <c r="E1854" s="2"/>
      <c r="F1854" s="2">
        <f>_xlfn.XLOOKUP(D1854,TIPOS_CAMBIO!A:A,TIPOS_CAMBIO!B:B,"",0)</f>
        <v>0</v>
      </c>
      <c r="G1854" s="3">
        <f t="shared" si="56"/>
        <v>0</v>
      </c>
      <c r="H1854" s="3"/>
      <c r="I1854" s="3">
        <f ca="1">IFERROR(_xludf.XLOOKUP("Seguro",PARAMETROS_IMPORTACION!$A:$A,PARAMETROS_IMPORTACION!$C:$C,0),0)</f>
        <v>0</v>
      </c>
      <c r="J1854" s="3">
        <f ca="1">IFERROR(_xludf.XLOOKUP("Arancel",PARAMETROS_IMPORTACION!$A:$A,PARAMETROS_IMPORTACION!$C:$C,0),0)</f>
        <v>0</v>
      </c>
      <c r="K1854" s="2">
        <f ca="1">IFERROR(_xludf.XLOOKUP("Gastos_Aduana",PARAMETROS_IMPORTACION!$A:$A,PARAMETROS_IMPORTACION!$C:$C,0),0)</f>
        <v>0</v>
      </c>
      <c r="L1854" s="2">
        <f t="shared" si="57"/>
        <v>0</v>
      </c>
    </row>
    <row r="1855" spans="5:12" x14ac:dyDescent="0.35">
      <c r="E1855" s="2"/>
      <c r="F1855" s="2">
        <f>_xlfn.XLOOKUP(D1855,TIPOS_CAMBIO!A:A,TIPOS_CAMBIO!B:B,"",0)</f>
        <v>0</v>
      </c>
      <c r="G1855" s="3">
        <f t="shared" si="56"/>
        <v>0</v>
      </c>
      <c r="H1855" s="3"/>
      <c r="I1855" s="3">
        <f ca="1">IFERROR(_xludf.XLOOKUP("Seguro",PARAMETROS_IMPORTACION!$A:$A,PARAMETROS_IMPORTACION!$C:$C,0),0)</f>
        <v>0</v>
      </c>
      <c r="J1855" s="3">
        <f ca="1">IFERROR(_xludf.XLOOKUP("Arancel",PARAMETROS_IMPORTACION!$A:$A,PARAMETROS_IMPORTACION!$C:$C,0),0)</f>
        <v>0</v>
      </c>
      <c r="K1855" s="2">
        <f ca="1">IFERROR(_xludf.XLOOKUP("Gastos_Aduana",PARAMETROS_IMPORTACION!$A:$A,PARAMETROS_IMPORTACION!$C:$C,0),0)</f>
        <v>0</v>
      </c>
      <c r="L1855" s="2">
        <f t="shared" si="57"/>
        <v>0</v>
      </c>
    </row>
    <row r="1856" spans="5:12" x14ac:dyDescent="0.35">
      <c r="E1856" s="2"/>
      <c r="F1856" s="2">
        <f>_xlfn.XLOOKUP(D1856,TIPOS_CAMBIO!A:A,TIPOS_CAMBIO!B:B,"",0)</f>
        <v>0</v>
      </c>
      <c r="G1856" s="3">
        <f t="shared" si="56"/>
        <v>0</v>
      </c>
      <c r="H1856" s="3"/>
      <c r="I1856" s="3">
        <f ca="1">IFERROR(_xludf.XLOOKUP("Seguro",PARAMETROS_IMPORTACION!$A:$A,PARAMETROS_IMPORTACION!$C:$C,0),0)</f>
        <v>0</v>
      </c>
      <c r="J1856" s="3">
        <f ca="1">IFERROR(_xludf.XLOOKUP("Arancel",PARAMETROS_IMPORTACION!$A:$A,PARAMETROS_IMPORTACION!$C:$C,0),0)</f>
        <v>0</v>
      </c>
      <c r="K1856" s="2">
        <f ca="1">IFERROR(_xludf.XLOOKUP("Gastos_Aduana",PARAMETROS_IMPORTACION!$A:$A,PARAMETROS_IMPORTACION!$C:$C,0),0)</f>
        <v>0</v>
      </c>
      <c r="L1856" s="2">
        <f t="shared" si="57"/>
        <v>0</v>
      </c>
    </row>
    <row r="1857" spans="5:12" x14ac:dyDescent="0.35">
      <c r="E1857" s="2"/>
      <c r="F1857" s="2">
        <f>_xlfn.XLOOKUP(D1857,TIPOS_CAMBIO!A:A,TIPOS_CAMBIO!B:B,"",0)</f>
        <v>0</v>
      </c>
      <c r="G1857" s="3">
        <f t="shared" si="56"/>
        <v>0</v>
      </c>
      <c r="H1857" s="3"/>
      <c r="I1857" s="3">
        <f ca="1">IFERROR(_xludf.XLOOKUP("Seguro",PARAMETROS_IMPORTACION!$A:$A,PARAMETROS_IMPORTACION!$C:$C,0),0)</f>
        <v>0</v>
      </c>
      <c r="J1857" s="3">
        <f ca="1">IFERROR(_xludf.XLOOKUP("Arancel",PARAMETROS_IMPORTACION!$A:$A,PARAMETROS_IMPORTACION!$C:$C,0),0)</f>
        <v>0</v>
      </c>
      <c r="K1857" s="2">
        <f ca="1">IFERROR(_xludf.XLOOKUP("Gastos_Aduana",PARAMETROS_IMPORTACION!$A:$A,PARAMETROS_IMPORTACION!$C:$C,0),0)</f>
        <v>0</v>
      </c>
      <c r="L1857" s="2">
        <f t="shared" si="57"/>
        <v>0</v>
      </c>
    </row>
    <row r="1858" spans="5:12" x14ac:dyDescent="0.35">
      <c r="E1858" s="2"/>
      <c r="F1858" s="2">
        <f>_xlfn.XLOOKUP(D1858,TIPOS_CAMBIO!A:A,TIPOS_CAMBIO!B:B,"",0)</f>
        <v>0</v>
      </c>
      <c r="G1858" s="3">
        <f t="shared" ref="G1858:G1921" si="58">$E1858*$F1858</f>
        <v>0</v>
      </c>
      <c r="H1858" s="3"/>
      <c r="I1858" s="3">
        <f ca="1">IFERROR(_xludf.XLOOKUP("Seguro",PARAMETROS_IMPORTACION!$A:$A,PARAMETROS_IMPORTACION!$C:$C,0),0)</f>
        <v>0</v>
      </c>
      <c r="J1858" s="3">
        <f ca="1">IFERROR(_xludf.XLOOKUP("Arancel",PARAMETROS_IMPORTACION!$A:$A,PARAMETROS_IMPORTACION!$C:$C,0),0)</f>
        <v>0</v>
      </c>
      <c r="K1858" s="2">
        <f ca="1">IFERROR(_xludf.XLOOKUP("Gastos_Aduana",PARAMETROS_IMPORTACION!$A:$A,PARAMETROS_IMPORTACION!$C:$C,0),0)</f>
        <v>0</v>
      </c>
      <c r="L1858" s="2">
        <f t="shared" si="57"/>
        <v>0</v>
      </c>
    </row>
    <row r="1859" spans="5:12" x14ac:dyDescent="0.35">
      <c r="E1859" s="2"/>
      <c r="F1859" s="2">
        <f>_xlfn.XLOOKUP(D1859,TIPOS_CAMBIO!A:A,TIPOS_CAMBIO!B:B,"",0)</f>
        <v>0</v>
      </c>
      <c r="G1859" s="3">
        <f t="shared" si="58"/>
        <v>0</v>
      </c>
      <c r="H1859" s="3"/>
      <c r="I1859" s="3">
        <f ca="1">IFERROR(_xludf.XLOOKUP("Seguro",PARAMETROS_IMPORTACION!$A:$A,PARAMETROS_IMPORTACION!$C:$C,0),0)</f>
        <v>0</v>
      </c>
      <c r="J1859" s="3">
        <f ca="1">IFERROR(_xludf.XLOOKUP("Arancel",PARAMETROS_IMPORTACION!$A:$A,PARAMETROS_IMPORTACION!$C:$C,0),0)</f>
        <v>0</v>
      </c>
      <c r="K1859" s="2">
        <f ca="1">IFERROR(_xludf.XLOOKUP("Gastos_Aduana",PARAMETROS_IMPORTACION!$A:$A,PARAMETROS_IMPORTACION!$C:$C,0),0)</f>
        <v>0</v>
      </c>
      <c r="L1859" s="2">
        <f t="shared" ref="L1859:L1922" si="59">IF($C1859="Importado",$G1859*(1+$H1859+$I1859+$J1859)+$K1859,$G1859)</f>
        <v>0</v>
      </c>
    </row>
    <row r="1860" spans="5:12" x14ac:dyDescent="0.35">
      <c r="E1860" s="2"/>
      <c r="F1860" s="2">
        <f>_xlfn.XLOOKUP(D1860,TIPOS_CAMBIO!A:A,TIPOS_CAMBIO!B:B,"",0)</f>
        <v>0</v>
      </c>
      <c r="G1860" s="3">
        <f t="shared" si="58"/>
        <v>0</v>
      </c>
      <c r="H1860" s="3"/>
      <c r="I1860" s="3">
        <f ca="1">IFERROR(_xludf.XLOOKUP("Seguro",PARAMETROS_IMPORTACION!$A:$A,PARAMETROS_IMPORTACION!$C:$C,0),0)</f>
        <v>0</v>
      </c>
      <c r="J1860" s="3">
        <f ca="1">IFERROR(_xludf.XLOOKUP("Arancel",PARAMETROS_IMPORTACION!$A:$A,PARAMETROS_IMPORTACION!$C:$C,0),0)</f>
        <v>0</v>
      </c>
      <c r="K1860" s="2">
        <f ca="1">IFERROR(_xludf.XLOOKUP("Gastos_Aduana",PARAMETROS_IMPORTACION!$A:$A,PARAMETROS_IMPORTACION!$C:$C,0),0)</f>
        <v>0</v>
      </c>
      <c r="L1860" s="2">
        <f t="shared" si="59"/>
        <v>0</v>
      </c>
    </row>
    <row r="1861" spans="5:12" x14ac:dyDescent="0.35">
      <c r="E1861" s="2"/>
      <c r="F1861" s="2">
        <f>_xlfn.XLOOKUP(D1861,TIPOS_CAMBIO!A:A,TIPOS_CAMBIO!B:B,"",0)</f>
        <v>0</v>
      </c>
      <c r="G1861" s="3">
        <f t="shared" si="58"/>
        <v>0</v>
      </c>
      <c r="H1861" s="3"/>
      <c r="I1861" s="3">
        <f ca="1">IFERROR(_xludf.XLOOKUP("Seguro",PARAMETROS_IMPORTACION!$A:$A,PARAMETROS_IMPORTACION!$C:$C,0),0)</f>
        <v>0</v>
      </c>
      <c r="J1861" s="3">
        <f ca="1">IFERROR(_xludf.XLOOKUP("Arancel",PARAMETROS_IMPORTACION!$A:$A,PARAMETROS_IMPORTACION!$C:$C,0),0)</f>
        <v>0</v>
      </c>
      <c r="K1861" s="2">
        <f ca="1">IFERROR(_xludf.XLOOKUP("Gastos_Aduana",PARAMETROS_IMPORTACION!$A:$A,PARAMETROS_IMPORTACION!$C:$C,0),0)</f>
        <v>0</v>
      </c>
      <c r="L1861" s="2">
        <f t="shared" si="59"/>
        <v>0</v>
      </c>
    </row>
    <row r="1862" spans="5:12" x14ac:dyDescent="0.35">
      <c r="E1862" s="2"/>
      <c r="F1862" s="2">
        <f>_xlfn.XLOOKUP(D1862,TIPOS_CAMBIO!A:A,TIPOS_CAMBIO!B:B,"",0)</f>
        <v>0</v>
      </c>
      <c r="G1862" s="3">
        <f t="shared" si="58"/>
        <v>0</v>
      </c>
      <c r="H1862" s="3"/>
      <c r="I1862" s="3">
        <f ca="1">IFERROR(_xludf.XLOOKUP("Seguro",PARAMETROS_IMPORTACION!$A:$A,PARAMETROS_IMPORTACION!$C:$C,0),0)</f>
        <v>0</v>
      </c>
      <c r="J1862" s="3">
        <f ca="1">IFERROR(_xludf.XLOOKUP("Arancel",PARAMETROS_IMPORTACION!$A:$A,PARAMETROS_IMPORTACION!$C:$C,0),0)</f>
        <v>0</v>
      </c>
      <c r="K1862" s="2">
        <f ca="1">IFERROR(_xludf.XLOOKUP("Gastos_Aduana",PARAMETROS_IMPORTACION!$A:$A,PARAMETROS_IMPORTACION!$C:$C,0),0)</f>
        <v>0</v>
      </c>
      <c r="L1862" s="2">
        <f t="shared" si="59"/>
        <v>0</v>
      </c>
    </row>
    <row r="1863" spans="5:12" x14ac:dyDescent="0.35">
      <c r="E1863" s="2"/>
      <c r="F1863" s="2">
        <f>_xlfn.XLOOKUP(D1863,TIPOS_CAMBIO!A:A,TIPOS_CAMBIO!B:B,"",0)</f>
        <v>0</v>
      </c>
      <c r="G1863" s="3">
        <f t="shared" si="58"/>
        <v>0</v>
      </c>
      <c r="H1863" s="3"/>
      <c r="I1863" s="3">
        <f ca="1">IFERROR(_xludf.XLOOKUP("Seguro",PARAMETROS_IMPORTACION!$A:$A,PARAMETROS_IMPORTACION!$C:$C,0),0)</f>
        <v>0</v>
      </c>
      <c r="J1863" s="3">
        <f ca="1">IFERROR(_xludf.XLOOKUP("Arancel",PARAMETROS_IMPORTACION!$A:$A,PARAMETROS_IMPORTACION!$C:$C,0),0)</f>
        <v>0</v>
      </c>
      <c r="K1863" s="2">
        <f ca="1">IFERROR(_xludf.XLOOKUP("Gastos_Aduana",PARAMETROS_IMPORTACION!$A:$A,PARAMETROS_IMPORTACION!$C:$C,0),0)</f>
        <v>0</v>
      </c>
      <c r="L1863" s="2">
        <f t="shared" si="59"/>
        <v>0</v>
      </c>
    </row>
    <row r="1864" spans="5:12" x14ac:dyDescent="0.35">
      <c r="E1864" s="2"/>
      <c r="F1864" s="2">
        <f>_xlfn.XLOOKUP(D1864,TIPOS_CAMBIO!A:A,TIPOS_CAMBIO!B:B,"",0)</f>
        <v>0</v>
      </c>
      <c r="G1864" s="3">
        <f t="shared" si="58"/>
        <v>0</v>
      </c>
      <c r="H1864" s="3"/>
      <c r="I1864" s="3">
        <f ca="1">IFERROR(_xludf.XLOOKUP("Seguro",PARAMETROS_IMPORTACION!$A:$A,PARAMETROS_IMPORTACION!$C:$C,0),0)</f>
        <v>0</v>
      </c>
      <c r="J1864" s="3">
        <f ca="1">IFERROR(_xludf.XLOOKUP("Arancel",PARAMETROS_IMPORTACION!$A:$A,PARAMETROS_IMPORTACION!$C:$C,0),0)</f>
        <v>0</v>
      </c>
      <c r="K1864" s="2">
        <f ca="1">IFERROR(_xludf.XLOOKUP("Gastos_Aduana",PARAMETROS_IMPORTACION!$A:$A,PARAMETROS_IMPORTACION!$C:$C,0),0)</f>
        <v>0</v>
      </c>
      <c r="L1864" s="2">
        <f t="shared" si="59"/>
        <v>0</v>
      </c>
    </row>
    <row r="1865" spans="5:12" x14ac:dyDescent="0.35">
      <c r="E1865" s="2"/>
      <c r="F1865" s="2">
        <f>_xlfn.XLOOKUP(D1865,TIPOS_CAMBIO!A:A,TIPOS_CAMBIO!B:B,"",0)</f>
        <v>0</v>
      </c>
      <c r="G1865" s="3">
        <f t="shared" si="58"/>
        <v>0</v>
      </c>
      <c r="H1865" s="3"/>
      <c r="I1865" s="3">
        <f ca="1">IFERROR(_xludf.XLOOKUP("Seguro",PARAMETROS_IMPORTACION!$A:$A,PARAMETROS_IMPORTACION!$C:$C,0),0)</f>
        <v>0</v>
      </c>
      <c r="J1865" s="3">
        <f ca="1">IFERROR(_xludf.XLOOKUP("Arancel",PARAMETROS_IMPORTACION!$A:$A,PARAMETROS_IMPORTACION!$C:$C,0),0)</f>
        <v>0</v>
      </c>
      <c r="K1865" s="2">
        <f ca="1">IFERROR(_xludf.XLOOKUP("Gastos_Aduana",PARAMETROS_IMPORTACION!$A:$A,PARAMETROS_IMPORTACION!$C:$C,0),0)</f>
        <v>0</v>
      </c>
      <c r="L1865" s="2">
        <f t="shared" si="59"/>
        <v>0</v>
      </c>
    </row>
    <row r="1866" spans="5:12" x14ac:dyDescent="0.35">
      <c r="E1866" s="2"/>
      <c r="F1866" s="2">
        <f>_xlfn.XLOOKUP(D1866,TIPOS_CAMBIO!A:A,TIPOS_CAMBIO!B:B,"",0)</f>
        <v>0</v>
      </c>
      <c r="G1866" s="3">
        <f t="shared" si="58"/>
        <v>0</v>
      </c>
      <c r="H1866" s="3"/>
      <c r="I1866" s="3">
        <f ca="1">IFERROR(_xludf.XLOOKUP("Seguro",PARAMETROS_IMPORTACION!$A:$A,PARAMETROS_IMPORTACION!$C:$C,0),0)</f>
        <v>0</v>
      </c>
      <c r="J1866" s="3">
        <f ca="1">IFERROR(_xludf.XLOOKUP("Arancel",PARAMETROS_IMPORTACION!$A:$A,PARAMETROS_IMPORTACION!$C:$C,0),0)</f>
        <v>0</v>
      </c>
      <c r="K1866" s="2">
        <f ca="1">IFERROR(_xludf.XLOOKUP("Gastos_Aduana",PARAMETROS_IMPORTACION!$A:$A,PARAMETROS_IMPORTACION!$C:$C,0),0)</f>
        <v>0</v>
      </c>
      <c r="L1866" s="2">
        <f t="shared" si="59"/>
        <v>0</v>
      </c>
    </row>
    <row r="1867" spans="5:12" x14ac:dyDescent="0.35">
      <c r="E1867" s="2"/>
      <c r="F1867" s="2">
        <f>_xlfn.XLOOKUP(D1867,TIPOS_CAMBIO!A:A,TIPOS_CAMBIO!B:B,"",0)</f>
        <v>0</v>
      </c>
      <c r="G1867" s="3">
        <f t="shared" si="58"/>
        <v>0</v>
      </c>
      <c r="H1867" s="3"/>
      <c r="I1867" s="3">
        <f ca="1">IFERROR(_xludf.XLOOKUP("Seguro",PARAMETROS_IMPORTACION!$A:$A,PARAMETROS_IMPORTACION!$C:$C,0),0)</f>
        <v>0</v>
      </c>
      <c r="J1867" s="3">
        <f ca="1">IFERROR(_xludf.XLOOKUP("Arancel",PARAMETROS_IMPORTACION!$A:$A,PARAMETROS_IMPORTACION!$C:$C,0),0)</f>
        <v>0</v>
      </c>
      <c r="K1867" s="2">
        <f ca="1">IFERROR(_xludf.XLOOKUP("Gastos_Aduana",PARAMETROS_IMPORTACION!$A:$A,PARAMETROS_IMPORTACION!$C:$C,0),0)</f>
        <v>0</v>
      </c>
      <c r="L1867" s="2">
        <f t="shared" si="59"/>
        <v>0</v>
      </c>
    </row>
    <row r="1868" spans="5:12" x14ac:dyDescent="0.35">
      <c r="E1868" s="2"/>
      <c r="F1868" s="2">
        <f>_xlfn.XLOOKUP(D1868,TIPOS_CAMBIO!A:A,TIPOS_CAMBIO!B:B,"",0)</f>
        <v>0</v>
      </c>
      <c r="G1868" s="3">
        <f t="shared" si="58"/>
        <v>0</v>
      </c>
      <c r="H1868" s="3"/>
      <c r="I1868" s="3">
        <f ca="1">IFERROR(_xludf.XLOOKUP("Seguro",PARAMETROS_IMPORTACION!$A:$A,PARAMETROS_IMPORTACION!$C:$C,0),0)</f>
        <v>0</v>
      </c>
      <c r="J1868" s="3">
        <f ca="1">IFERROR(_xludf.XLOOKUP("Arancel",PARAMETROS_IMPORTACION!$A:$A,PARAMETROS_IMPORTACION!$C:$C,0),0)</f>
        <v>0</v>
      </c>
      <c r="K1868" s="2">
        <f ca="1">IFERROR(_xludf.XLOOKUP("Gastos_Aduana",PARAMETROS_IMPORTACION!$A:$A,PARAMETROS_IMPORTACION!$C:$C,0),0)</f>
        <v>0</v>
      </c>
      <c r="L1868" s="2">
        <f t="shared" si="59"/>
        <v>0</v>
      </c>
    </row>
    <row r="1869" spans="5:12" x14ac:dyDescent="0.35">
      <c r="E1869" s="2"/>
      <c r="F1869" s="2">
        <f>_xlfn.XLOOKUP(D1869,TIPOS_CAMBIO!A:A,TIPOS_CAMBIO!B:B,"",0)</f>
        <v>0</v>
      </c>
      <c r="G1869" s="3">
        <f t="shared" si="58"/>
        <v>0</v>
      </c>
      <c r="H1869" s="3"/>
      <c r="I1869" s="3">
        <f ca="1">IFERROR(_xludf.XLOOKUP("Seguro",PARAMETROS_IMPORTACION!$A:$A,PARAMETROS_IMPORTACION!$C:$C,0),0)</f>
        <v>0</v>
      </c>
      <c r="J1869" s="3">
        <f ca="1">IFERROR(_xludf.XLOOKUP("Arancel",PARAMETROS_IMPORTACION!$A:$A,PARAMETROS_IMPORTACION!$C:$C,0),0)</f>
        <v>0</v>
      </c>
      <c r="K1869" s="2">
        <f ca="1">IFERROR(_xludf.XLOOKUP("Gastos_Aduana",PARAMETROS_IMPORTACION!$A:$A,PARAMETROS_IMPORTACION!$C:$C,0),0)</f>
        <v>0</v>
      </c>
      <c r="L1869" s="2">
        <f t="shared" si="59"/>
        <v>0</v>
      </c>
    </row>
    <row r="1870" spans="5:12" x14ac:dyDescent="0.35">
      <c r="E1870" s="2"/>
      <c r="F1870" s="2">
        <f>_xlfn.XLOOKUP(D1870,TIPOS_CAMBIO!A:A,TIPOS_CAMBIO!B:B,"",0)</f>
        <v>0</v>
      </c>
      <c r="G1870" s="3">
        <f t="shared" si="58"/>
        <v>0</v>
      </c>
      <c r="H1870" s="3"/>
      <c r="I1870" s="3">
        <f ca="1">IFERROR(_xludf.XLOOKUP("Seguro",PARAMETROS_IMPORTACION!$A:$A,PARAMETROS_IMPORTACION!$C:$C,0),0)</f>
        <v>0</v>
      </c>
      <c r="J1870" s="3">
        <f ca="1">IFERROR(_xludf.XLOOKUP("Arancel",PARAMETROS_IMPORTACION!$A:$A,PARAMETROS_IMPORTACION!$C:$C,0),0)</f>
        <v>0</v>
      </c>
      <c r="K1870" s="2">
        <f ca="1">IFERROR(_xludf.XLOOKUP("Gastos_Aduana",PARAMETROS_IMPORTACION!$A:$A,PARAMETROS_IMPORTACION!$C:$C,0),0)</f>
        <v>0</v>
      </c>
      <c r="L1870" s="2">
        <f t="shared" si="59"/>
        <v>0</v>
      </c>
    </row>
    <row r="1871" spans="5:12" x14ac:dyDescent="0.35">
      <c r="E1871" s="2"/>
      <c r="F1871" s="2">
        <f>_xlfn.XLOOKUP(D1871,TIPOS_CAMBIO!A:A,TIPOS_CAMBIO!B:B,"",0)</f>
        <v>0</v>
      </c>
      <c r="G1871" s="3">
        <f t="shared" si="58"/>
        <v>0</v>
      </c>
      <c r="H1871" s="3"/>
      <c r="I1871" s="3">
        <f ca="1">IFERROR(_xludf.XLOOKUP("Seguro",PARAMETROS_IMPORTACION!$A:$A,PARAMETROS_IMPORTACION!$C:$C,0),0)</f>
        <v>0</v>
      </c>
      <c r="J1871" s="3">
        <f ca="1">IFERROR(_xludf.XLOOKUP("Arancel",PARAMETROS_IMPORTACION!$A:$A,PARAMETROS_IMPORTACION!$C:$C,0),0)</f>
        <v>0</v>
      </c>
      <c r="K1871" s="2">
        <f ca="1">IFERROR(_xludf.XLOOKUP("Gastos_Aduana",PARAMETROS_IMPORTACION!$A:$A,PARAMETROS_IMPORTACION!$C:$C,0),0)</f>
        <v>0</v>
      </c>
      <c r="L1871" s="2">
        <f t="shared" si="59"/>
        <v>0</v>
      </c>
    </row>
    <row r="1872" spans="5:12" x14ac:dyDescent="0.35">
      <c r="E1872" s="2"/>
      <c r="F1872" s="2">
        <f>_xlfn.XLOOKUP(D1872,TIPOS_CAMBIO!A:A,TIPOS_CAMBIO!B:B,"",0)</f>
        <v>0</v>
      </c>
      <c r="G1872" s="3">
        <f t="shared" si="58"/>
        <v>0</v>
      </c>
      <c r="H1872" s="3"/>
      <c r="I1872" s="3">
        <f ca="1">IFERROR(_xludf.XLOOKUP("Seguro",PARAMETROS_IMPORTACION!$A:$A,PARAMETROS_IMPORTACION!$C:$C,0),0)</f>
        <v>0</v>
      </c>
      <c r="J1872" s="3">
        <f ca="1">IFERROR(_xludf.XLOOKUP("Arancel",PARAMETROS_IMPORTACION!$A:$A,PARAMETROS_IMPORTACION!$C:$C,0),0)</f>
        <v>0</v>
      </c>
      <c r="K1872" s="2">
        <f ca="1">IFERROR(_xludf.XLOOKUP("Gastos_Aduana",PARAMETROS_IMPORTACION!$A:$A,PARAMETROS_IMPORTACION!$C:$C,0),0)</f>
        <v>0</v>
      </c>
      <c r="L1872" s="2">
        <f t="shared" si="59"/>
        <v>0</v>
      </c>
    </row>
    <row r="1873" spans="5:12" x14ac:dyDescent="0.35">
      <c r="E1873" s="2"/>
      <c r="F1873" s="2">
        <f>_xlfn.XLOOKUP(D1873,TIPOS_CAMBIO!A:A,TIPOS_CAMBIO!B:B,"",0)</f>
        <v>0</v>
      </c>
      <c r="G1873" s="3">
        <f t="shared" si="58"/>
        <v>0</v>
      </c>
      <c r="H1873" s="3"/>
      <c r="I1873" s="3">
        <f ca="1">IFERROR(_xludf.XLOOKUP("Seguro",PARAMETROS_IMPORTACION!$A:$A,PARAMETROS_IMPORTACION!$C:$C,0),0)</f>
        <v>0</v>
      </c>
      <c r="J1873" s="3">
        <f ca="1">IFERROR(_xludf.XLOOKUP("Arancel",PARAMETROS_IMPORTACION!$A:$A,PARAMETROS_IMPORTACION!$C:$C,0),0)</f>
        <v>0</v>
      </c>
      <c r="K1873" s="2">
        <f ca="1">IFERROR(_xludf.XLOOKUP("Gastos_Aduana",PARAMETROS_IMPORTACION!$A:$A,PARAMETROS_IMPORTACION!$C:$C,0),0)</f>
        <v>0</v>
      </c>
      <c r="L1873" s="2">
        <f t="shared" si="59"/>
        <v>0</v>
      </c>
    </row>
    <row r="1874" spans="5:12" x14ac:dyDescent="0.35">
      <c r="E1874" s="2"/>
      <c r="F1874" s="2">
        <f>_xlfn.XLOOKUP(D1874,TIPOS_CAMBIO!A:A,TIPOS_CAMBIO!B:B,"",0)</f>
        <v>0</v>
      </c>
      <c r="G1874" s="3">
        <f t="shared" si="58"/>
        <v>0</v>
      </c>
      <c r="H1874" s="3"/>
      <c r="I1874" s="3">
        <f ca="1">IFERROR(_xludf.XLOOKUP("Seguro",PARAMETROS_IMPORTACION!$A:$A,PARAMETROS_IMPORTACION!$C:$C,0),0)</f>
        <v>0</v>
      </c>
      <c r="J1874" s="3">
        <f ca="1">IFERROR(_xludf.XLOOKUP("Arancel",PARAMETROS_IMPORTACION!$A:$A,PARAMETROS_IMPORTACION!$C:$C,0),0)</f>
        <v>0</v>
      </c>
      <c r="K1874" s="2">
        <f ca="1">IFERROR(_xludf.XLOOKUP("Gastos_Aduana",PARAMETROS_IMPORTACION!$A:$A,PARAMETROS_IMPORTACION!$C:$C,0),0)</f>
        <v>0</v>
      </c>
      <c r="L1874" s="2">
        <f t="shared" si="59"/>
        <v>0</v>
      </c>
    </row>
    <row r="1875" spans="5:12" x14ac:dyDescent="0.35">
      <c r="E1875" s="2"/>
      <c r="F1875" s="2">
        <f>_xlfn.XLOOKUP(D1875,TIPOS_CAMBIO!A:A,TIPOS_CAMBIO!B:B,"",0)</f>
        <v>0</v>
      </c>
      <c r="G1875" s="3">
        <f t="shared" si="58"/>
        <v>0</v>
      </c>
      <c r="H1875" s="3"/>
      <c r="I1875" s="3">
        <f ca="1">IFERROR(_xludf.XLOOKUP("Seguro",PARAMETROS_IMPORTACION!$A:$A,PARAMETROS_IMPORTACION!$C:$C,0),0)</f>
        <v>0</v>
      </c>
      <c r="J1875" s="3">
        <f ca="1">IFERROR(_xludf.XLOOKUP("Arancel",PARAMETROS_IMPORTACION!$A:$A,PARAMETROS_IMPORTACION!$C:$C,0),0)</f>
        <v>0</v>
      </c>
      <c r="K1875" s="2">
        <f ca="1">IFERROR(_xludf.XLOOKUP("Gastos_Aduana",PARAMETROS_IMPORTACION!$A:$A,PARAMETROS_IMPORTACION!$C:$C,0),0)</f>
        <v>0</v>
      </c>
      <c r="L1875" s="2">
        <f t="shared" si="59"/>
        <v>0</v>
      </c>
    </row>
    <row r="1876" spans="5:12" x14ac:dyDescent="0.35">
      <c r="E1876" s="2"/>
      <c r="F1876" s="2">
        <f>_xlfn.XLOOKUP(D1876,TIPOS_CAMBIO!A:A,TIPOS_CAMBIO!B:B,"",0)</f>
        <v>0</v>
      </c>
      <c r="G1876" s="3">
        <f t="shared" si="58"/>
        <v>0</v>
      </c>
      <c r="H1876" s="3"/>
      <c r="I1876" s="3">
        <f ca="1">IFERROR(_xludf.XLOOKUP("Seguro",PARAMETROS_IMPORTACION!$A:$A,PARAMETROS_IMPORTACION!$C:$C,0),0)</f>
        <v>0</v>
      </c>
      <c r="J1876" s="3">
        <f ca="1">IFERROR(_xludf.XLOOKUP("Arancel",PARAMETROS_IMPORTACION!$A:$A,PARAMETROS_IMPORTACION!$C:$C,0),0)</f>
        <v>0</v>
      </c>
      <c r="K1876" s="2">
        <f ca="1">IFERROR(_xludf.XLOOKUP("Gastos_Aduana",PARAMETROS_IMPORTACION!$A:$A,PARAMETROS_IMPORTACION!$C:$C,0),0)</f>
        <v>0</v>
      </c>
      <c r="L1876" s="2">
        <f t="shared" si="59"/>
        <v>0</v>
      </c>
    </row>
    <row r="1877" spans="5:12" x14ac:dyDescent="0.35">
      <c r="E1877" s="2"/>
      <c r="F1877" s="2">
        <f>_xlfn.XLOOKUP(D1877,TIPOS_CAMBIO!A:A,TIPOS_CAMBIO!B:B,"",0)</f>
        <v>0</v>
      </c>
      <c r="G1877" s="3">
        <f t="shared" si="58"/>
        <v>0</v>
      </c>
      <c r="H1877" s="3"/>
      <c r="I1877" s="3">
        <f ca="1">IFERROR(_xludf.XLOOKUP("Seguro",PARAMETROS_IMPORTACION!$A:$A,PARAMETROS_IMPORTACION!$C:$C,0),0)</f>
        <v>0</v>
      </c>
      <c r="J1877" s="3">
        <f ca="1">IFERROR(_xludf.XLOOKUP("Arancel",PARAMETROS_IMPORTACION!$A:$A,PARAMETROS_IMPORTACION!$C:$C,0),0)</f>
        <v>0</v>
      </c>
      <c r="K1877" s="2">
        <f ca="1">IFERROR(_xludf.XLOOKUP("Gastos_Aduana",PARAMETROS_IMPORTACION!$A:$A,PARAMETROS_IMPORTACION!$C:$C,0),0)</f>
        <v>0</v>
      </c>
      <c r="L1877" s="2">
        <f t="shared" si="59"/>
        <v>0</v>
      </c>
    </row>
    <row r="1878" spans="5:12" x14ac:dyDescent="0.35">
      <c r="E1878" s="2"/>
      <c r="F1878" s="2">
        <f>_xlfn.XLOOKUP(D1878,TIPOS_CAMBIO!A:A,TIPOS_CAMBIO!B:B,"",0)</f>
        <v>0</v>
      </c>
      <c r="G1878" s="3">
        <f t="shared" si="58"/>
        <v>0</v>
      </c>
      <c r="H1878" s="3"/>
      <c r="I1878" s="3">
        <f ca="1">IFERROR(_xludf.XLOOKUP("Seguro",PARAMETROS_IMPORTACION!$A:$A,PARAMETROS_IMPORTACION!$C:$C,0),0)</f>
        <v>0</v>
      </c>
      <c r="J1878" s="3">
        <f ca="1">IFERROR(_xludf.XLOOKUP("Arancel",PARAMETROS_IMPORTACION!$A:$A,PARAMETROS_IMPORTACION!$C:$C,0),0)</f>
        <v>0</v>
      </c>
      <c r="K1878" s="2">
        <f ca="1">IFERROR(_xludf.XLOOKUP("Gastos_Aduana",PARAMETROS_IMPORTACION!$A:$A,PARAMETROS_IMPORTACION!$C:$C,0),0)</f>
        <v>0</v>
      </c>
      <c r="L1878" s="2">
        <f t="shared" si="59"/>
        <v>0</v>
      </c>
    </row>
    <row r="1879" spans="5:12" x14ac:dyDescent="0.35">
      <c r="E1879" s="2"/>
      <c r="F1879" s="2">
        <f>_xlfn.XLOOKUP(D1879,TIPOS_CAMBIO!A:A,TIPOS_CAMBIO!B:B,"",0)</f>
        <v>0</v>
      </c>
      <c r="G1879" s="3">
        <f t="shared" si="58"/>
        <v>0</v>
      </c>
      <c r="H1879" s="3"/>
      <c r="I1879" s="3">
        <f ca="1">IFERROR(_xludf.XLOOKUP("Seguro",PARAMETROS_IMPORTACION!$A:$A,PARAMETROS_IMPORTACION!$C:$C,0),0)</f>
        <v>0</v>
      </c>
      <c r="J1879" s="3">
        <f ca="1">IFERROR(_xludf.XLOOKUP("Arancel",PARAMETROS_IMPORTACION!$A:$A,PARAMETROS_IMPORTACION!$C:$C,0),0)</f>
        <v>0</v>
      </c>
      <c r="K1879" s="2">
        <f ca="1">IFERROR(_xludf.XLOOKUP("Gastos_Aduana",PARAMETROS_IMPORTACION!$A:$A,PARAMETROS_IMPORTACION!$C:$C,0),0)</f>
        <v>0</v>
      </c>
      <c r="L1879" s="2">
        <f t="shared" si="59"/>
        <v>0</v>
      </c>
    </row>
    <row r="1880" spans="5:12" x14ac:dyDescent="0.35">
      <c r="E1880" s="2"/>
      <c r="F1880" s="2">
        <f>_xlfn.XLOOKUP(D1880,TIPOS_CAMBIO!A:A,TIPOS_CAMBIO!B:B,"",0)</f>
        <v>0</v>
      </c>
      <c r="G1880" s="3">
        <f t="shared" si="58"/>
        <v>0</v>
      </c>
      <c r="H1880" s="3"/>
      <c r="I1880" s="3">
        <f ca="1">IFERROR(_xludf.XLOOKUP("Seguro",PARAMETROS_IMPORTACION!$A:$A,PARAMETROS_IMPORTACION!$C:$C,0),0)</f>
        <v>0</v>
      </c>
      <c r="J1880" s="3">
        <f ca="1">IFERROR(_xludf.XLOOKUP("Arancel",PARAMETROS_IMPORTACION!$A:$A,PARAMETROS_IMPORTACION!$C:$C,0),0)</f>
        <v>0</v>
      </c>
      <c r="K1880" s="2">
        <f ca="1">IFERROR(_xludf.XLOOKUP("Gastos_Aduana",PARAMETROS_IMPORTACION!$A:$A,PARAMETROS_IMPORTACION!$C:$C,0),0)</f>
        <v>0</v>
      </c>
      <c r="L1880" s="2">
        <f t="shared" si="59"/>
        <v>0</v>
      </c>
    </row>
    <row r="1881" spans="5:12" x14ac:dyDescent="0.35">
      <c r="E1881" s="2"/>
      <c r="F1881" s="2">
        <f>_xlfn.XLOOKUP(D1881,TIPOS_CAMBIO!A:A,TIPOS_CAMBIO!B:B,"",0)</f>
        <v>0</v>
      </c>
      <c r="G1881" s="3">
        <f t="shared" si="58"/>
        <v>0</v>
      </c>
      <c r="H1881" s="3"/>
      <c r="I1881" s="3">
        <f ca="1">IFERROR(_xludf.XLOOKUP("Seguro",PARAMETROS_IMPORTACION!$A:$A,PARAMETROS_IMPORTACION!$C:$C,0),0)</f>
        <v>0</v>
      </c>
      <c r="J1881" s="3">
        <f ca="1">IFERROR(_xludf.XLOOKUP("Arancel",PARAMETROS_IMPORTACION!$A:$A,PARAMETROS_IMPORTACION!$C:$C,0),0)</f>
        <v>0</v>
      </c>
      <c r="K1881" s="2">
        <f ca="1">IFERROR(_xludf.XLOOKUP("Gastos_Aduana",PARAMETROS_IMPORTACION!$A:$A,PARAMETROS_IMPORTACION!$C:$C,0),0)</f>
        <v>0</v>
      </c>
      <c r="L1881" s="2">
        <f t="shared" si="59"/>
        <v>0</v>
      </c>
    </row>
    <row r="1882" spans="5:12" x14ac:dyDescent="0.35">
      <c r="E1882" s="2"/>
      <c r="F1882" s="2">
        <f>_xlfn.XLOOKUP(D1882,TIPOS_CAMBIO!A:A,TIPOS_CAMBIO!B:B,"",0)</f>
        <v>0</v>
      </c>
      <c r="G1882" s="3">
        <f t="shared" si="58"/>
        <v>0</v>
      </c>
      <c r="H1882" s="3"/>
      <c r="I1882" s="3">
        <f ca="1">IFERROR(_xludf.XLOOKUP("Seguro",PARAMETROS_IMPORTACION!$A:$A,PARAMETROS_IMPORTACION!$C:$C,0),0)</f>
        <v>0</v>
      </c>
      <c r="J1882" s="3">
        <f ca="1">IFERROR(_xludf.XLOOKUP("Arancel",PARAMETROS_IMPORTACION!$A:$A,PARAMETROS_IMPORTACION!$C:$C,0),0)</f>
        <v>0</v>
      </c>
      <c r="K1882" s="2">
        <f ca="1">IFERROR(_xludf.XLOOKUP("Gastos_Aduana",PARAMETROS_IMPORTACION!$A:$A,PARAMETROS_IMPORTACION!$C:$C,0),0)</f>
        <v>0</v>
      </c>
      <c r="L1882" s="2">
        <f t="shared" si="59"/>
        <v>0</v>
      </c>
    </row>
    <row r="1883" spans="5:12" x14ac:dyDescent="0.35">
      <c r="E1883" s="2"/>
      <c r="F1883" s="2">
        <f>_xlfn.XLOOKUP(D1883,TIPOS_CAMBIO!A:A,TIPOS_CAMBIO!B:B,"",0)</f>
        <v>0</v>
      </c>
      <c r="G1883" s="3">
        <f t="shared" si="58"/>
        <v>0</v>
      </c>
      <c r="H1883" s="3"/>
      <c r="I1883" s="3">
        <f ca="1">IFERROR(_xludf.XLOOKUP("Seguro",PARAMETROS_IMPORTACION!$A:$A,PARAMETROS_IMPORTACION!$C:$C,0),0)</f>
        <v>0</v>
      </c>
      <c r="J1883" s="3">
        <f ca="1">IFERROR(_xludf.XLOOKUP("Arancel",PARAMETROS_IMPORTACION!$A:$A,PARAMETROS_IMPORTACION!$C:$C,0),0)</f>
        <v>0</v>
      </c>
      <c r="K1883" s="2">
        <f ca="1">IFERROR(_xludf.XLOOKUP("Gastos_Aduana",PARAMETROS_IMPORTACION!$A:$A,PARAMETROS_IMPORTACION!$C:$C,0),0)</f>
        <v>0</v>
      </c>
      <c r="L1883" s="2">
        <f t="shared" si="59"/>
        <v>0</v>
      </c>
    </row>
    <row r="1884" spans="5:12" x14ac:dyDescent="0.35">
      <c r="E1884" s="2"/>
      <c r="F1884" s="2">
        <f>_xlfn.XLOOKUP(D1884,TIPOS_CAMBIO!A:A,TIPOS_CAMBIO!B:B,"",0)</f>
        <v>0</v>
      </c>
      <c r="G1884" s="3">
        <f t="shared" si="58"/>
        <v>0</v>
      </c>
      <c r="H1884" s="3"/>
      <c r="I1884" s="3">
        <f ca="1">IFERROR(_xludf.XLOOKUP("Seguro",PARAMETROS_IMPORTACION!$A:$A,PARAMETROS_IMPORTACION!$C:$C,0),0)</f>
        <v>0</v>
      </c>
      <c r="J1884" s="3">
        <f ca="1">IFERROR(_xludf.XLOOKUP("Arancel",PARAMETROS_IMPORTACION!$A:$A,PARAMETROS_IMPORTACION!$C:$C,0),0)</f>
        <v>0</v>
      </c>
      <c r="K1884" s="2">
        <f ca="1">IFERROR(_xludf.XLOOKUP("Gastos_Aduana",PARAMETROS_IMPORTACION!$A:$A,PARAMETROS_IMPORTACION!$C:$C,0),0)</f>
        <v>0</v>
      </c>
      <c r="L1884" s="2">
        <f t="shared" si="59"/>
        <v>0</v>
      </c>
    </row>
    <row r="1885" spans="5:12" x14ac:dyDescent="0.35">
      <c r="E1885" s="2"/>
      <c r="F1885" s="2">
        <f>_xlfn.XLOOKUP(D1885,TIPOS_CAMBIO!A:A,TIPOS_CAMBIO!B:B,"",0)</f>
        <v>0</v>
      </c>
      <c r="G1885" s="3">
        <f t="shared" si="58"/>
        <v>0</v>
      </c>
      <c r="H1885" s="3"/>
      <c r="I1885" s="3">
        <f ca="1">IFERROR(_xludf.XLOOKUP("Seguro",PARAMETROS_IMPORTACION!$A:$A,PARAMETROS_IMPORTACION!$C:$C,0),0)</f>
        <v>0</v>
      </c>
      <c r="J1885" s="3">
        <f ca="1">IFERROR(_xludf.XLOOKUP("Arancel",PARAMETROS_IMPORTACION!$A:$A,PARAMETROS_IMPORTACION!$C:$C,0),0)</f>
        <v>0</v>
      </c>
      <c r="K1885" s="2">
        <f ca="1">IFERROR(_xludf.XLOOKUP("Gastos_Aduana",PARAMETROS_IMPORTACION!$A:$A,PARAMETROS_IMPORTACION!$C:$C,0),0)</f>
        <v>0</v>
      </c>
      <c r="L1885" s="2">
        <f t="shared" si="59"/>
        <v>0</v>
      </c>
    </row>
    <row r="1886" spans="5:12" x14ac:dyDescent="0.35">
      <c r="E1886" s="2"/>
      <c r="F1886" s="2">
        <f>_xlfn.XLOOKUP(D1886,TIPOS_CAMBIO!A:A,TIPOS_CAMBIO!B:B,"",0)</f>
        <v>0</v>
      </c>
      <c r="G1886" s="3">
        <f t="shared" si="58"/>
        <v>0</v>
      </c>
      <c r="H1886" s="3"/>
      <c r="I1886" s="3">
        <f ca="1">IFERROR(_xludf.XLOOKUP("Seguro",PARAMETROS_IMPORTACION!$A:$A,PARAMETROS_IMPORTACION!$C:$C,0),0)</f>
        <v>0</v>
      </c>
      <c r="J1886" s="3">
        <f ca="1">IFERROR(_xludf.XLOOKUP("Arancel",PARAMETROS_IMPORTACION!$A:$A,PARAMETROS_IMPORTACION!$C:$C,0),0)</f>
        <v>0</v>
      </c>
      <c r="K1886" s="2">
        <f ca="1">IFERROR(_xludf.XLOOKUP("Gastos_Aduana",PARAMETROS_IMPORTACION!$A:$A,PARAMETROS_IMPORTACION!$C:$C,0),0)</f>
        <v>0</v>
      </c>
      <c r="L1886" s="2">
        <f t="shared" si="59"/>
        <v>0</v>
      </c>
    </row>
    <row r="1887" spans="5:12" x14ac:dyDescent="0.35">
      <c r="E1887" s="2"/>
      <c r="F1887" s="2">
        <f>_xlfn.XLOOKUP(D1887,TIPOS_CAMBIO!A:A,TIPOS_CAMBIO!B:B,"",0)</f>
        <v>0</v>
      </c>
      <c r="G1887" s="3">
        <f t="shared" si="58"/>
        <v>0</v>
      </c>
      <c r="H1887" s="3"/>
      <c r="I1887" s="3">
        <f ca="1">IFERROR(_xludf.XLOOKUP("Seguro",PARAMETROS_IMPORTACION!$A:$A,PARAMETROS_IMPORTACION!$C:$C,0),0)</f>
        <v>0</v>
      </c>
      <c r="J1887" s="3">
        <f ca="1">IFERROR(_xludf.XLOOKUP("Arancel",PARAMETROS_IMPORTACION!$A:$A,PARAMETROS_IMPORTACION!$C:$C,0),0)</f>
        <v>0</v>
      </c>
      <c r="K1887" s="2">
        <f ca="1">IFERROR(_xludf.XLOOKUP("Gastos_Aduana",PARAMETROS_IMPORTACION!$A:$A,PARAMETROS_IMPORTACION!$C:$C,0),0)</f>
        <v>0</v>
      </c>
      <c r="L1887" s="2">
        <f t="shared" si="59"/>
        <v>0</v>
      </c>
    </row>
    <row r="1888" spans="5:12" x14ac:dyDescent="0.35">
      <c r="E1888" s="2"/>
      <c r="F1888" s="2">
        <f>_xlfn.XLOOKUP(D1888,TIPOS_CAMBIO!A:A,TIPOS_CAMBIO!B:B,"",0)</f>
        <v>0</v>
      </c>
      <c r="G1888" s="3">
        <f t="shared" si="58"/>
        <v>0</v>
      </c>
      <c r="H1888" s="3"/>
      <c r="I1888" s="3">
        <f ca="1">IFERROR(_xludf.XLOOKUP("Seguro",PARAMETROS_IMPORTACION!$A:$A,PARAMETROS_IMPORTACION!$C:$C,0),0)</f>
        <v>0</v>
      </c>
      <c r="J1888" s="3">
        <f ca="1">IFERROR(_xludf.XLOOKUP("Arancel",PARAMETROS_IMPORTACION!$A:$A,PARAMETROS_IMPORTACION!$C:$C,0),0)</f>
        <v>0</v>
      </c>
      <c r="K1888" s="2">
        <f ca="1">IFERROR(_xludf.XLOOKUP("Gastos_Aduana",PARAMETROS_IMPORTACION!$A:$A,PARAMETROS_IMPORTACION!$C:$C,0),0)</f>
        <v>0</v>
      </c>
      <c r="L1888" s="2">
        <f t="shared" si="59"/>
        <v>0</v>
      </c>
    </row>
    <row r="1889" spans="5:12" x14ac:dyDescent="0.35">
      <c r="E1889" s="2"/>
      <c r="F1889" s="2">
        <f>_xlfn.XLOOKUP(D1889,TIPOS_CAMBIO!A:A,TIPOS_CAMBIO!B:B,"",0)</f>
        <v>0</v>
      </c>
      <c r="G1889" s="3">
        <f t="shared" si="58"/>
        <v>0</v>
      </c>
      <c r="H1889" s="3"/>
      <c r="I1889" s="3">
        <f ca="1">IFERROR(_xludf.XLOOKUP("Seguro",PARAMETROS_IMPORTACION!$A:$A,PARAMETROS_IMPORTACION!$C:$C,0),0)</f>
        <v>0</v>
      </c>
      <c r="J1889" s="3">
        <f ca="1">IFERROR(_xludf.XLOOKUP("Arancel",PARAMETROS_IMPORTACION!$A:$A,PARAMETROS_IMPORTACION!$C:$C,0),0)</f>
        <v>0</v>
      </c>
      <c r="K1889" s="2">
        <f ca="1">IFERROR(_xludf.XLOOKUP("Gastos_Aduana",PARAMETROS_IMPORTACION!$A:$A,PARAMETROS_IMPORTACION!$C:$C,0),0)</f>
        <v>0</v>
      </c>
      <c r="L1889" s="2">
        <f t="shared" si="59"/>
        <v>0</v>
      </c>
    </row>
    <row r="1890" spans="5:12" x14ac:dyDescent="0.35">
      <c r="E1890" s="2"/>
      <c r="F1890" s="2">
        <f>_xlfn.XLOOKUP(D1890,TIPOS_CAMBIO!A:A,TIPOS_CAMBIO!B:B,"",0)</f>
        <v>0</v>
      </c>
      <c r="G1890" s="3">
        <f t="shared" si="58"/>
        <v>0</v>
      </c>
      <c r="H1890" s="3"/>
      <c r="I1890" s="3">
        <f ca="1">IFERROR(_xludf.XLOOKUP("Seguro",PARAMETROS_IMPORTACION!$A:$A,PARAMETROS_IMPORTACION!$C:$C,0),0)</f>
        <v>0</v>
      </c>
      <c r="J1890" s="3">
        <f ca="1">IFERROR(_xludf.XLOOKUP("Arancel",PARAMETROS_IMPORTACION!$A:$A,PARAMETROS_IMPORTACION!$C:$C,0),0)</f>
        <v>0</v>
      </c>
      <c r="K1890" s="2">
        <f ca="1">IFERROR(_xludf.XLOOKUP("Gastos_Aduana",PARAMETROS_IMPORTACION!$A:$A,PARAMETROS_IMPORTACION!$C:$C,0),0)</f>
        <v>0</v>
      </c>
      <c r="L1890" s="2">
        <f t="shared" si="59"/>
        <v>0</v>
      </c>
    </row>
    <row r="1891" spans="5:12" x14ac:dyDescent="0.35">
      <c r="E1891" s="2"/>
      <c r="F1891" s="2">
        <f>_xlfn.XLOOKUP(D1891,TIPOS_CAMBIO!A:A,TIPOS_CAMBIO!B:B,"",0)</f>
        <v>0</v>
      </c>
      <c r="G1891" s="3">
        <f t="shared" si="58"/>
        <v>0</v>
      </c>
      <c r="H1891" s="3"/>
      <c r="I1891" s="3">
        <f ca="1">IFERROR(_xludf.XLOOKUP("Seguro",PARAMETROS_IMPORTACION!$A:$A,PARAMETROS_IMPORTACION!$C:$C,0),0)</f>
        <v>0</v>
      </c>
      <c r="J1891" s="3">
        <f ca="1">IFERROR(_xludf.XLOOKUP("Arancel",PARAMETROS_IMPORTACION!$A:$A,PARAMETROS_IMPORTACION!$C:$C,0),0)</f>
        <v>0</v>
      </c>
      <c r="K1891" s="2">
        <f ca="1">IFERROR(_xludf.XLOOKUP("Gastos_Aduana",PARAMETROS_IMPORTACION!$A:$A,PARAMETROS_IMPORTACION!$C:$C,0),0)</f>
        <v>0</v>
      </c>
      <c r="L1891" s="2">
        <f t="shared" si="59"/>
        <v>0</v>
      </c>
    </row>
    <row r="1892" spans="5:12" x14ac:dyDescent="0.35">
      <c r="E1892" s="2"/>
      <c r="F1892" s="2">
        <f>_xlfn.XLOOKUP(D1892,TIPOS_CAMBIO!A:A,TIPOS_CAMBIO!B:B,"",0)</f>
        <v>0</v>
      </c>
      <c r="G1892" s="3">
        <f t="shared" si="58"/>
        <v>0</v>
      </c>
      <c r="H1892" s="3"/>
      <c r="I1892" s="3">
        <f ca="1">IFERROR(_xludf.XLOOKUP("Seguro",PARAMETROS_IMPORTACION!$A:$A,PARAMETROS_IMPORTACION!$C:$C,0),0)</f>
        <v>0</v>
      </c>
      <c r="J1892" s="3">
        <f ca="1">IFERROR(_xludf.XLOOKUP("Arancel",PARAMETROS_IMPORTACION!$A:$A,PARAMETROS_IMPORTACION!$C:$C,0),0)</f>
        <v>0</v>
      </c>
      <c r="K1892" s="2">
        <f ca="1">IFERROR(_xludf.XLOOKUP("Gastos_Aduana",PARAMETROS_IMPORTACION!$A:$A,PARAMETROS_IMPORTACION!$C:$C,0),0)</f>
        <v>0</v>
      </c>
      <c r="L1892" s="2">
        <f t="shared" si="59"/>
        <v>0</v>
      </c>
    </row>
    <row r="1893" spans="5:12" x14ac:dyDescent="0.35">
      <c r="E1893" s="2"/>
      <c r="F1893" s="2">
        <f>_xlfn.XLOOKUP(D1893,TIPOS_CAMBIO!A:A,TIPOS_CAMBIO!B:B,"",0)</f>
        <v>0</v>
      </c>
      <c r="G1893" s="3">
        <f t="shared" si="58"/>
        <v>0</v>
      </c>
      <c r="H1893" s="3"/>
      <c r="I1893" s="3">
        <f ca="1">IFERROR(_xludf.XLOOKUP("Seguro",PARAMETROS_IMPORTACION!$A:$A,PARAMETROS_IMPORTACION!$C:$C,0),0)</f>
        <v>0</v>
      </c>
      <c r="J1893" s="3">
        <f ca="1">IFERROR(_xludf.XLOOKUP("Arancel",PARAMETROS_IMPORTACION!$A:$A,PARAMETROS_IMPORTACION!$C:$C,0),0)</f>
        <v>0</v>
      </c>
      <c r="K1893" s="2">
        <f ca="1">IFERROR(_xludf.XLOOKUP("Gastos_Aduana",PARAMETROS_IMPORTACION!$A:$A,PARAMETROS_IMPORTACION!$C:$C,0),0)</f>
        <v>0</v>
      </c>
      <c r="L1893" s="2">
        <f t="shared" si="59"/>
        <v>0</v>
      </c>
    </row>
    <row r="1894" spans="5:12" x14ac:dyDescent="0.35">
      <c r="E1894" s="2"/>
      <c r="F1894" s="2">
        <f>_xlfn.XLOOKUP(D1894,TIPOS_CAMBIO!A:A,TIPOS_CAMBIO!B:B,"",0)</f>
        <v>0</v>
      </c>
      <c r="G1894" s="3">
        <f t="shared" si="58"/>
        <v>0</v>
      </c>
      <c r="H1894" s="3"/>
      <c r="I1894" s="3">
        <f ca="1">IFERROR(_xludf.XLOOKUP("Seguro",PARAMETROS_IMPORTACION!$A:$A,PARAMETROS_IMPORTACION!$C:$C,0),0)</f>
        <v>0</v>
      </c>
      <c r="J1894" s="3">
        <f ca="1">IFERROR(_xludf.XLOOKUP("Arancel",PARAMETROS_IMPORTACION!$A:$A,PARAMETROS_IMPORTACION!$C:$C,0),0)</f>
        <v>0</v>
      </c>
      <c r="K1894" s="2">
        <f ca="1">IFERROR(_xludf.XLOOKUP("Gastos_Aduana",PARAMETROS_IMPORTACION!$A:$A,PARAMETROS_IMPORTACION!$C:$C,0),0)</f>
        <v>0</v>
      </c>
      <c r="L1894" s="2">
        <f t="shared" si="59"/>
        <v>0</v>
      </c>
    </row>
    <row r="1895" spans="5:12" x14ac:dyDescent="0.35">
      <c r="E1895" s="2"/>
      <c r="F1895" s="2">
        <f>_xlfn.XLOOKUP(D1895,TIPOS_CAMBIO!A:A,TIPOS_CAMBIO!B:B,"",0)</f>
        <v>0</v>
      </c>
      <c r="G1895" s="3">
        <f t="shared" si="58"/>
        <v>0</v>
      </c>
      <c r="H1895" s="3"/>
      <c r="I1895" s="3">
        <f ca="1">IFERROR(_xludf.XLOOKUP("Seguro",PARAMETROS_IMPORTACION!$A:$A,PARAMETROS_IMPORTACION!$C:$C,0),0)</f>
        <v>0</v>
      </c>
      <c r="J1895" s="3">
        <f ca="1">IFERROR(_xludf.XLOOKUP("Arancel",PARAMETROS_IMPORTACION!$A:$A,PARAMETROS_IMPORTACION!$C:$C,0),0)</f>
        <v>0</v>
      </c>
      <c r="K1895" s="2">
        <f ca="1">IFERROR(_xludf.XLOOKUP("Gastos_Aduana",PARAMETROS_IMPORTACION!$A:$A,PARAMETROS_IMPORTACION!$C:$C,0),0)</f>
        <v>0</v>
      </c>
      <c r="L1895" s="2">
        <f t="shared" si="59"/>
        <v>0</v>
      </c>
    </row>
    <row r="1896" spans="5:12" x14ac:dyDescent="0.35">
      <c r="E1896" s="2"/>
      <c r="F1896" s="2">
        <f>_xlfn.XLOOKUP(D1896,TIPOS_CAMBIO!A:A,TIPOS_CAMBIO!B:B,"",0)</f>
        <v>0</v>
      </c>
      <c r="G1896" s="3">
        <f t="shared" si="58"/>
        <v>0</v>
      </c>
      <c r="H1896" s="3"/>
      <c r="I1896" s="3">
        <f ca="1">IFERROR(_xludf.XLOOKUP("Seguro",PARAMETROS_IMPORTACION!$A:$A,PARAMETROS_IMPORTACION!$C:$C,0),0)</f>
        <v>0</v>
      </c>
      <c r="J1896" s="3">
        <f ca="1">IFERROR(_xludf.XLOOKUP("Arancel",PARAMETROS_IMPORTACION!$A:$A,PARAMETROS_IMPORTACION!$C:$C,0),0)</f>
        <v>0</v>
      </c>
      <c r="K1896" s="2">
        <f ca="1">IFERROR(_xludf.XLOOKUP("Gastos_Aduana",PARAMETROS_IMPORTACION!$A:$A,PARAMETROS_IMPORTACION!$C:$C,0),0)</f>
        <v>0</v>
      </c>
      <c r="L1896" s="2">
        <f t="shared" si="59"/>
        <v>0</v>
      </c>
    </row>
    <row r="1897" spans="5:12" x14ac:dyDescent="0.35">
      <c r="E1897" s="2"/>
      <c r="F1897" s="2">
        <f>_xlfn.XLOOKUP(D1897,TIPOS_CAMBIO!A:A,TIPOS_CAMBIO!B:B,"",0)</f>
        <v>0</v>
      </c>
      <c r="G1897" s="3">
        <f t="shared" si="58"/>
        <v>0</v>
      </c>
      <c r="H1897" s="3"/>
      <c r="I1897" s="3">
        <f ca="1">IFERROR(_xludf.XLOOKUP("Seguro",PARAMETROS_IMPORTACION!$A:$A,PARAMETROS_IMPORTACION!$C:$C,0),0)</f>
        <v>0</v>
      </c>
      <c r="J1897" s="3">
        <f ca="1">IFERROR(_xludf.XLOOKUP("Arancel",PARAMETROS_IMPORTACION!$A:$A,PARAMETROS_IMPORTACION!$C:$C,0),0)</f>
        <v>0</v>
      </c>
      <c r="K1897" s="2">
        <f ca="1">IFERROR(_xludf.XLOOKUP("Gastos_Aduana",PARAMETROS_IMPORTACION!$A:$A,PARAMETROS_IMPORTACION!$C:$C,0),0)</f>
        <v>0</v>
      </c>
      <c r="L1897" s="2">
        <f t="shared" si="59"/>
        <v>0</v>
      </c>
    </row>
    <row r="1898" spans="5:12" x14ac:dyDescent="0.35">
      <c r="E1898" s="2"/>
      <c r="F1898" s="2">
        <f>_xlfn.XLOOKUP(D1898,TIPOS_CAMBIO!A:A,TIPOS_CAMBIO!B:B,"",0)</f>
        <v>0</v>
      </c>
      <c r="G1898" s="3">
        <f t="shared" si="58"/>
        <v>0</v>
      </c>
      <c r="H1898" s="3"/>
      <c r="I1898" s="3">
        <f ca="1">IFERROR(_xludf.XLOOKUP("Seguro",PARAMETROS_IMPORTACION!$A:$A,PARAMETROS_IMPORTACION!$C:$C,0),0)</f>
        <v>0</v>
      </c>
      <c r="J1898" s="3">
        <f ca="1">IFERROR(_xludf.XLOOKUP("Arancel",PARAMETROS_IMPORTACION!$A:$A,PARAMETROS_IMPORTACION!$C:$C,0),0)</f>
        <v>0</v>
      </c>
      <c r="K1898" s="2">
        <f ca="1">IFERROR(_xludf.XLOOKUP("Gastos_Aduana",PARAMETROS_IMPORTACION!$A:$A,PARAMETROS_IMPORTACION!$C:$C,0),0)</f>
        <v>0</v>
      </c>
      <c r="L1898" s="2">
        <f t="shared" si="59"/>
        <v>0</v>
      </c>
    </row>
    <row r="1899" spans="5:12" x14ac:dyDescent="0.35">
      <c r="E1899" s="2"/>
      <c r="F1899" s="2">
        <f>_xlfn.XLOOKUP(D1899,TIPOS_CAMBIO!A:A,TIPOS_CAMBIO!B:B,"",0)</f>
        <v>0</v>
      </c>
      <c r="G1899" s="3">
        <f t="shared" si="58"/>
        <v>0</v>
      </c>
      <c r="H1899" s="3"/>
      <c r="I1899" s="3">
        <f ca="1">IFERROR(_xludf.XLOOKUP("Seguro",PARAMETROS_IMPORTACION!$A:$A,PARAMETROS_IMPORTACION!$C:$C,0),0)</f>
        <v>0</v>
      </c>
      <c r="J1899" s="3">
        <f ca="1">IFERROR(_xludf.XLOOKUP("Arancel",PARAMETROS_IMPORTACION!$A:$A,PARAMETROS_IMPORTACION!$C:$C,0),0)</f>
        <v>0</v>
      </c>
      <c r="K1899" s="2">
        <f ca="1">IFERROR(_xludf.XLOOKUP("Gastos_Aduana",PARAMETROS_IMPORTACION!$A:$A,PARAMETROS_IMPORTACION!$C:$C,0),0)</f>
        <v>0</v>
      </c>
      <c r="L1899" s="2">
        <f t="shared" si="59"/>
        <v>0</v>
      </c>
    </row>
    <row r="1900" spans="5:12" x14ac:dyDescent="0.35">
      <c r="E1900" s="2"/>
      <c r="F1900" s="2">
        <f>_xlfn.XLOOKUP(D1900,TIPOS_CAMBIO!A:A,TIPOS_CAMBIO!B:B,"",0)</f>
        <v>0</v>
      </c>
      <c r="G1900" s="3">
        <f t="shared" si="58"/>
        <v>0</v>
      </c>
      <c r="H1900" s="3"/>
      <c r="I1900" s="3">
        <f ca="1">IFERROR(_xludf.XLOOKUP("Seguro",PARAMETROS_IMPORTACION!$A:$A,PARAMETROS_IMPORTACION!$C:$C,0),0)</f>
        <v>0</v>
      </c>
      <c r="J1900" s="3">
        <f ca="1">IFERROR(_xludf.XLOOKUP("Arancel",PARAMETROS_IMPORTACION!$A:$A,PARAMETROS_IMPORTACION!$C:$C,0),0)</f>
        <v>0</v>
      </c>
      <c r="K1900" s="2">
        <f ca="1">IFERROR(_xludf.XLOOKUP("Gastos_Aduana",PARAMETROS_IMPORTACION!$A:$A,PARAMETROS_IMPORTACION!$C:$C,0),0)</f>
        <v>0</v>
      </c>
      <c r="L1900" s="2">
        <f t="shared" si="59"/>
        <v>0</v>
      </c>
    </row>
    <row r="1901" spans="5:12" x14ac:dyDescent="0.35">
      <c r="E1901" s="2"/>
      <c r="F1901" s="2">
        <f>_xlfn.XLOOKUP(D1901,TIPOS_CAMBIO!A:A,TIPOS_CAMBIO!B:B,"",0)</f>
        <v>0</v>
      </c>
      <c r="G1901" s="3">
        <f t="shared" si="58"/>
        <v>0</v>
      </c>
      <c r="H1901" s="3"/>
      <c r="I1901" s="3">
        <f ca="1">IFERROR(_xludf.XLOOKUP("Seguro",PARAMETROS_IMPORTACION!$A:$A,PARAMETROS_IMPORTACION!$C:$C,0),0)</f>
        <v>0</v>
      </c>
      <c r="J1901" s="3">
        <f ca="1">IFERROR(_xludf.XLOOKUP("Arancel",PARAMETROS_IMPORTACION!$A:$A,PARAMETROS_IMPORTACION!$C:$C,0),0)</f>
        <v>0</v>
      </c>
      <c r="K1901" s="2">
        <f ca="1">IFERROR(_xludf.XLOOKUP("Gastos_Aduana",PARAMETROS_IMPORTACION!$A:$A,PARAMETROS_IMPORTACION!$C:$C,0),0)</f>
        <v>0</v>
      </c>
      <c r="L1901" s="2">
        <f t="shared" si="59"/>
        <v>0</v>
      </c>
    </row>
    <row r="1902" spans="5:12" x14ac:dyDescent="0.35">
      <c r="E1902" s="2"/>
      <c r="F1902" s="2">
        <f>_xlfn.XLOOKUP(D1902,TIPOS_CAMBIO!A:A,TIPOS_CAMBIO!B:B,"",0)</f>
        <v>0</v>
      </c>
      <c r="G1902" s="3">
        <f t="shared" si="58"/>
        <v>0</v>
      </c>
      <c r="H1902" s="3"/>
      <c r="I1902" s="3">
        <f ca="1">IFERROR(_xludf.XLOOKUP("Seguro",PARAMETROS_IMPORTACION!$A:$A,PARAMETROS_IMPORTACION!$C:$C,0),0)</f>
        <v>0</v>
      </c>
      <c r="J1902" s="3">
        <f ca="1">IFERROR(_xludf.XLOOKUP("Arancel",PARAMETROS_IMPORTACION!$A:$A,PARAMETROS_IMPORTACION!$C:$C,0),0)</f>
        <v>0</v>
      </c>
      <c r="K1902" s="2">
        <f ca="1">IFERROR(_xludf.XLOOKUP("Gastos_Aduana",PARAMETROS_IMPORTACION!$A:$A,PARAMETROS_IMPORTACION!$C:$C,0),0)</f>
        <v>0</v>
      </c>
      <c r="L1902" s="2">
        <f t="shared" si="59"/>
        <v>0</v>
      </c>
    </row>
    <row r="1903" spans="5:12" x14ac:dyDescent="0.35">
      <c r="E1903" s="2"/>
      <c r="F1903" s="2">
        <f>_xlfn.XLOOKUP(D1903,TIPOS_CAMBIO!A:A,TIPOS_CAMBIO!B:B,"",0)</f>
        <v>0</v>
      </c>
      <c r="G1903" s="3">
        <f t="shared" si="58"/>
        <v>0</v>
      </c>
      <c r="H1903" s="3"/>
      <c r="I1903" s="3">
        <f ca="1">IFERROR(_xludf.XLOOKUP("Seguro",PARAMETROS_IMPORTACION!$A:$A,PARAMETROS_IMPORTACION!$C:$C,0),0)</f>
        <v>0</v>
      </c>
      <c r="J1903" s="3">
        <f ca="1">IFERROR(_xludf.XLOOKUP("Arancel",PARAMETROS_IMPORTACION!$A:$A,PARAMETROS_IMPORTACION!$C:$C,0),0)</f>
        <v>0</v>
      </c>
      <c r="K1903" s="2">
        <f ca="1">IFERROR(_xludf.XLOOKUP("Gastos_Aduana",PARAMETROS_IMPORTACION!$A:$A,PARAMETROS_IMPORTACION!$C:$C,0),0)</f>
        <v>0</v>
      </c>
      <c r="L1903" s="2">
        <f t="shared" si="59"/>
        <v>0</v>
      </c>
    </row>
    <row r="1904" spans="5:12" x14ac:dyDescent="0.35">
      <c r="E1904" s="2"/>
      <c r="F1904" s="2">
        <f>_xlfn.XLOOKUP(D1904,TIPOS_CAMBIO!A:A,TIPOS_CAMBIO!B:B,"",0)</f>
        <v>0</v>
      </c>
      <c r="G1904" s="3">
        <f t="shared" si="58"/>
        <v>0</v>
      </c>
      <c r="H1904" s="3"/>
      <c r="I1904" s="3">
        <f ca="1">IFERROR(_xludf.XLOOKUP("Seguro",PARAMETROS_IMPORTACION!$A:$A,PARAMETROS_IMPORTACION!$C:$C,0),0)</f>
        <v>0</v>
      </c>
      <c r="J1904" s="3">
        <f ca="1">IFERROR(_xludf.XLOOKUP("Arancel",PARAMETROS_IMPORTACION!$A:$A,PARAMETROS_IMPORTACION!$C:$C,0),0)</f>
        <v>0</v>
      </c>
      <c r="K1904" s="2">
        <f ca="1">IFERROR(_xludf.XLOOKUP("Gastos_Aduana",PARAMETROS_IMPORTACION!$A:$A,PARAMETROS_IMPORTACION!$C:$C,0),0)</f>
        <v>0</v>
      </c>
      <c r="L1904" s="2">
        <f t="shared" si="59"/>
        <v>0</v>
      </c>
    </row>
    <row r="1905" spans="5:12" x14ac:dyDescent="0.35">
      <c r="E1905" s="2"/>
      <c r="F1905" s="2">
        <f>_xlfn.XLOOKUP(D1905,TIPOS_CAMBIO!A:A,TIPOS_CAMBIO!B:B,"",0)</f>
        <v>0</v>
      </c>
      <c r="G1905" s="3">
        <f t="shared" si="58"/>
        <v>0</v>
      </c>
      <c r="H1905" s="3"/>
      <c r="I1905" s="3">
        <f ca="1">IFERROR(_xludf.XLOOKUP("Seguro",PARAMETROS_IMPORTACION!$A:$A,PARAMETROS_IMPORTACION!$C:$C,0),0)</f>
        <v>0</v>
      </c>
      <c r="J1905" s="3">
        <f ca="1">IFERROR(_xludf.XLOOKUP("Arancel",PARAMETROS_IMPORTACION!$A:$A,PARAMETROS_IMPORTACION!$C:$C,0),0)</f>
        <v>0</v>
      </c>
      <c r="K1905" s="2">
        <f ca="1">IFERROR(_xludf.XLOOKUP("Gastos_Aduana",PARAMETROS_IMPORTACION!$A:$A,PARAMETROS_IMPORTACION!$C:$C,0),0)</f>
        <v>0</v>
      </c>
      <c r="L1905" s="2">
        <f t="shared" si="59"/>
        <v>0</v>
      </c>
    </row>
    <row r="1906" spans="5:12" x14ac:dyDescent="0.35">
      <c r="E1906" s="2"/>
      <c r="F1906" s="2">
        <f>_xlfn.XLOOKUP(D1906,TIPOS_CAMBIO!A:A,TIPOS_CAMBIO!B:B,"",0)</f>
        <v>0</v>
      </c>
      <c r="G1906" s="3">
        <f t="shared" si="58"/>
        <v>0</v>
      </c>
      <c r="H1906" s="3"/>
      <c r="I1906" s="3">
        <f ca="1">IFERROR(_xludf.XLOOKUP("Seguro",PARAMETROS_IMPORTACION!$A:$A,PARAMETROS_IMPORTACION!$C:$C,0),0)</f>
        <v>0</v>
      </c>
      <c r="J1906" s="3">
        <f ca="1">IFERROR(_xludf.XLOOKUP("Arancel",PARAMETROS_IMPORTACION!$A:$A,PARAMETROS_IMPORTACION!$C:$C,0),0)</f>
        <v>0</v>
      </c>
      <c r="K1906" s="2">
        <f ca="1">IFERROR(_xludf.XLOOKUP("Gastos_Aduana",PARAMETROS_IMPORTACION!$A:$A,PARAMETROS_IMPORTACION!$C:$C,0),0)</f>
        <v>0</v>
      </c>
      <c r="L1906" s="2">
        <f t="shared" si="59"/>
        <v>0</v>
      </c>
    </row>
    <row r="1907" spans="5:12" x14ac:dyDescent="0.35">
      <c r="E1907" s="2"/>
      <c r="F1907" s="2">
        <f>_xlfn.XLOOKUP(D1907,TIPOS_CAMBIO!A:A,TIPOS_CAMBIO!B:B,"",0)</f>
        <v>0</v>
      </c>
      <c r="G1907" s="3">
        <f t="shared" si="58"/>
        <v>0</v>
      </c>
      <c r="H1907" s="3"/>
      <c r="I1907" s="3">
        <f ca="1">IFERROR(_xludf.XLOOKUP("Seguro",PARAMETROS_IMPORTACION!$A:$A,PARAMETROS_IMPORTACION!$C:$C,0),0)</f>
        <v>0</v>
      </c>
      <c r="J1907" s="3">
        <f ca="1">IFERROR(_xludf.XLOOKUP("Arancel",PARAMETROS_IMPORTACION!$A:$A,PARAMETROS_IMPORTACION!$C:$C,0),0)</f>
        <v>0</v>
      </c>
      <c r="K1907" s="2">
        <f ca="1">IFERROR(_xludf.XLOOKUP("Gastos_Aduana",PARAMETROS_IMPORTACION!$A:$A,PARAMETROS_IMPORTACION!$C:$C,0),0)</f>
        <v>0</v>
      </c>
      <c r="L1907" s="2">
        <f t="shared" si="59"/>
        <v>0</v>
      </c>
    </row>
    <row r="1908" spans="5:12" x14ac:dyDescent="0.35">
      <c r="E1908" s="2"/>
      <c r="F1908" s="2">
        <f>_xlfn.XLOOKUP(D1908,TIPOS_CAMBIO!A:A,TIPOS_CAMBIO!B:B,"",0)</f>
        <v>0</v>
      </c>
      <c r="G1908" s="3">
        <f t="shared" si="58"/>
        <v>0</v>
      </c>
      <c r="H1908" s="3"/>
      <c r="I1908" s="3">
        <f ca="1">IFERROR(_xludf.XLOOKUP("Seguro",PARAMETROS_IMPORTACION!$A:$A,PARAMETROS_IMPORTACION!$C:$C,0),0)</f>
        <v>0</v>
      </c>
      <c r="J1908" s="3">
        <f ca="1">IFERROR(_xludf.XLOOKUP("Arancel",PARAMETROS_IMPORTACION!$A:$A,PARAMETROS_IMPORTACION!$C:$C,0),0)</f>
        <v>0</v>
      </c>
      <c r="K1908" s="2">
        <f ca="1">IFERROR(_xludf.XLOOKUP("Gastos_Aduana",PARAMETROS_IMPORTACION!$A:$A,PARAMETROS_IMPORTACION!$C:$C,0),0)</f>
        <v>0</v>
      </c>
      <c r="L1908" s="2">
        <f t="shared" si="59"/>
        <v>0</v>
      </c>
    </row>
    <row r="1909" spans="5:12" x14ac:dyDescent="0.35">
      <c r="E1909" s="2"/>
      <c r="F1909" s="2">
        <f>_xlfn.XLOOKUP(D1909,TIPOS_CAMBIO!A:A,TIPOS_CAMBIO!B:B,"",0)</f>
        <v>0</v>
      </c>
      <c r="G1909" s="3">
        <f t="shared" si="58"/>
        <v>0</v>
      </c>
      <c r="H1909" s="3"/>
      <c r="I1909" s="3">
        <f ca="1">IFERROR(_xludf.XLOOKUP("Seguro",PARAMETROS_IMPORTACION!$A:$A,PARAMETROS_IMPORTACION!$C:$C,0),0)</f>
        <v>0</v>
      </c>
      <c r="J1909" s="3">
        <f ca="1">IFERROR(_xludf.XLOOKUP("Arancel",PARAMETROS_IMPORTACION!$A:$A,PARAMETROS_IMPORTACION!$C:$C,0),0)</f>
        <v>0</v>
      </c>
      <c r="K1909" s="2">
        <f ca="1">IFERROR(_xludf.XLOOKUP("Gastos_Aduana",PARAMETROS_IMPORTACION!$A:$A,PARAMETROS_IMPORTACION!$C:$C,0),0)</f>
        <v>0</v>
      </c>
      <c r="L1909" s="2">
        <f t="shared" si="59"/>
        <v>0</v>
      </c>
    </row>
    <row r="1910" spans="5:12" x14ac:dyDescent="0.35">
      <c r="E1910" s="2"/>
      <c r="F1910" s="2">
        <f>_xlfn.XLOOKUP(D1910,TIPOS_CAMBIO!A:A,TIPOS_CAMBIO!B:B,"",0)</f>
        <v>0</v>
      </c>
      <c r="G1910" s="3">
        <f t="shared" si="58"/>
        <v>0</v>
      </c>
      <c r="H1910" s="3"/>
      <c r="I1910" s="3">
        <f ca="1">IFERROR(_xludf.XLOOKUP("Seguro",PARAMETROS_IMPORTACION!$A:$A,PARAMETROS_IMPORTACION!$C:$C,0),0)</f>
        <v>0</v>
      </c>
      <c r="J1910" s="3">
        <f ca="1">IFERROR(_xludf.XLOOKUP("Arancel",PARAMETROS_IMPORTACION!$A:$A,PARAMETROS_IMPORTACION!$C:$C,0),0)</f>
        <v>0</v>
      </c>
      <c r="K1910" s="2">
        <f ca="1">IFERROR(_xludf.XLOOKUP("Gastos_Aduana",PARAMETROS_IMPORTACION!$A:$A,PARAMETROS_IMPORTACION!$C:$C,0),0)</f>
        <v>0</v>
      </c>
      <c r="L1910" s="2">
        <f t="shared" si="59"/>
        <v>0</v>
      </c>
    </row>
    <row r="1911" spans="5:12" x14ac:dyDescent="0.35">
      <c r="E1911" s="2"/>
      <c r="F1911" s="2">
        <f>_xlfn.XLOOKUP(D1911,TIPOS_CAMBIO!A:A,TIPOS_CAMBIO!B:B,"",0)</f>
        <v>0</v>
      </c>
      <c r="G1911" s="3">
        <f t="shared" si="58"/>
        <v>0</v>
      </c>
      <c r="H1911" s="3"/>
      <c r="I1911" s="3">
        <f ca="1">IFERROR(_xludf.XLOOKUP("Seguro",PARAMETROS_IMPORTACION!$A:$A,PARAMETROS_IMPORTACION!$C:$C,0),0)</f>
        <v>0</v>
      </c>
      <c r="J1911" s="3">
        <f ca="1">IFERROR(_xludf.XLOOKUP("Arancel",PARAMETROS_IMPORTACION!$A:$A,PARAMETROS_IMPORTACION!$C:$C,0),0)</f>
        <v>0</v>
      </c>
      <c r="K1911" s="2">
        <f ca="1">IFERROR(_xludf.XLOOKUP("Gastos_Aduana",PARAMETROS_IMPORTACION!$A:$A,PARAMETROS_IMPORTACION!$C:$C,0),0)</f>
        <v>0</v>
      </c>
      <c r="L1911" s="2">
        <f t="shared" si="59"/>
        <v>0</v>
      </c>
    </row>
    <row r="1912" spans="5:12" x14ac:dyDescent="0.35">
      <c r="E1912" s="2"/>
      <c r="F1912" s="2">
        <f>_xlfn.XLOOKUP(D1912,TIPOS_CAMBIO!A:A,TIPOS_CAMBIO!B:B,"",0)</f>
        <v>0</v>
      </c>
      <c r="G1912" s="3">
        <f t="shared" si="58"/>
        <v>0</v>
      </c>
      <c r="H1912" s="3"/>
      <c r="I1912" s="3">
        <f ca="1">IFERROR(_xludf.XLOOKUP("Seguro",PARAMETROS_IMPORTACION!$A:$A,PARAMETROS_IMPORTACION!$C:$C,0),0)</f>
        <v>0</v>
      </c>
      <c r="J1912" s="3">
        <f ca="1">IFERROR(_xludf.XLOOKUP("Arancel",PARAMETROS_IMPORTACION!$A:$A,PARAMETROS_IMPORTACION!$C:$C,0),0)</f>
        <v>0</v>
      </c>
      <c r="K1912" s="2">
        <f ca="1">IFERROR(_xludf.XLOOKUP("Gastos_Aduana",PARAMETROS_IMPORTACION!$A:$A,PARAMETROS_IMPORTACION!$C:$C,0),0)</f>
        <v>0</v>
      </c>
      <c r="L1912" s="2">
        <f t="shared" si="59"/>
        <v>0</v>
      </c>
    </row>
    <row r="1913" spans="5:12" x14ac:dyDescent="0.35">
      <c r="E1913" s="2"/>
      <c r="F1913" s="2">
        <f>_xlfn.XLOOKUP(D1913,TIPOS_CAMBIO!A:A,TIPOS_CAMBIO!B:B,"",0)</f>
        <v>0</v>
      </c>
      <c r="G1913" s="3">
        <f t="shared" si="58"/>
        <v>0</v>
      </c>
      <c r="H1913" s="3"/>
      <c r="I1913" s="3">
        <f ca="1">IFERROR(_xludf.XLOOKUP("Seguro",PARAMETROS_IMPORTACION!$A:$A,PARAMETROS_IMPORTACION!$C:$C,0),0)</f>
        <v>0</v>
      </c>
      <c r="J1913" s="3">
        <f ca="1">IFERROR(_xludf.XLOOKUP("Arancel",PARAMETROS_IMPORTACION!$A:$A,PARAMETROS_IMPORTACION!$C:$C,0),0)</f>
        <v>0</v>
      </c>
      <c r="K1913" s="2">
        <f ca="1">IFERROR(_xludf.XLOOKUP("Gastos_Aduana",PARAMETROS_IMPORTACION!$A:$A,PARAMETROS_IMPORTACION!$C:$C,0),0)</f>
        <v>0</v>
      </c>
      <c r="L1913" s="2">
        <f t="shared" si="59"/>
        <v>0</v>
      </c>
    </row>
    <row r="1914" spans="5:12" x14ac:dyDescent="0.35">
      <c r="E1914" s="2"/>
      <c r="F1914" s="2">
        <f>_xlfn.XLOOKUP(D1914,TIPOS_CAMBIO!A:A,TIPOS_CAMBIO!B:B,"",0)</f>
        <v>0</v>
      </c>
      <c r="G1914" s="3">
        <f t="shared" si="58"/>
        <v>0</v>
      </c>
      <c r="H1914" s="3"/>
      <c r="I1914" s="3">
        <f ca="1">IFERROR(_xludf.XLOOKUP("Seguro",PARAMETROS_IMPORTACION!$A:$A,PARAMETROS_IMPORTACION!$C:$C,0),0)</f>
        <v>0</v>
      </c>
      <c r="J1914" s="3">
        <f ca="1">IFERROR(_xludf.XLOOKUP("Arancel",PARAMETROS_IMPORTACION!$A:$A,PARAMETROS_IMPORTACION!$C:$C,0),0)</f>
        <v>0</v>
      </c>
      <c r="K1914" s="2">
        <f ca="1">IFERROR(_xludf.XLOOKUP("Gastos_Aduana",PARAMETROS_IMPORTACION!$A:$A,PARAMETROS_IMPORTACION!$C:$C,0),0)</f>
        <v>0</v>
      </c>
      <c r="L1914" s="2">
        <f t="shared" si="59"/>
        <v>0</v>
      </c>
    </row>
    <row r="1915" spans="5:12" x14ac:dyDescent="0.35">
      <c r="E1915" s="2"/>
      <c r="F1915" s="2">
        <f>_xlfn.XLOOKUP(D1915,TIPOS_CAMBIO!A:A,TIPOS_CAMBIO!B:B,"",0)</f>
        <v>0</v>
      </c>
      <c r="G1915" s="3">
        <f t="shared" si="58"/>
        <v>0</v>
      </c>
      <c r="H1915" s="3"/>
      <c r="I1915" s="3">
        <f ca="1">IFERROR(_xludf.XLOOKUP("Seguro",PARAMETROS_IMPORTACION!$A:$A,PARAMETROS_IMPORTACION!$C:$C,0),0)</f>
        <v>0</v>
      </c>
      <c r="J1915" s="3">
        <f ca="1">IFERROR(_xludf.XLOOKUP("Arancel",PARAMETROS_IMPORTACION!$A:$A,PARAMETROS_IMPORTACION!$C:$C,0),0)</f>
        <v>0</v>
      </c>
      <c r="K1915" s="2">
        <f ca="1">IFERROR(_xludf.XLOOKUP("Gastos_Aduana",PARAMETROS_IMPORTACION!$A:$A,PARAMETROS_IMPORTACION!$C:$C,0),0)</f>
        <v>0</v>
      </c>
      <c r="L1915" s="2">
        <f t="shared" si="59"/>
        <v>0</v>
      </c>
    </row>
    <row r="1916" spans="5:12" x14ac:dyDescent="0.35">
      <c r="E1916" s="2"/>
      <c r="F1916" s="2">
        <f>_xlfn.XLOOKUP(D1916,TIPOS_CAMBIO!A:A,TIPOS_CAMBIO!B:B,"",0)</f>
        <v>0</v>
      </c>
      <c r="G1916" s="3">
        <f t="shared" si="58"/>
        <v>0</v>
      </c>
      <c r="H1916" s="3"/>
      <c r="I1916" s="3">
        <f ca="1">IFERROR(_xludf.XLOOKUP("Seguro",PARAMETROS_IMPORTACION!$A:$A,PARAMETROS_IMPORTACION!$C:$C,0),0)</f>
        <v>0</v>
      </c>
      <c r="J1916" s="3">
        <f ca="1">IFERROR(_xludf.XLOOKUP("Arancel",PARAMETROS_IMPORTACION!$A:$A,PARAMETROS_IMPORTACION!$C:$C,0),0)</f>
        <v>0</v>
      </c>
      <c r="K1916" s="2">
        <f ca="1">IFERROR(_xludf.XLOOKUP("Gastos_Aduana",PARAMETROS_IMPORTACION!$A:$A,PARAMETROS_IMPORTACION!$C:$C,0),0)</f>
        <v>0</v>
      </c>
      <c r="L1916" s="2">
        <f t="shared" si="59"/>
        <v>0</v>
      </c>
    </row>
    <row r="1917" spans="5:12" x14ac:dyDescent="0.35">
      <c r="E1917" s="2"/>
      <c r="F1917" s="2">
        <f>_xlfn.XLOOKUP(D1917,TIPOS_CAMBIO!A:A,TIPOS_CAMBIO!B:B,"",0)</f>
        <v>0</v>
      </c>
      <c r="G1917" s="3">
        <f t="shared" si="58"/>
        <v>0</v>
      </c>
      <c r="H1917" s="3"/>
      <c r="I1917" s="3">
        <f ca="1">IFERROR(_xludf.XLOOKUP("Seguro",PARAMETROS_IMPORTACION!$A:$A,PARAMETROS_IMPORTACION!$C:$C,0),0)</f>
        <v>0</v>
      </c>
      <c r="J1917" s="3">
        <f ca="1">IFERROR(_xludf.XLOOKUP("Arancel",PARAMETROS_IMPORTACION!$A:$A,PARAMETROS_IMPORTACION!$C:$C,0),0)</f>
        <v>0</v>
      </c>
      <c r="K1917" s="2">
        <f ca="1">IFERROR(_xludf.XLOOKUP("Gastos_Aduana",PARAMETROS_IMPORTACION!$A:$A,PARAMETROS_IMPORTACION!$C:$C,0),0)</f>
        <v>0</v>
      </c>
      <c r="L1917" s="2">
        <f t="shared" si="59"/>
        <v>0</v>
      </c>
    </row>
    <row r="1918" spans="5:12" x14ac:dyDescent="0.35">
      <c r="E1918" s="2"/>
      <c r="F1918" s="2">
        <f>_xlfn.XLOOKUP(D1918,TIPOS_CAMBIO!A:A,TIPOS_CAMBIO!B:B,"",0)</f>
        <v>0</v>
      </c>
      <c r="G1918" s="3">
        <f t="shared" si="58"/>
        <v>0</v>
      </c>
      <c r="H1918" s="3"/>
      <c r="I1918" s="3">
        <f ca="1">IFERROR(_xludf.XLOOKUP("Seguro",PARAMETROS_IMPORTACION!$A:$A,PARAMETROS_IMPORTACION!$C:$C,0),0)</f>
        <v>0</v>
      </c>
      <c r="J1918" s="3">
        <f ca="1">IFERROR(_xludf.XLOOKUP("Arancel",PARAMETROS_IMPORTACION!$A:$A,PARAMETROS_IMPORTACION!$C:$C,0),0)</f>
        <v>0</v>
      </c>
      <c r="K1918" s="2">
        <f ca="1">IFERROR(_xludf.XLOOKUP("Gastos_Aduana",PARAMETROS_IMPORTACION!$A:$A,PARAMETROS_IMPORTACION!$C:$C,0),0)</f>
        <v>0</v>
      </c>
      <c r="L1918" s="2">
        <f t="shared" si="59"/>
        <v>0</v>
      </c>
    </row>
    <row r="1919" spans="5:12" x14ac:dyDescent="0.35">
      <c r="E1919" s="2"/>
      <c r="F1919" s="2">
        <f>_xlfn.XLOOKUP(D1919,TIPOS_CAMBIO!A:A,TIPOS_CAMBIO!B:B,"",0)</f>
        <v>0</v>
      </c>
      <c r="G1919" s="3">
        <f t="shared" si="58"/>
        <v>0</v>
      </c>
      <c r="H1919" s="3"/>
      <c r="I1919" s="3">
        <f ca="1">IFERROR(_xludf.XLOOKUP("Seguro",PARAMETROS_IMPORTACION!$A:$A,PARAMETROS_IMPORTACION!$C:$C,0),0)</f>
        <v>0</v>
      </c>
      <c r="J1919" s="3">
        <f ca="1">IFERROR(_xludf.XLOOKUP("Arancel",PARAMETROS_IMPORTACION!$A:$A,PARAMETROS_IMPORTACION!$C:$C,0),0)</f>
        <v>0</v>
      </c>
      <c r="K1919" s="2">
        <f ca="1">IFERROR(_xludf.XLOOKUP("Gastos_Aduana",PARAMETROS_IMPORTACION!$A:$A,PARAMETROS_IMPORTACION!$C:$C,0),0)</f>
        <v>0</v>
      </c>
      <c r="L1919" s="2">
        <f t="shared" si="59"/>
        <v>0</v>
      </c>
    </row>
    <row r="1920" spans="5:12" x14ac:dyDescent="0.35">
      <c r="E1920" s="2"/>
      <c r="F1920" s="2">
        <f>_xlfn.XLOOKUP(D1920,TIPOS_CAMBIO!A:A,TIPOS_CAMBIO!B:B,"",0)</f>
        <v>0</v>
      </c>
      <c r="G1920" s="3">
        <f t="shared" si="58"/>
        <v>0</v>
      </c>
      <c r="H1920" s="3"/>
      <c r="I1920" s="3">
        <f ca="1">IFERROR(_xludf.XLOOKUP("Seguro",PARAMETROS_IMPORTACION!$A:$A,PARAMETROS_IMPORTACION!$C:$C,0),0)</f>
        <v>0</v>
      </c>
      <c r="J1920" s="3">
        <f ca="1">IFERROR(_xludf.XLOOKUP("Arancel",PARAMETROS_IMPORTACION!$A:$A,PARAMETROS_IMPORTACION!$C:$C,0),0)</f>
        <v>0</v>
      </c>
      <c r="K1920" s="2">
        <f ca="1">IFERROR(_xludf.XLOOKUP("Gastos_Aduana",PARAMETROS_IMPORTACION!$A:$A,PARAMETROS_IMPORTACION!$C:$C,0),0)</f>
        <v>0</v>
      </c>
      <c r="L1920" s="2">
        <f t="shared" si="59"/>
        <v>0</v>
      </c>
    </row>
    <row r="1921" spans="5:12" x14ac:dyDescent="0.35">
      <c r="E1921" s="2"/>
      <c r="F1921" s="2">
        <f>_xlfn.XLOOKUP(D1921,TIPOS_CAMBIO!A:A,TIPOS_CAMBIO!B:B,"",0)</f>
        <v>0</v>
      </c>
      <c r="G1921" s="3">
        <f t="shared" si="58"/>
        <v>0</v>
      </c>
      <c r="H1921" s="3"/>
      <c r="I1921" s="3">
        <f ca="1">IFERROR(_xludf.XLOOKUP("Seguro",PARAMETROS_IMPORTACION!$A:$A,PARAMETROS_IMPORTACION!$C:$C,0),0)</f>
        <v>0</v>
      </c>
      <c r="J1921" s="3">
        <f ca="1">IFERROR(_xludf.XLOOKUP("Arancel",PARAMETROS_IMPORTACION!$A:$A,PARAMETROS_IMPORTACION!$C:$C,0),0)</f>
        <v>0</v>
      </c>
      <c r="K1921" s="2">
        <f ca="1">IFERROR(_xludf.XLOOKUP("Gastos_Aduana",PARAMETROS_IMPORTACION!$A:$A,PARAMETROS_IMPORTACION!$C:$C,0),0)</f>
        <v>0</v>
      </c>
      <c r="L1921" s="2">
        <f t="shared" si="59"/>
        <v>0</v>
      </c>
    </row>
    <row r="1922" spans="5:12" x14ac:dyDescent="0.35">
      <c r="E1922" s="2"/>
      <c r="F1922" s="2">
        <f>_xlfn.XLOOKUP(D1922,TIPOS_CAMBIO!A:A,TIPOS_CAMBIO!B:B,"",0)</f>
        <v>0</v>
      </c>
      <c r="G1922" s="3">
        <f t="shared" ref="G1922:G1985" si="60">$E1922*$F1922</f>
        <v>0</v>
      </c>
      <c r="H1922" s="3"/>
      <c r="I1922" s="3">
        <f ca="1">IFERROR(_xludf.XLOOKUP("Seguro",PARAMETROS_IMPORTACION!$A:$A,PARAMETROS_IMPORTACION!$C:$C,0),0)</f>
        <v>0</v>
      </c>
      <c r="J1922" s="3">
        <f ca="1">IFERROR(_xludf.XLOOKUP("Arancel",PARAMETROS_IMPORTACION!$A:$A,PARAMETROS_IMPORTACION!$C:$C,0),0)</f>
        <v>0</v>
      </c>
      <c r="K1922" s="2">
        <f ca="1">IFERROR(_xludf.XLOOKUP("Gastos_Aduana",PARAMETROS_IMPORTACION!$A:$A,PARAMETROS_IMPORTACION!$C:$C,0),0)</f>
        <v>0</v>
      </c>
      <c r="L1922" s="2">
        <f t="shared" si="59"/>
        <v>0</v>
      </c>
    </row>
    <row r="1923" spans="5:12" x14ac:dyDescent="0.35">
      <c r="E1923" s="2"/>
      <c r="F1923" s="2">
        <f>_xlfn.XLOOKUP(D1923,TIPOS_CAMBIO!A:A,TIPOS_CAMBIO!B:B,"",0)</f>
        <v>0</v>
      </c>
      <c r="G1923" s="3">
        <f t="shared" si="60"/>
        <v>0</v>
      </c>
      <c r="H1923" s="3"/>
      <c r="I1923" s="3">
        <f ca="1">IFERROR(_xludf.XLOOKUP("Seguro",PARAMETROS_IMPORTACION!$A:$A,PARAMETROS_IMPORTACION!$C:$C,0),0)</f>
        <v>0</v>
      </c>
      <c r="J1923" s="3">
        <f ca="1">IFERROR(_xludf.XLOOKUP("Arancel",PARAMETROS_IMPORTACION!$A:$A,PARAMETROS_IMPORTACION!$C:$C,0),0)</f>
        <v>0</v>
      </c>
      <c r="K1923" s="2">
        <f ca="1">IFERROR(_xludf.XLOOKUP("Gastos_Aduana",PARAMETROS_IMPORTACION!$A:$A,PARAMETROS_IMPORTACION!$C:$C,0),0)</f>
        <v>0</v>
      </c>
      <c r="L1923" s="2">
        <f t="shared" ref="L1923:L1986" si="61">IF($C1923="Importado",$G1923*(1+$H1923+$I1923+$J1923)+$K1923,$G1923)</f>
        <v>0</v>
      </c>
    </row>
    <row r="1924" spans="5:12" x14ac:dyDescent="0.35">
      <c r="E1924" s="2"/>
      <c r="F1924" s="2">
        <f>_xlfn.XLOOKUP(D1924,TIPOS_CAMBIO!A:A,TIPOS_CAMBIO!B:B,"",0)</f>
        <v>0</v>
      </c>
      <c r="G1924" s="3">
        <f t="shared" si="60"/>
        <v>0</v>
      </c>
      <c r="H1924" s="3"/>
      <c r="I1924" s="3">
        <f ca="1">IFERROR(_xludf.XLOOKUP("Seguro",PARAMETROS_IMPORTACION!$A:$A,PARAMETROS_IMPORTACION!$C:$C,0),0)</f>
        <v>0</v>
      </c>
      <c r="J1924" s="3">
        <f ca="1">IFERROR(_xludf.XLOOKUP("Arancel",PARAMETROS_IMPORTACION!$A:$A,PARAMETROS_IMPORTACION!$C:$C,0),0)</f>
        <v>0</v>
      </c>
      <c r="K1924" s="2">
        <f ca="1">IFERROR(_xludf.XLOOKUP("Gastos_Aduana",PARAMETROS_IMPORTACION!$A:$A,PARAMETROS_IMPORTACION!$C:$C,0),0)</f>
        <v>0</v>
      </c>
      <c r="L1924" s="2">
        <f t="shared" si="61"/>
        <v>0</v>
      </c>
    </row>
    <row r="1925" spans="5:12" x14ac:dyDescent="0.35">
      <c r="E1925" s="2"/>
      <c r="F1925" s="2">
        <f>_xlfn.XLOOKUP(D1925,TIPOS_CAMBIO!A:A,TIPOS_CAMBIO!B:B,"",0)</f>
        <v>0</v>
      </c>
      <c r="G1925" s="3">
        <f t="shared" si="60"/>
        <v>0</v>
      </c>
      <c r="H1925" s="3"/>
      <c r="I1925" s="3">
        <f ca="1">IFERROR(_xludf.XLOOKUP("Seguro",PARAMETROS_IMPORTACION!$A:$A,PARAMETROS_IMPORTACION!$C:$C,0),0)</f>
        <v>0</v>
      </c>
      <c r="J1925" s="3">
        <f ca="1">IFERROR(_xludf.XLOOKUP("Arancel",PARAMETROS_IMPORTACION!$A:$A,PARAMETROS_IMPORTACION!$C:$C,0),0)</f>
        <v>0</v>
      </c>
      <c r="K1925" s="2">
        <f ca="1">IFERROR(_xludf.XLOOKUP("Gastos_Aduana",PARAMETROS_IMPORTACION!$A:$A,PARAMETROS_IMPORTACION!$C:$C,0),0)</f>
        <v>0</v>
      </c>
      <c r="L1925" s="2">
        <f t="shared" si="61"/>
        <v>0</v>
      </c>
    </row>
    <row r="1926" spans="5:12" x14ac:dyDescent="0.35">
      <c r="E1926" s="2"/>
      <c r="F1926" s="2">
        <f>_xlfn.XLOOKUP(D1926,TIPOS_CAMBIO!A:A,TIPOS_CAMBIO!B:B,"",0)</f>
        <v>0</v>
      </c>
      <c r="G1926" s="3">
        <f t="shared" si="60"/>
        <v>0</v>
      </c>
      <c r="H1926" s="3"/>
      <c r="I1926" s="3">
        <f ca="1">IFERROR(_xludf.XLOOKUP("Seguro",PARAMETROS_IMPORTACION!$A:$A,PARAMETROS_IMPORTACION!$C:$C,0),0)</f>
        <v>0</v>
      </c>
      <c r="J1926" s="3">
        <f ca="1">IFERROR(_xludf.XLOOKUP("Arancel",PARAMETROS_IMPORTACION!$A:$A,PARAMETROS_IMPORTACION!$C:$C,0),0)</f>
        <v>0</v>
      </c>
      <c r="K1926" s="2">
        <f ca="1">IFERROR(_xludf.XLOOKUP("Gastos_Aduana",PARAMETROS_IMPORTACION!$A:$A,PARAMETROS_IMPORTACION!$C:$C,0),0)</f>
        <v>0</v>
      </c>
      <c r="L1926" s="2">
        <f t="shared" si="61"/>
        <v>0</v>
      </c>
    </row>
    <row r="1927" spans="5:12" x14ac:dyDescent="0.35">
      <c r="E1927" s="2"/>
      <c r="F1927" s="2">
        <f>_xlfn.XLOOKUP(D1927,TIPOS_CAMBIO!A:A,TIPOS_CAMBIO!B:B,"",0)</f>
        <v>0</v>
      </c>
      <c r="G1927" s="3">
        <f t="shared" si="60"/>
        <v>0</v>
      </c>
      <c r="H1927" s="3"/>
      <c r="I1927" s="3">
        <f ca="1">IFERROR(_xludf.XLOOKUP("Seguro",PARAMETROS_IMPORTACION!$A:$A,PARAMETROS_IMPORTACION!$C:$C,0),0)</f>
        <v>0</v>
      </c>
      <c r="J1927" s="3">
        <f ca="1">IFERROR(_xludf.XLOOKUP("Arancel",PARAMETROS_IMPORTACION!$A:$A,PARAMETROS_IMPORTACION!$C:$C,0),0)</f>
        <v>0</v>
      </c>
      <c r="K1927" s="2">
        <f ca="1">IFERROR(_xludf.XLOOKUP("Gastos_Aduana",PARAMETROS_IMPORTACION!$A:$A,PARAMETROS_IMPORTACION!$C:$C,0),0)</f>
        <v>0</v>
      </c>
      <c r="L1927" s="2">
        <f t="shared" si="61"/>
        <v>0</v>
      </c>
    </row>
    <row r="1928" spans="5:12" x14ac:dyDescent="0.35">
      <c r="E1928" s="2"/>
      <c r="F1928" s="2">
        <f>_xlfn.XLOOKUP(D1928,TIPOS_CAMBIO!A:A,TIPOS_CAMBIO!B:B,"",0)</f>
        <v>0</v>
      </c>
      <c r="G1928" s="3">
        <f t="shared" si="60"/>
        <v>0</v>
      </c>
      <c r="H1928" s="3"/>
      <c r="I1928" s="3">
        <f ca="1">IFERROR(_xludf.XLOOKUP("Seguro",PARAMETROS_IMPORTACION!$A:$A,PARAMETROS_IMPORTACION!$C:$C,0),0)</f>
        <v>0</v>
      </c>
      <c r="J1928" s="3">
        <f ca="1">IFERROR(_xludf.XLOOKUP("Arancel",PARAMETROS_IMPORTACION!$A:$A,PARAMETROS_IMPORTACION!$C:$C,0),0)</f>
        <v>0</v>
      </c>
      <c r="K1928" s="2">
        <f ca="1">IFERROR(_xludf.XLOOKUP("Gastos_Aduana",PARAMETROS_IMPORTACION!$A:$A,PARAMETROS_IMPORTACION!$C:$C,0),0)</f>
        <v>0</v>
      </c>
      <c r="L1928" s="2">
        <f t="shared" si="61"/>
        <v>0</v>
      </c>
    </row>
    <row r="1929" spans="5:12" x14ac:dyDescent="0.35">
      <c r="E1929" s="2"/>
      <c r="F1929" s="2">
        <f>_xlfn.XLOOKUP(D1929,TIPOS_CAMBIO!A:A,TIPOS_CAMBIO!B:B,"",0)</f>
        <v>0</v>
      </c>
      <c r="G1929" s="3">
        <f t="shared" si="60"/>
        <v>0</v>
      </c>
      <c r="H1929" s="3"/>
      <c r="I1929" s="3">
        <f ca="1">IFERROR(_xludf.XLOOKUP("Seguro",PARAMETROS_IMPORTACION!$A:$A,PARAMETROS_IMPORTACION!$C:$C,0),0)</f>
        <v>0</v>
      </c>
      <c r="J1929" s="3">
        <f ca="1">IFERROR(_xludf.XLOOKUP("Arancel",PARAMETROS_IMPORTACION!$A:$A,PARAMETROS_IMPORTACION!$C:$C,0),0)</f>
        <v>0</v>
      </c>
      <c r="K1929" s="2">
        <f ca="1">IFERROR(_xludf.XLOOKUP("Gastos_Aduana",PARAMETROS_IMPORTACION!$A:$A,PARAMETROS_IMPORTACION!$C:$C,0),0)</f>
        <v>0</v>
      </c>
      <c r="L1929" s="2">
        <f t="shared" si="61"/>
        <v>0</v>
      </c>
    </row>
    <row r="1930" spans="5:12" x14ac:dyDescent="0.35">
      <c r="E1930" s="2"/>
      <c r="F1930" s="2">
        <f>_xlfn.XLOOKUP(D1930,TIPOS_CAMBIO!A:A,TIPOS_CAMBIO!B:B,"",0)</f>
        <v>0</v>
      </c>
      <c r="G1930" s="3">
        <f t="shared" si="60"/>
        <v>0</v>
      </c>
      <c r="H1930" s="3"/>
      <c r="I1930" s="3">
        <f ca="1">IFERROR(_xludf.XLOOKUP("Seguro",PARAMETROS_IMPORTACION!$A:$A,PARAMETROS_IMPORTACION!$C:$C,0),0)</f>
        <v>0</v>
      </c>
      <c r="J1930" s="3">
        <f ca="1">IFERROR(_xludf.XLOOKUP("Arancel",PARAMETROS_IMPORTACION!$A:$A,PARAMETROS_IMPORTACION!$C:$C,0),0)</f>
        <v>0</v>
      </c>
      <c r="K1930" s="2">
        <f ca="1">IFERROR(_xludf.XLOOKUP("Gastos_Aduana",PARAMETROS_IMPORTACION!$A:$A,PARAMETROS_IMPORTACION!$C:$C,0),0)</f>
        <v>0</v>
      </c>
      <c r="L1930" s="2">
        <f t="shared" si="61"/>
        <v>0</v>
      </c>
    </row>
    <row r="1931" spans="5:12" x14ac:dyDescent="0.35">
      <c r="E1931" s="2"/>
      <c r="F1931" s="2">
        <f>_xlfn.XLOOKUP(D1931,TIPOS_CAMBIO!A:A,TIPOS_CAMBIO!B:B,"",0)</f>
        <v>0</v>
      </c>
      <c r="G1931" s="3">
        <f t="shared" si="60"/>
        <v>0</v>
      </c>
      <c r="H1931" s="3"/>
      <c r="I1931" s="3">
        <f ca="1">IFERROR(_xludf.XLOOKUP("Seguro",PARAMETROS_IMPORTACION!$A:$A,PARAMETROS_IMPORTACION!$C:$C,0),0)</f>
        <v>0</v>
      </c>
      <c r="J1931" s="3">
        <f ca="1">IFERROR(_xludf.XLOOKUP("Arancel",PARAMETROS_IMPORTACION!$A:$A,PARAMETROS_IMPORTACION!$C:$C,0),0)</f>
        <v>0</v>
      </c>
      <c r="K1931" s="2">
        <f ca="1">IFERROR(_xludf.XLOOKUP("Gastos_Aduana",PARAMETROS_IMPORTACION!$A:$A,PARAMETROS_IMPORTACION!$C:$C,0),0)</f>
        <v>0</v>
      </c>
      <c r="L1931" s="2">
        <f t="shared" si="61"/>
        <v>0</v>
      </c>
    </row>
    <row r="1932" spans="5:12" x14ac:dyDescent="0.35">
      <c r="E1932" s="2"/>
      <c r="F1932" s="2">
        <f>_xlfn.XLOOKUP(D1932,TIPOS_CAMBIO!A:A,TIPOS_CAMBIO!B:B,"",0)</f>
        <v>0</v>
      </c>
      <c r="G1932" s="3">
        <f t="shared" si="60"/>
        <v>0</v>
      </c>
      <c r="H1932" s="3"/>
      <c r="I1932" s="3">
        <f ca="1">IFERROR(_xludf.XLOOKUP("Seguro",PARAMETROS_IMPORTACION!$A:$A,PARAMETROS_IMPORTACION!$C:$C,0),0)</f>
        <v>0</v>
      </c>
      <c r="J1932" s="3">
        <f ca="1">IFERROR(_xludf.XLOOKUP("Arancel",PARAMETROS_IMPORTACION!$A:$A,PARAMETROS_IMPORTACION!$C:$C,0),0)</f>
        <v>0</v>
      </c>
      <c r="K1932" s="2">
        <f ca="1">IFERROR(_xludf.XLOOKUP("Gastos_Aduana",PARAMETROS_IMPORTACION!$A:$A,PARAMETROS_IMPORTACION!$C:$C,0),0)</f>
        <v>0</v>
      </c>
      <c r="L1932" s="2">
        <f t="shared" si="61"/>
        <v>0</v>
      </c>
    </row>
    <row r="1933" spans="5:12" x14ac:dyDescent="0.35">
      <c r="E1933" s="2"/>
      <c r="F1933" s="2">
        <f>_xlfn.XLOOKUP(D1933,TIPOS_CAMBIO!A:A,TIPOS_CAMBIO!B:B,"",0)</f>
        <v>0</v>
      </c>
      <c r="G1933" s="3">
        <f t="shared" si="60"/>
        <v>0</v>
      </c>
      <c r="H1933" s="3"/>
      <c r="I1933" s="3">
        <f ca="1">IFERROR(_xludf.XLOOKUP("Seguro",PARAMETROS_IMPORTACION!$A:$A,PARAMETROS_IMPORTACION!$C:$C,0),0)</f>
        <v>0</v>
      </c>
      <c r="J1933" s="3">
        <f ca="1">IFERROR(_xludf.XLOOKUP("Arancel",PARAMETROS_IMPORTACION!$A:$A,PARAMETROS_IMPORTACION!$C:$C,0),0)</f>
        <v>0</v>
      </c>
      <c r="K1933" s="2">
        <f ca="1">IFERROR(_xludf.XLOOKUP("Gastos_Aduana",PARAMETROS_IMPORTACION!$A:$A,PARAMETROS_IMPORTACION!$C:$C,0),0)</f>
        <v>0</v>
      </c>
      <c r="L1933" s="2">
        <f t="shared" si="61"/>
        <v>0</v>
      </c>
    </row>
    <row r="1934" spans="5:12" x14ac:dyDescent="0.35">
      <c r="E1934" s="2"/>
      <c r="F1934" s="2">
        <f>_xlfn.XLOOKUP(D1934,TIPOS_CAMBIO!A:A,TIPOS_CAMBIO!B:B,"",0)</f>
        <v>0</v>
      </c>
      <c r="G1934" s="3">
        <f t="shared" si="60"/>
        <v>0</v>
      </c>
      <c r="H1934" s="3"/>
      <c r="I1934" s="3">
        <f ca="1">IFERROR(_xludf.XLOOKUP("Seguro",PARAMETROS_IMPORTACION!$A:$A,PARAMETROS_IMPORTACION!$C:$C,0),0)</f>
        <v>0</v>
      </c>
      <c r="J1934" s="3">
        <f ca="1">IFERROR(_xludf.XLOOKUP("Arancel",PARAMETROS_IMPORTACION!$A:$A,PARAMETROS_IMPORTACION!$C:$C,0),0)</f>
        <v>0</v>
      </c>
      <c r="K1934" s="2">
        <f ca="1">IFERROR(_xludf.XLOOKUP("Gastos_Aduana",PARAMETROS_IMPORTACION!$A:$A,PARAMETROS_IMPORTACION!$C:$C,0),0)</f>
        <v>0</v>
      </c>
      <c r="L1934" s="2">
        <f t="shared" si="61"/>
        <v>0</v>
      </c>
    </row>
    <row r="1935" spans="5:12" x14ac:dyDescent="0.35">
      <c r="E1935" s="2"/>
      <c r="F1935" s="2">
        <f>_xlfn.XLOOKUP(D1935,TIPOS_CAMBIO!A:A,TIPOS_CAMBIO!B:B,"",0)</f>
        <v>0</v>
      </c>
      <c r="G1935" s="3">
        <f t="shared" si="60"/>
        <v>0</v>
      </c>
      <c r="H1935" s="3"/>
      <c r="I1935" s="3">
        <f ca="1">IFERROR(_xludf.XLOOKUP("Seguro",PARAMETROS_IMPORTACION!$A:$A,PARAMETROS_IMPORTACION!$C:$C,0),0)</f>
        <v>0</v>
      </c>
      <c r="J1935" s="3">
        <f ca="1">IFERROR(_xludf.XLOOKUP("Arancel",PARAMETROS_IMPORTACION!$A:$A,PARAMETROS_IMPORTACION!$C:$C,0),0)</f>
        <v>0</v>
      </c>
      <c r="K1935" s="2">
        <f ca="1">IFERROR(_xludf.XLOOKUP("Gastos_Aduana",PARAMETROS_IMPORTACION!$A:$A,PARAMETROS_IMPORTACION!$C:$C,0),0)</f>
        <v>0</v>
      </c>
      <c r="L1935" s="2">
        <f t="shared" si="61"/>
        <v>0</v>
      </c>
    </row>
    <row r="1936" spans="5:12" x14ac:dyDescent="0.35">
      <c r="E1936" s="2"/>
      <c r="F1936" s="2">
        <f>_xlfn.XLOOKUP(D1936,TIPOS_CAMBIO!A:A,TIPOS_CAMBIO!B:B,"",0)</f>
        <v>0</v>
      </c>
      <c r="G1936" s="3">
        <f t="shared" si="60"/>
        <v>0</v>
      </c>
      <c r="H1936" s="3"/>
      <c r="I1936" s="3">
        <f ca="1">IFERROR(_xludf.XLOOKUP("Seguro",PARAMETROS_IMPORTACION!$A:$A,PARAMETROS_IMPORTACION!$C:$C,0),0)</f>
        <v>0</v>
      </c>
      <c r="J1936" s="3">
        <f ca="1">IFERROR(_xludf.XLOOKUP("Arancel",PARAMETROS_IMPORTACION!$A:$A,PARAMETROS_IMPORTACION!$C:$C,0),0)</f>
        <v>0</v>
      </c>
      <c r="K1936" s="2">
        <f ca="1">IFERROR(_xludf.XLOOKUP("Gastos_Aduana",PARAMETROS_IMPORTACION!$A:$A,PARAMETROS_IMPORTACION!$C:$C,0),0)</f>
        <v>0</v>
      </c>
      <c r="L1936" s="2">
        <f t="shared" si="61"/>
        <v>0</v>
      </c>
    </row>
    <row r="1937" spans="5:12" x14ac:dyDescent="0.35">
      <c r="E1937" s="2"/>
      <c r="F1937" s="2">
        <f>_xlfn.XLOOKUP(D1937,TIPOS_CAMBIO!A:A,TIPOS_CAMBIO!B:B,"",0)</f>
        <v>0</v>
      </c>
      <c r="G1937" s="3">
        <f t="shared" si="60"/>
        <v>0</v>
      </c>
      <c r="H1937" s="3"/>
      <c r="I1937" s="3">
        <f ca="1">IFERROR(_xludf.XLOOKUP("Seguro",PARAMETROS_IMPORTACION!$A:$A,PARAMETROS_IMPORTACION!$C:$C,0),0)</f>
        <v>0</v>
      </c>
      <c r="J1937" s="3">
        <f ca="1">IFERROR(_xludf.XLOOKUP("Arancel",PARAMETROS_IMPORTACION!$A:$A,PARAMETROS_IMPORTACION!$C:$C,0),0)</f>
        <v>0</v>
      </c>
      <c r="K1937" s="2">
        <f ca="1">IFERROR(_xludf.XLOOKUP("Gastos_Aduana",PARAMETROS_IMPORTACION!$A:$A,PARAMETROS_IMPORTACION!$C:$C,0),0)</f>
        <v>0</v>
      </c>
      <c r="L1937" s="2">
        <f t="shared" si="61"/>
        <v>0</v>
      </c>
    </row>
    <row r="1938" spans="5:12" x14ac:dyDescent="0.35">
      <c r="E1938" s="2"/>
      <c r="F1938" s="2">
        <f>_xlfn.XLOOKUP(D1938,TIPOS_CAMBIO!A:A,TIPOS_CAMBIO!B:B,"",0)</f>
        <v>0</v>
      </c>
      <c r="G1938" s="3">
        <f t="shared" si="60"/>
        <v>0</v>
      </c>
      <c r="H1938" s="3"/>
      <c r="I1938" s="3">
        <f ca="1">IFERROR(_xludf.XLOOKUP("Seguro",PARAMETROS_IMPORTACION!$A:$A,PARAMETROS_IMPORTACION!$C:$C,0),0)</f>
        <v>0</v>
      </c>
      <c r="J1938" s="3">
        <f ca="1">IFERROR(_xludf.XLOOKUP("Arancel",PARAMETROS_IMPORTACION!$A:$A,PARAMETROS_IMPORTACION!$C:$C,0),0)</f>
        <v>0</v>
      </c>
      <c r="K1938" s="2">
        <f ca="1">IFERROR(_xludf.XLOOKUP("Gastos_Aduana",PARAMETROS_IMPORTACION!$A:$A,PARAMETROS_IMPORTACION!$C:$C,0),0)</f>
        <v>0</v>
      </c>
      <c r="L1938" s="2">
        <f t="shared" si="61"/>
        <v>0</v>
      </c>
    </row>
    <row r="1939" spans="5:12" x14ac:dyDescent="0.35">
      <c r="E1939" s="2"/>
      <c r="F1939" s="2">
        <f>_xlfn.XLOOKUP(D1939,TIPOS_CAMBIO!A:A,TIPOS_CAMBIO!B:B,"",0)</f>
        <v>0</v>
      </c>
      <c r="G1939" s="3">
        <f t="shared" si="60"/>
        <v>0</v>
      </c>
      <c r="H1939" s="3"/>
      <c r="I1939" s="3">
        <f ca="1">IFERROR(_xludf.XLOOKUP("Seguro",PARAMETROS_IMPORTACION!$A:$A,PARAMETROS_IMPORTACION!$C:$C,0),0)</f>
        <v>0</v>
      </c>
      <c r="J1939" s="3">
        <f ca="1">IFERROR(_xludf.XLOOKUP("Arancel",PARAMETROS_IMPORTACION!$A:$A,PARAMETROS_IMPORTACION!$C:$C,0),0)</f>
        <v>0</v>
      </c>
      <c r="K1939" s="2">
        <f ca="1">IFERROR(_xludf.XLOOKUP("Gastos_Aduana",PARAMETROS_IMPORTACION!$A:$A,PARAMETROS_IMPORTACION!$C:$C,0),0)</f>
        <v>0</v>
      </c>
      <c r="L1939" s="2">
        <f t="shared" si="61"/>
        <v>0</v>
      </c>
    </row>
    <row r="1940" spans="5:12" x14ac:dyDescent="0.35">
      <c r="E1940" s="2"/>
      <c r="F1940" s="2">
        <f>_xlfn.XLOOKUP(D1940,TIPOS_CAMBIO!A:A,TIPOS_CAMBIO!B:B,"",0)</f>
        <v>0</v>
      </c>
      <c r="G1940" s="3">
        <f t="shared" si="60"/>
        <v>0</v>
      </c>
      <c r="H1940" s="3"/>
      <c r="I1940" s="3">
        <f ca="1">IFERROR(_xludf.XLOOKUP("Seguro",PARAMETROS_IMPORTACION!$A:$A,PARAMETROS_IMPORTACION!$C:$C,0),0)</f>
        <v>0</v>
      </c>
      <c r="J1940" s="3">
        <f ca="1">IFERROR(_xludf.XLOOKUP("Arancel",PARAMETROS_IMPORTACION!$A:$A,PARAMETROS_IMPORTACION!$C:$C,0),0)</f>
        <v>0</v>
      </c>
      <c r="K1940" s="2">
        <f ca="1">IFERROR(_xludf.XLOOKUP("Gastos_Aduana",PARAMETROS_IMPORTACION!$A:$A,PARAMETROS_IMPORTACION!$C:$C,0),0)</f>
        <v>0</v>
      </c>
      <c r="L1940" s="2">
        <f t="shared" si="61"/>
        <v>0</v>
      </c>
    </row>
    <row r="1941" spans="5:12" x14ac:dyDescent="0.35">
      <c r="E1941" s="2"/>
      <c r="F1941" s="2">
        <f>_xlfn.XLOOKUP(D1941,TIPOS_CAMBIO!A:A,TIPOS_CAMBIO!B:B,"",0)</f>
        <v>0</v>
      </c>
      <c r="G1941" s="3">
        <f t="shared" si="60"/>
        <v>0</v>
      </c>
      <c r="H1941" s="3"/>
      <c r="I1941" s="3">
        <f ca="1">IFERROR(_xludf.XLOOKUP("Seguro",PARAMETROS_IMPORTACION!$A:$A,PARAMETROS_IMPORTACION!$C:$C,0),0)</f>
        <v>0</v>
      </c>
      <c r="J1941" s="3">
        <f ca="1">IFERROR(_xludf.XLOOKUP("Arancel",PARAMETROS_IMPORTACION!$A:$A,PARAMETROS_IMPORTACION!$C:$C,0),0)</f>
        <v>0</v>
      </c>
      <c r="K1941" s="2">
        <f ca="1">IFERROR(_xludf.XLOOKUP("Gastos_Aduana",PARAMETROS_IMPORTACION!$A:$A,PARAMETROS_IMPORTACION!$C:$C,0),0)</f>
        <v>0</v>
      </c>
      <c r="L1941" s="2">
        <f t="shared" si="61"/>
        <v>0</v>
      </c>
    </row>
    <row r="1942" spans="5:12" x14ac:dyDescent="0.35">
      <c r="E1942" s="2"/>
      <c r="F1942" s="2">
        <f>_xlfn.XLOOKUP(D1942,TIPOS_CAMBIO!A:A,TIPOS_CAMBIO!B:B,"",0)</f>
        <v>0</v>
      </c>
      <c r="G1942" s="3">
        <f t="shared" si="60"/>
        <v>0</v>
      </c>
      <c r="H1942" s="3"/>
      <c r="I1942" s="3">
        <f ca="1">IFERROR(_xludf.XLOOKUP("Seguro",PARAMETROS_IMPORTACION!$A:$A,PARAMETROS_IMPORTACION!$C:$C,0),0)</f>
        <v>0</v>
      </c>
      <c r="J1942" s="3">
        <f ca="1">IFERROR(_xludf.XLOOKUP("Arancel",PARAMETROS_IMPORTACION!$A:$A,PARAMETROS_IMPORTACION!$C:$C,0),0)</f>
        <v>0</v>
      </c>
      <c r="K1942" s="2">
        <f ca="1">IFERROR(_xludf.XLOOKUP("Gastos_Aduana",PARAMETROS_IMPORTACION!$A:$A,PARAMETROS_IMPORTACION!$C:$C,0),0)</f>
        <v>0</v>
      </c>
      <c r="L1942" s="2">
        <f t="shared" si="61"/>
        <v>0</v>
      </c>
    </row>
    <row r="1943" spans="5:12" x14ac:dyDescent="0.35">
      <c r="E1943" s="2"/>
      <c r="F1943" s="2">
        <f>_xlfn.XLOOKUP(D1943,TIPOS_CAMBIO!A:A,TIPOS_CAMBIO!B:B,"",0)</f>
        <v>0</v>
      </c>
      <c r="G1943" s="3">
        <f t="shared" si="60"/>
        <v>0</v>
      </c>
      <c r="H1943" s="3"/>
      <c r="I1943" s="3">
        <f ca="1">IFERROR(_xludf.XLOOKUP("Seguro",PARAMETROS_IMPORTACION!$A:$A,PARAMETROS_IMPORTACION!$C:$C,0),0)</f>
        <v>0</v>
      </c>
      <c r="J1943" s="3">
        <f ca="1">IFERROR(_xludf.XLOOKUP("Arancel",PARAMETROS_IMPORTACION!$A:$A,PARAMETROS_IMPORTACION!$C:$C,0),0)</f>
        <v>0</v>
      </c>
      <c r="K1943" s="2">
        <f ca="1">IFERROR(_xludf.XLOOKUP("Gastos_Aduana",PARAMETROS_IMPORTACION!$A:$A,PARAMETROS_IMPORTACION!$C:$C,0),0)</f>
        <v>0</v>
      </c>
      <c r="L1943" s="2">
        <f t="shared" si="61"/>
        <v>0</v>
      </c>
    </row>
    <row r="1944" spans="5:12" x14ac:dyDescent="0.35">
      <c r="E1944" s="2"/>
      <c r="F1944" s="2">
        <f>_xlfn.XLOOKUP(D1944,TIPOS_CAMBIO!A:A,TIPOS_CAMBIO!B:B,"",0)</f>
        <v>0</v>
      </c>
      <c r="G1944" s="3">
        <f t="shared" si="60"/>
        <v>0</v>
      </c>
      <c r="H1944" s="3"/>
      <c r="I1944" s="3">
        <f ca="1">IFERROR(_xludf.XLOOKUP("Seguro",PARAMETROS_IMPORTACION!$A:$A,PARAMETROS_IMPORTACION!$C:$C,0),0)</f>
        <v>0</v>
      </c>
      <c r="J1944" s="3">
        <f ca="1">IFERROR(_xludf.XLOOKUP("Arancel",PARAMETROS_IMPORTACION!$A:$A,PARAMETROS_IMPORTACION!$C:$C,0),0)</f>
        <v>0</v>
      </c>
      <c r="K1944" s="2">
        <f ca="1">IFERROR(_xludf.XLOOKUP("Gastos_Aduana",PARAMETROS_IMPORTACION!$A:$A,PARAMETROS_IMPORTACION!$C:$C,0),0)</f>
        <v>0</v>
      </c>
      <c r="L1944" s="2">
        <f t="shared" si="61"/>
        <v>0</v>
      </c>
    </row>
    <row r="1945" spans="5:12" x14ac:dyDescent="0.35">
      <c r="E1945" s="2"/>
      <c r="F1945" s="2">
        <f>_xlfn.XLOOKUP(D1945,TIPOS_CAMBIO!A:A,TIPOS_CAMBIO!B:B,"",0)</f>
        <v>0</v>
      </c>
      <c r="G1945" s="3">
        <f t="shared" si="60"/>
        <v>0</v>
      </c>
      <c r="H1945" s="3"/>
      <c r="I1945" s="3">
        <f ca="1">IFERROR(_xludf.XLOOKUP("Seguro",PARAMETROS_IMPORTACION!$A:$A,PARAMETROS_IMPORTACION!$C:$C,0),0)</f>
        <v>0</v>
      </c>
      <c r="J1945" s="3">
        <f ca="1">IFERROR(_xludf.XLOOKUP("Arancel",PARAMETROS_IMPORTACION!$A:$A,PARAMETROS_IMPORTACION!$C:$C,0),0)</f>
        <v>0</v>
      </c>
      <c r="K1945" s="2">
        <f ca="1">IFERROR(_xludf.XLOOKUP("Gastos_Aduana",PARAMETROS_IMPORTACION!$A:$A,PARAMETROS_IMPORTACION!$C:$C,0),0)</f>
        <v>0</v>
      </c>
      <c r="L1945" s="2">
        <f t="shared" si="61"/>
        <v>0</v>
      </c>
    </row>
    <row r="1946" spans="5:12" x14ac:dyDescent="0.35">
      <c r="E1946" s="2"/>
      <c r="F1946" s="2">
        <f>_xlfn.XLOOKUP(D1946,TIPOS_CAMBIO!A:A,TIPOS_CAMBIO!B:B,"",0)</f>
        <v>0</v>
      </c>
      <c r="G1946" s="3">
        <f t="shared" si="60"/>
        <v>0</v>
      </c>
      <c r="H1946" s="3"/>
      <c r="I1946" s="3">
        <f ca="1">IFERROR(_xludf.XLOOKUP("Seguro",PARAMETROS_IMPORTACION!$A:$A,PARAMETROS_IMPORTACION!$C:$C,0),0)</f>
        <v>0</v>
      </c>
      <c r="J1946" s="3">
        <f ca="1">IFERROR(_xludf.XLOOKUP("Arancel",PARAMETROS_IMPORTACION!$A:$A,PARAMETROS_IMPORTACION!$C:$C,0),0)</f>
        <v>0</v>
      </c>
      <c r="K1946" s="2">
        <f ca="1">IFERROR(_xludf.XLOOKUP("Gastos_Aduana",PARAMETROS_IMPORTACION!$A:$A,PARAMETROS_IMPORTACION!$C:$C,0),0)</f>
        <v>0</v>
      </c>
      <c r="L1946" s="2">
        <f t="shared" si="61"/>
        <v>0</v>
      </c>
    </row>
    <row r="1947" spans="5:12" x14ac:dyDescent="0.35">
      <c r="E1947" s="2"/>
      <c r="F1947" s="2">
        <f>_xlfn.XLOOKUP(D1947,TIPOS_CAMBIO!A:A,TIPOS_CAMBIO!B:B,"",0)</f>
        <v>0</v>
      </c>
      <c r="G1947" s="3">
        <f t="shared" si="60"/>
        <v>0</v>
      </c>
      <c r="H1947" s="3"/>
      <c r="I1947" s="3">
        <f ca="1">IFERROR(_xludf.XLOOKUP("Seguro",PARAMETROS_IMPORTACION!$A:$A,PARAMETROS_IMPORTACION!$C:$C,0),0)</f>
        <v>0</v>
      </c>
      <c r="J1947" s="3">
        <f ca="1">IFERROR(_xludf.XLOOKUP("Arancel",PARAMETROS_IMPORTACION!$A:$A,PARAMETROS_IMPORTACION!$C:$C,0),0)</f>
        <v>0</v>
      </c>
      <c r="K1947" s="2">
        <f ca="1">IFERROR(_xludf.XLOOKUP("Gastos_Aduana",PARAMETROS_IMPORTACION!$A:$A,PARAMETROS_IMPORTACION!$C:$C,0),0)</f>
        <v>0</v>
      </c>
      <c r="L1947" s="2">
        <f t="shared" si="61"/>
        <v>0</v>
      </c>
    </row>
    <row r="1948" spans="5:12" x14ac:dyDescent="0.35">
      <c r="E1948" s="2"/>
      <c r="F1948" s="2">
        <f>_xlfn.XLOOKUP(D1948,TIPOS_CAMBIO!A:A,TIPOS_CAMBIO!B:B,"",0)</f>
        <v>0</v>
      </c>
      <c r="G1948" s="3">
        <f t="shared" si="60"/>
        <v>0</v>
      </c>
      <c r="H1948" s="3"/>
      <c r="I1948" s="3">
        <f ca="1">IFERROR(_xludf.XLOOKUP("Seguro",PARAMETROS_IMPORTACION!$A:$A,PARAMETROS_IMPORTACION!$C:$C,0),0)</f>
        <v>0</v>
      </c>
      <c r="J1948" s="3">
        <f ca="1">IFERROR(_xludf.XLOOKUP("Arancel",PARAMETROS_IMPORTACION!$A:$A,PARAMETROS_IMPORTACION!$C:$C,0),0)</f>
        <v>0</v>
      </c>
      <c r="K1948" s="2">
        <f ca="1">IFERROR(_xludf.XLOOKUP("Gastos_Aduana",PARAMETROS_IMPORTACION!$A:$A,PARAMETROS_IMPORTACION!$C:$C,0),0)</f>
        <v>0</v>
      </c>
      <c r="L1948" s="2">
        <f t="shared" si="61"/>
        <v>0</v>
      </c>
    </row>
    <row r="1949" spans="5:12" x14ac:dyDescent="0.35">
      <c r="E1949" s="2"/>
      <c r="F1949" s="2">
        <f>_xlfn.XLOOKUP(D1949,TIPOS_CAMBIO!A:A,TIPOS_CAMBIO!B:B,"",0)</f>
        <v>0</v>
      </c>
      <c r="G1949" s="3">
        <f t="shared" si="60"/>
        <v>0</v>
      </c>
      <c r="H1949" s="3"/>
      <c r="I1949" s="3">
        <f ca="1">IFERROR(_xludf.XLOOKUP("Seguro",PARAMETROS_IMPORTACION!$A:$A,PARAMETROS_IMPORTACION!$C:$C,0),0)</f>
        <v>0</v>
      </c>
      <c r="J1949" s="3">
        <f ca="1">IFERROR(_xludf.XLOOKUP("Arancel",PARAMETROS_IMPORTACION!$A:$A,PARAMETROS_IMPORTACION!$C:$C,0),0)</f>
        <v>0</v>
      </c>
      <c r="K1949" s="2">
        <f ca="1">IFERROR(_xludf.XLOOKUP("Gastos_Aduana",PARAMETROS_IMPORTACION!$A:$A,PARAMETROS_IMPORTACION!$C:$C,0),0)</f>
        <v>0</v>
      </c>
      <c r="L1949" s="2">
        <f t="shared" si="61"/>
        <v>0</v>
      </c>
    </row>
    <row r="1950" spans="5:12" x14ac:dyDescent="0.35">
      <c r="E1950" s="2"/>
      <c r="F1950" s="2">
        <f>_xlfn.XLOOKUP(D1950,TIPOS_CAMBIO!A:A,TIPOS_CAMBIO!B:B,"",0)</f>
        <v>0</v>
      </c>
      <c r="G1950" s="3">
        <f t="shared" si="60"/>
        <v>0</v>
      </c>
      <c r="H1950" s="3"/>
      <c r="I1950" s="3">
        <f ca="1">IFERROR(_xludf.XLOOKUP("Seguro",PARAMETROS_IMPORTACION!$A:$A,PARAMETROS_IMPORTACION!$C:$C,0),0)</f>
        <v>0</v>
      </c>
      <c r="J1950" s="3">
        <f ca="1">IFERROR(_xludf.XLOOKUP("Arancel",PARAMETROS_IMPORTACION!$A:$A,PARAMETROS_IMPORTACION!$C:$C,0),0)</f>
        <v>0</v>
      </c>
      <c r="K1950" s="2">
        <f ca="1">IFERROR(_xludf.XLOOKUP("Gastos_Aduana",PARAMETROS_IMPORTACION!$A:$A,PARAMETROS_IMPORTACION!$C:$C,0),0)</f>
        <v>0</v>
      </c>
      <c r="L1950" s="2">
        <f t="shared" si="61"/>
        <v>0</v>
      </c>
    </row>
    <row r="1951" spans="5:12" x14ac:dyDescent="0.35">
      <c r="E1951" s="2"/>
      <c r="F1951" s="2">
        <f>_xlfn.XLOOKUP(D1951,TIPOS_CAMBIO!A:A,TIPOS_CAMBIO!B:B,"",0)</f>
        <v>0</v>
      </c>
      <c r="G1951" s="3">
        <f t="shared" si="60"/>
        <v>0</v>
      </c>
      <c r="H1951" s="3"/>
      <c r="I1951" s="3">
        <f ca="1">IFERROR(_xludf.XLOOKUP("Seguro",PARAMETROS_IMPORTACION!$A:$A,PARAMETROS_IMPORTACION!$C:$C,0),0)</f>
        <v>0</v>
      </c>
      <c r="J1951" s="3">
        <f ca="1">IFERROR(_xludf.XLOOKUP("Arancel",PARAMETROS_IMPORTACION!$A:$A,PARAMETROS_IMPORTACION!$C:$C,0),0)</f>
        <v>0</v>
      </c>
      <c r="K1951" s="2">
        <f ca="1">IFERROR(_xludf.XLOOKUP("Gastos_Aduana",PARAMETROS_IMPORTACION!$A:$A,PARAMETROS_IMPORTACION!$C:$C,0),0)</f>
        <v>0</v>
      </c>
      <c r="L1951" s="2">
        <f t="shared" si="61"/>
        <v>0</v>
      </c>
    </row>
    <row r="1952" spans="5:12" x14ac:dyDescent="0.35">
      <c r="E1952" s="2"/>
      <c r="F1952" s="2">
        <f>_xlfn.XLOOKUP(D1952,TIPOS_CAMBIO!A:A,TIPOS_CAMBIO!B:B,"",0)</f>
        <v>0</v>
      </c>
      <c r="G1952" s="3">
        <f t="shared" si="60"/>
        <v>0</v>
      </c>
      <c r="H1952" s="3"/>
      <c r="I1952" s="3">
        <f ca="1">IFERROR(_xludf.XLOOKUP("Seguro",PARAMETROS_IMPORTACION!$A:$A,PARAMETROS_IMPORTACION!$C:$C,0),0)</f>
        <v>0</v>
      </c>
      <c r="J1952" s="3">
        <f ca="1">IFERROR(_xludf.XLOOKUP("Arancel",PARAMETROS_IMPORTACION!$A:$A,PARAMETROS_IMPORTACION!$C:$C,0),0)</f>
        <v>0</v>
      </c>
      <c r="K1952" s="2">
        <f ca="1">IFERROR(_xludf.XLOOKUP("Gastos_Aduana",PARAMETROS_IMPORTACION!$A:$A,PARAMETROS_IMPORTACION!$C:$C,0),0)</f>
        <v>0</v>
      </c>
      <c r="L1952" s="2">
        <f t="shared" si="61"/>
        <v>0</v>
      </c>
    </row>
    <row r="1953" spans="5:12" x14ac:dyDescent="0.35">
      <c r="E1953" s="2"/>
      <c r="F1953" s="2">
        <f>_xlfn.XLOOKUP(D1953,TIPOS_CAMBIO!A:A,TIPOS_CAMBIO!B:B,"",0)</f>
        <v>0</v>
      </c>
      <c r="G1953" s="3">
        <f t="shared" si="60"/>
        <v>0</v>
      </c>
      <c r="H1953" s="3"/>
      <c r="I1953" s="3">
        <f ca="1">IFERROR(_xludf.XLOOKUP("Seguro",PARAMETROS_IMPORTACION!$A:$A,PARAMETROS_IMPORTACION!$C:$C,0),0)</f>
        <v>0</v>
      </c>
      <c r="J1953" s="3">
        <f ca="1">IFERROR(_xludf.XLOOKUP("Arancel",PARAMETROS_IMPORTACION!$A:$A,PARAMETROS_IMPORTACION!$C:$C,0),0)</f>
        <v>0</v>
      </c>
      <c r="K1953" s="2">
        <f ca="1">IFERROR(_xludf.XLOOKUP("Gastos_Aduana",PARAMETROS_IMPORTACION!$A:$A,PARAMETROS_IMPORTACION!$C:$C,0),0)</f>
        <v>0</v>
      </c>
      <c r="L1953" s="2">
        <f t="shared" si="61"/>
        <v>0</v>
      </c>
    </row>
    <row r="1954" spans="5:12" x14ac:dyDescent="0.35">
      <c r="E1954" s="2"/>
      <c r="F1954" s="2">
        <f>_xlfn.XLOOKUP(D1954,TIPOS_CAMBIO!A:A,TIPOS_CAMBIO!B:B,"",0)</f>
        <v>0</v>
      </c>
      <c r="G1954" s="3">
        <f t="shared" si="60"/>
        <v>0</v>
      </c>
      <c r="H1954" s="3"/>
      <c r="I1954" s="3">
        <f ca="1">IFERROR(_xludf.XLOOKUP("Seguro",PARAMETROS_IMPORTACION!$A:$A,PARAMETROS_IMPORTACION!$C:$C,0),0)</f>
        <v>0</v>
      </c>
      <c r="J1954" s="3">
        <f ca="1">IFERROR(_xludf.XLOOKUP("Arancel",PARAMETROS_IMPORTACION!$A:$A,PARAMETROS_IMPORTACION!$C:$C,0),0)</f>
        <v>0</v>
      </c>
      <c r="K1954" s="2">
        <f ca="1">IFERROR(_xludf.XLOOKUP("Gastos_Aduana",PARAMETROS_IMPORTACION!$A:$A,PARAMETROS_IMPORTACION!$C:$C,0),0)</f>
        <v>0</v>
      </c>
      <c r="L1954" s="2">
        <f t="shared" si="61"/>
        <v>0</v>
      </c>
    </row>
    <row r="1955" spans="5:12" x14ac:dyDescent="0.35">
      <c r="E1955" s="2"/>
      <c r="F1955" s="2">
        <f>_xlfn.XLOOKUP(D1955,TIPOS_CAMBIO!A:A,TIPOS_CAMBIO!B:B,"",0)</f>
        <v>0</v>
      </c>
      <c r="G1955" s="3">
        <f t="shared" si="60"/>
        <v>0</v>
      </c>
      <c r="H1955" s="3"/>
      <c r="I1955" s="3">
        <f ca="1">IFERROR(_xludf.XLOOKUP("Seguro",PARAMETROS_IMPORTACION!$A:$A,PARAMETROS_IMPORTACION!$C:$C,0),0)</f>
        <v>0</v>
      </c>
      <c r="J1955" s="3">
        <f ca="1">IFERROR(_xludf.XLOOKUP("Arancel",PARAMETROS_IMPORTACION!$A:$A,PARAMETROS_IMPORTACION!$C:$C,0),0)</f>
        <v>0</v>
      </c>
      <c r="K1955" s="2">
        <f ca="1">IFERROR(_xludf.XLOOKUP("Gastos_Aduana",PARAMETROS_IMPORTACION!$A:$A,PARAMETROS_IMPORTACION!$C:$C,0),0)</f>
        <v>0</v>
      </c>
      <c r="L1955" s="2">
        <f t="shared" si="61"/>
        <v>0</v>
      </c>
    </row>
    <row r="1956" spans="5:12" x14ac:dyDescent="0.35">
      <c r="E1956" s="2"/>
      <c r="F1956" s="2">
        <f>_xlfn.XLOOKUP(D1956,TIPOS_CAMBIO!A:A,TIPOS_CAMBIO!B:B,"",0)</f>
        <v>0</v>
      </c>
      <c r="G1956" s="3">
        <f t="shared" si="60"/>
        <v>0</v>
      </c>
      <c r="H1956" s="3"/>
      <c r="I1956" s="3">
        <f ca="1">IFERROR(_xludf.XLOOKUP("Seguro",PARAMETROS_IMPORTACION!$A:$A,PARAMETROS_IMPORTACION!$C:$C,0),0)</f>
        <v>0</v>
      </c>
      <c r="J1956" s="3">
        <f ca="1">IFERROR(_xludf.XLOOKUP("Arancel",PARAMETROS_IMPORTACION!$A:$A,PARAMETROS_IMPORTACION!$C:$C,0),0)</f>
        <v>0</v>
      </c>
      <c r="K1956" s="2">
        <f ca="1">IFERROR(_xludf.XLOOKUP("Gastos_Aduana",PARAMETROS_IMPORTACION!$A:$A,PARAMETROS_IMPORTACION!$C:$C,0),0)</f>
        <v>0</v>
      </c>
      <c r="L1956" s="2">
        <f t="shared" si="61"/>
        <v>0</v>
      </c>
    </row>
    <row r="1957" spans="5:12" x14ac:dyDescent="0.35">
      <c r="E1957" s="2"/>
      <c r="F1957" s="2">
        <f>_xlfn.XLOOKUP(D1957,TIPOS_CAMBIO!A:A,TIPOS_CAMBIO!B:B,"",0)</f>
        <v>0</v>
      </c>
      <c r="G1957" s="3">
        <f t="shared" si="60"/>
        <v>0</v>
      </c>
      <c r="H1957" s="3"/>
      <c r="I1957" s="3">
        <f ca="1">IFERROR(_xludf.XLOOKUP("Seguro",PARAMETROS_IMPORTACION!$A:$A,PARAMETROS_IMPORTACION!$C:$C,0),0)</f>
        <v>0</v>
      </c>
      <c r="J1957" s="3">
        <f ca="1">IFERROR(_xludf.XLOOKUP("Arancel",PARAMETROS_IMPORTACION!$A:$A,PARAMETROS_IMPORTACION!$C:$C,0),0)</f>
        <v>0</v>
      </c>
      <c r="K1957" s="2">
        <f ca="1">IFERROR(_xludf.XLOOKUP("Gastos_Aduana",PARAMETROS_IMPORTACION!$A:$A,PARAMETROS_IMPORTACION!$C:$C,0),0)</f>
        <v>0</v>
      </c>
      <c r="L1957" s="2">
        <f t="shared" si="61"/>
        <v>0</v>
      </c>
    </row>
    <row r="1958" spans="5:12" x14ac:dyDescent="0.35">
      <c r="E1958" s="2"/>
      <c r="F1958" s="2">
        <f>_xlfn.XLOOKUP(D1958,TIPOS_CAMBIO!A:A,TIPOS_CAMBIO!B:B,"",0)</f>
        <v>0</v>
      </c>
      <c r="G1958" s="3">
        <f t="shared" si="60"/>
        <v>0</v>
      </c>
      <c r="H1958" s="3"/>
      <c r="I1958" s="3">
        <f ca="1">IFERROR(_xludf.XLOOKUP("Seguro",PARAMETROS_IMPORTACION!$A:$A,PARAMETROS_IMPORTACION!$C:$C,0),0)</f>
        <v>0</v>
      </c>
      <c r="J1958" s="3">
        <f ca="1">IFERROR(_xludf.XLOOKUP("Arancel",PARAMETROS_IMPORTACION!$A:$A,PARAMETROS_IMPORTACION!$C:$C,0),0)</f>
        <v>0</v>
      </c>
      <c r="K1958" s="2">
        <f ca="1">IFERROR(_xludf.XLOOKUP("Gastos_Aduana",PARAMETROS_IMPORTACION!$A:$A,PARAMETROS_IMPORTACION!$C:$C,0),0)</f>
        <v>0</v>
      </c>
      <c r="L1958" s="2">
        <f t="shared" si="61"/>
        <v>0</v>
      </c>
    </row>
    <row r="1959" spans="5:12" x14ac:dyDescent="0.35">
      <c r="E1959" s="2"/>
      <c r="F1959" s="2">
        <f>_xlfn.XLOOKUP(D1959,TIPOS_CAMBIO!A:A,TIPOS_CAMBIO!B:B,"",0)</f>
        <v>0</v>
      </c>
      <c r="G1959" s="3">
        <f t="shared" si="60"/>
        <v>0</v>
      </c>
      <c r="H1959" s="3"/>
      <c r="I1959" s="3">
        <f ca="1">IFERROR(_xludf.XLOOKUP("Seguro",PARAMETROS_IMPORTACION!$A:$A,PARAMETROS_IMPORTACION!$C:$C,0),0)</f>
        <v>0</v>
      </c>
      <c r="J1959" s="3">
        <f ca="1">IFERROR(_xludf.XLOOKUP("Arancel",PARAMETROS_IMPORTACION!$A:$A,PARAMETROS_IMPORTACION!$C:$C,0),0)</f>
        <v>0</v>
      </c>
      <c r="K1959" s="2">
        <f ca="1">IFERROR(_xludf.XLOOKUP("Gastos_Aduana",PARAMETROS_IMPORTACION!$A:$A,PARAMETROS_IMPORTACION!$C:$C,0),0)</f>
        <v>0</v>
      </c>
      <c r="L1959" s="2">
        <f t="shared" si="61"/>
        <v>0</v>
      </c>
    </row>
    <row r="1960" spans="5:12" x14ac:dyDescent="0.35">
      <c r="E1960" s="2"/>
      <c r="F1960" s="2">
        <f>_xlfn.XLOOKUP(D1960,TIPOS_CAMBIO!A:A,TIPOS_CAMBIO!B:B,"",0)</f>
        <v>0</v>
      </c>
      <c r="G1960" s="3">
        <f t="shared" si="60"/>
        <v>0</v>
      </c>
      <c r="H1960" s="3"/>
      <c r="I1960" s="3">
        <f ca="1">IFERROR(_xludf.XLOOKUP("Seguro",PARAMETROS_IMPORTACION!$A:$A,PARAMETROS_IMPORTACION!$C:$C,0),0)</f>
        <v>0</v>
      </c>
      <c r="J1960" s="3">
        <f ca="1">IFERROR(_xludf.XLOOKUP("Arancel",PARAMETROS_IMPORTACION!$A:$A,PARAMETROS_IMPORTACION!$C:$C,0),0)</f>
        <v>0</v>
      </c>
      <c r="K1960" s="2">
        <f ca="1">IFERROR(_xludf.XLOOKUP("Gastos_Aduana",PARAMETROS_IMPORTACION!$A:$A,PARAMETROS_IMPORTACION!$C:$C,0),0)</f>
        <v>0</v>
      </c>
      <c r="L1960" s="2">
        <f t="shared" si="61"/>
        <v>0</v>
      </c>
    </row>
    <row r="1961" spans="5:12" x14ac:dyDescent="0.35">
      <c r="E1961" s="2"/>
      <c r="F1961" s="2">
        <f>_xlfn.XLOOKUP(D1961,TIPOS_CAMBIO!A:A,TIPOS_CAMBIO!B:B,"",0)</f>
        <v>0</v>
      </c>
      <c r="G1961" s="3">
        <f t="shared" si="60"/>
        <v>0</v>
      </c>
      <c r="H1961" s="3"/>
      <c r="I1961" s="3">
        <f ca="1">IFERROR(_xludf.XLOOKUP("Seguro",PARAMETROS_IMPORTACION!$A:$A,PARAMETROS_IMPORTACION!$C:$C,0),0)</f>
        <v>0</v>
      </c>
      <c r="J1961" s="3">
        <f ca="1">IFERROR(_xludf.XLOOKUP("Arancel",PARAMETROS_IMPORTACION!$A:$A,PARAMETROS_IMPORTACION!$C:$C,0),0)</f>
        <v>0</v>
      </c>
      <c r="K1961" s="2">
        <f ca="1">IFERROR(_xludf.XLOOKUP("Gastos_Aduana",PARAMETROS_IMPORTACION!$A:$A,PARAMETROS_IMPORTACION!$C:$C,0),0)</f>
        <v>0</v>
      </c>
      <c r="L1961" s="2">
        <f t="shared" si="61"/>
        <v>0</v>
      </c>
    </row>
    <row r="1962" spans="5:12" x14ac:dyDescent="0.35">
      <c r="E1962" s="2"/>
      <c r="F1962" s="2">
        <f>_xlfn.XLOOKUP(D1962,TIPOS_CAMBIO!A:A,TIPOS_CAMBIO!B:B,"",0)</f>
        <v>0</v>
      </c>
      <c r="G1962" s="3">
        <f t="shared" si="60"/>
        <v>0</v>
      </c>
      <c r="H1962" s="3"/>
      <c r="I1962" s="3">
        <f ca="1">IFERROR(_xludf.XLOOKUP("Seguro",PARAMETROS_IMPORTACION!$A:$A,PARAMETROS_IMPORTACION!$C:$C,0),0)</f>
        <v>0</v>
      </c>
      <c r="J1962" s="3">
        <f ca="1">IFERROR(_xludf.XLOOKUP("Arancel",PARAMETROS_IMPORTACION!$A:$A,PARAMETROS_IMPORTACION!$C:$C,0),0)</f>
        <v>0</v>
      </c>
      <c r="K1962" s="2">
        <f ca="1">IFERROR(_xludf.XLOOKUP("Gastos_Aduana",PARAMETROS_IMPORTACION!$A:$A,PARAMETROS_IMPORTACION!$C:$C,0),0)</f>
        <v>0</v>
      </c>
      <c r="L1962" s="2">
        <f t="shared" si="61"/>
        <v>0</v>
      </c>
    </row>
    <row r="1963" spans="5:12" x14ac:dyDescent="0.35">
      <c r="E1963" s="2"/>
      <c r="F1963" s="2">
        <f>_xlfn.XLOOKUP(D1963,TIPOS_CAMBIO!A:A,TIPOS_CAMBIO!B:B,"",0)</f>
        <v>0</v>
      </c>
      <c r="G1963" s="3">
        <f t="shared" si="60"/>
        <v>0</v>
      </c>
      <c r="H1963" s="3"/>
      <c r="I1963" s="3">
        <f ca="1">IFERROR(_xludf.XLOOKUP("Seguro",PARAMETROS_IMPORTACION!$A:$A,PARAMETROS_IMPORTACION!$C:$C,0),0)</f>
        <v>0</v>
      </c>
      <c r="J1963" s="3">
        <f ca="1">IFERROR(_xludf.XLOOKUP("Arancel",PARAMETROS_IMPORTACION!$A:$A,PARAMETROS_IMPORTACION!$C:$C,0),0)</f>
        <v>0</v>
      </c>
      <c r="K1963" s="2">
        <f ca="1">IFERROR(_xludf.XLOOKUP("Gastos_Aduana",PARAMETROS_IMPORTACION!$A:$A,PARAMETROS_IMPORTACION!$C:$C,0),0)</f>
        <v>0</v>
      </c>
      <c r="L1963" s="2">
        <f t="shared" si="61"/>
        <v>0</v>
      </c>
    </row>
    <row r="1964" spans="5:12" x14ac:dyDescent="0.35">
      <c r="E1964" s="2"/>
      <c r="F1964" s="2">
        <f>_xlfn.XLOOKUP(D1964,TIPOS_CAMBIO!A:A,TIPOS_CAMBIO!B:B,"",0)</f>
        <v>0</v>
      </c>
      <c r="G1964" s="3">
        <f t="shared" si="60"/>
        <v>0</v>
      </c>
      <c r="H1964" s="3"/>
      <c r="I1964" s="3">
        <f ca="1">IFERROR(_xludf.XLOOKUP("Seguro",PARAMETROS_IMPORTACION!$A:$A,PARAMETROS_IMPORTACION!$C:$C,0),0)</f>
        <v>0</v>
      </c>
      <c r="J1964" s="3">
        <f ca="1">IFERROR(_xludf.XLOOKUP("Arancel",PARAMETROS_IMPORTACION!$A:$A,PARAMETROS_IMPORTACION!$C:$C,0),0)</f>
        <v>0</v>
      </c>
      <c r="K1964" s="2">
        <f ca="1">IFERROR(_xludf.XLOOKUP("Gastos_Aduana",PARAMETROS_IMPORTACION!$A:$A,PARAMETROS_IMPORTACION!$C:$C,0),0)</f>
        <v>0</v>
      </c>
      <c r="L1964" s="2">
        <f t="shared" si="61"/>
        <v>0</v>
      </c>
    </row>
    <row r="1965" spans="5:12" x14ac:dyDescent="0.35">
      <c r="E1965" s="2"/>
      <c r="F1965" s="2">
        <f>_xlfn.XLOOKUP(D1965,TIPOS_CAMBIO!A:A,TIPOS_CAMBIO!B:B,"",0)</f>
        <v>0</v>
      </c>
      <c r="G1965" s="3">
        <f t="shared" si="60"/>
        <v>0</v>
      </c>
      <c r="H1965" s="3"/>
      <c r="I1965" s="3">
        <f ca="1">IFERROR(_xludf.XLOOKUP("Seguro",PARAMETROS_IMPORTACION!$A:$A,PARAMETROS_IMPORTACION!$C:$C,0),0)</f>
        <v>0</v>
      </c>
      <c r="J1965" s="3">
        <f ca="1">IFERROR(_xludf.XLOOKUP("Arancel",PARAMETROS_IMPORTACION!$A:$A,PARAMETROS_IMPORTACION!$C:$C,0),0)</f>
        <v>0</v>
      </c>
      <c r="K1965" s="2">
        <f ca="1">IFERROR(_xludf.XLOOKUP("Gastos_Aduana",PARAMETROS_IMPORTACION!$A:$A,PARAMETROS_IMPORTACION!$C:$C,0),0)</f>
        <v>0</v>
      </c>
      <c r="L1965" s="2">
        <f t="shared" si="61"/>
        <v>0</v>
      </c>
    </row>
    <row r="1966" spans="5:12" x14ac:dyDescent="0.35">
      <c r="E1966" s="2"/>
      <c r="F1966" s="2">
        <f>_xlfn.XLOOKUP(D1966,TIPOS_CAMBIO!A:A,TIPOS_CAMBIO!B:B,"",0)</f>
        <v>0</v>
      </c>
      <c r="G1966" s="3">
        <f t="shared" si="60"/>
        <v>0</v>
      </c>
      <c r="H1966" s="3"/>
      <c r="I1966" s="3">
        <f ca="1">IFERROR(_xludf.XLOOKUP("Seguro",PARAMETROS_IMPORTACION!$A:$A,PARAMETROS_IMPORTACION!$C:$C,0),0)</f>
        <v>0</v>
      </c>
      <c r="J1966" s="3">
        <f ca="1">IFERROR(_xludf.XLOOKUP("Arancel",PARAMETROS_IMPORTACION!$A:$A,PARAMETROS_IMPORTACION!$C:$C,0),0)</f>
        <v>0</v>
      </c>
      <c r="K1966" s="2">
        <f ca="1">IFERROR(_xludf.XLOOKUP("Gastos_Aduana",PARAMETROS_IMPORTACION!$A:$A,PARAMETROS_IMPORTACION!$C:$C,0),0)</f>
        <v>0</v>
      </c>
      <c r="L1966" s="2">
        <f t="shared" si="61"/>
        <v>0</v>
      </c>
    </row>
    <row r="1967" spans="5:12" x14ac:dyDescent="0.35">
      <c r="E1967" s="2"/>
      <c r="F1967" s="2">
        <f>_xlfn.XLOOKUP(D1967,TIPOS_CAMBIO!A:A,TIPOS_CAMBIO!B:B,"",0)</f>
        <v>0</v>
      </c>
      <c r="G1967" s="3">
        <f t="shared" si="60"/>
        <v>0</v>
      </c>
      <c r="H1967" s="3"/>
      <c r="I1967" s="3">
        <f ca="1">IFERROR(_xludf.XLOOKUP("Seguro",PARAMETROS_IMPORTACION!$A:$A,PARAMETROS_IMPORTACION!$C:$C,0),0)</f>
        <v>0</v>
      </c>
      <c r="J1967" s="3">
        <f ca="1">IFERROR(_xludf.XLOOKUP("Arancel",PARAMETROS_IMPORTACION!$A:$A,PARAMETROS_IMPORTACION!$C:$C,0),0)</f>
        <v>0</v>
      </c>
      <c r="K1967" s="2">
        <f ca="1">IFERROR(_xludf.XLOOKUP("Gastos_Aduana",PARAMETROS_IMPORTACION!$A:$A,PARAMETROS_IMPORTACION!$C:$C,0),0)</f>
        <v>0</v>
      </c>
      <c r="L1967" s="2">
        <f t="shared" si="61"/>
        <v>0</v>
      </c>
    </row>
    <row r="1968" spans="5:12" x14ac:dyDescent="0.35">
      <c r="E1968" s="2"/>
      <c r="F1968" s="2">
        <f>_xlfn.XLOOKUP(D1968,TIPOS_CAMBIO!A:A,TIPOS_CAMBIO!B:B,"",0)</f>
        <v>0</v>
      </c>
      <c r="G1968" s="3">
        <f t="shared" si="60"/>
        <v>0</v>
      </c>
      <c r="H1968" s="3"/>
      <c r="I1968" s="3">
        <f ca="1">IFERROR(_xludf.XLOOKUP("Seguro",PARAMETROS_IMPORTACION!$A:$A,PARAMETROS_IMPORTACION!$C:$C,0),0)</f>
        <v>0</v>
      </c>
      <c r="J1968" s="3">
        <f ca="1">IFERROR(_xludf.XLOOKUP("Arancel",PARAMETROS_IMPORTACION!$A:$A,PARAMETROS_IMPORTACION!$C:$C,0),0)</f>
        <v>0</v>
      </c>
      <c r="K1968" s="2">
        <f ca="1">IFERROR(_xludf.XLOOKUP("Gastos_Aduana",PARAMETROS_IMPORTACION!$A:$A,PARAMETROS_IMPORTACION!$C:$C,0),0)</f>
        <v>0</v>
      </c>
      <c r="L1968" s="2">
        <f t="shared" si="61"/>
        <v>0</v>
      </c>
    </row>
    <row r="1969" spans="5:12" x14ac:dyDescent="0.35">
      <c r="E1969" s="2"/>
      <c r="F1969" s="2">
        <f>_xlfn.XLOOKUP(D1969,TIPOS_CAMBIO!A:A,TIPOS_CAMBIO!B:B,"",0)</f>
        <v>0</v>
      </c>
      <c r="G1969" s="3">
        <f t="shared" si="60"/>
        <v>0</v>
      </c>
      <c r="H1969" s="3"/>
      <c r="I1969" s="3">
        <f ca="1">IFERROR(_xludf.XLOOKUP("Seguro",PARAMETROS_IMPORTACION!$A:$A,PARAMETROS_IMPORTACION!$C:$C,0),0)</f>
        <v>0</v>
      </c>
      <c r="J1969" s="3">
        <f ca="1">IFERROR(_xludf.XLOOKUP("Arancel",PARAMETROS_IMPORTACION!$A:$A,PARAMETROS_IMPORTACION!$C:$C,0),0)</f>
        <v>0</v>
      </c>
      <c r="K1969" s="2">
        <f ca="1">IFERROR(_xludf.XLOOKUP("Gastos_Aduana",PARAMETROS_IMPORTACION!$A:$A,PARAMETROS_IMPORTACION!$C:$C,0),0)</f>
        <v>0</v>
      </c>
      <c r="L1969" s="2">
        <f t="shared" si="61"/>
        <v>0</v>
      </c>
    </row>
    <row r="1970" spans="5:12" x14ac:dyDescent="0.35">
      <c r="E1970" s="2"/>
      <c r="F1970" s="2">
        <f>_xlfn.XLOOKUP(D1970,TIPOS_CAMBIO!A:A,TIPOS_CAMBIO!B:B,"",0)</f>
        <v>0</v>
      </c>
      <c r="G1970" s="3">
        <f t="shared" si="60"/>
        <v>0</v>
      </c>
      <c r="H1970" s="3"/>
      <c r="I1970" s="3">
        <f ca="1">IFERROR(_xludf.XLOOKUP("Seguro",PARAMETROS_IMPORTACION!$A:$A,PARAMETROS_IMPORTACION!$C:$C,0),0)</f>
        <v>0</v>
      </c>
      <c r="J1970" s="3">
        <f ca="1">IFERROR(_xludf.XLOOKUP("Arancel",PARAMETROS_IMPORTACION!$A:$A,PARAMETROS_IMPORTACION!$C:$C,0),0)</f>
        <v>0</v>
      </c>
      <c r="K1970" s="2">
        <f ca="1">IFERROR(_xludf.XLOOKUP("Gastos_Aduana",PARAMETROS_IMPORTACION!$A:$A,PARAMETROS_IMPORTACION!$C:$C,0),0)</f>
        <v>0</v>
      </c>
      <c r="L1970" s="2">
        <f t="shared" si="61"/>
        <v>0</v>
      </c>
    </row>
    <row r="1971" spans="5:12" x14ac:dyDescent="0.35">
      <c r="E1971" s="2"/>
      <c r="F1971" s="2">
        <f>_xlfn.XLOOKUP(D1971,TIPOS_CAMBIO!A:A,TIPOS_CAMBIO!B:B,"",0)</f>
        <v>0</v>
      </c>
      <c r="G1971" s="3">
        <f t="shared" si="60"/>
        <v>0</v>
      </c>
      <c r="H1971" s="3"/>
      <c r="I1971" s="3">
        <f ca="1">IFERROR(_xludf.XLOOKUP("Seguro",PARAMETROS_IMPORTACION!$A:$A,PARAMETROS_IMPORTACION!$C:$C,0),0)</f>
        <v>0</v>
      </c>
      <c r="J1971" s="3">
        <f ca="1">IFERROR(_xludf.XLOOKUP("Arancel",PARAMETROS_IMPORTACION!$A:$A,PARAMETROS_IMPORTACION!$C:$C,0),0)</f>
        <v>0</v>
      </c>
      <c r="K1971" s="2">
        <f ca="1">IFERROR(_xludf.XLOOKUP("Gastos_Aduana",PARAMETROS_IMPORTACION!$A:$A,PARAMETROS_IMPORTACION!$C:$C,0),0)</f>
        <v>0</v>
      </c>
      <c r="L1971" s="2">
        <f t="shared" si="61"/>
        <v>0</v>
      </c>
    </row>
    <row r="1972" spans="5:12" x14ac:dyDescent="0.35">
      <c r="E1972" s="2"/>
      <c r="F1972" s="2">
        <f>_xlfn.XLOOKUP(D1972,TIPOS_CAMBIO!A:A,TIPOS_CAMBIO!B:B,"",0)</f>
        <v>0</v>
      </c>
      <c r="G1972" s="3">
        <f t="shared" si="60"/>
        <v>0</v>
      </c>
      <c r="H1972" s="3"/>
      <c r="I1972" s="3">
        <f ca="1">IFERROR(_xludf.XLOOKUP("Seguro",PARAMETROS_IMPORTACION!$A:$A,PARAMETROS_IMPORTACION!$C:$C,0),0)</f>
        <v>0</v>
      </c>
      <c r="J1972" s="3">
        <f ca="1">IFERROR(_xludf.XLOOKUP("Arancel",PARAMETROS_IMPORTACION!$A:$A,PARAMETROS_IMPORTACION!$C:$C,0),0)</f>
        <v>0</v>
      </c>
      <c r="K1972" s="2">
        <f ca="1">IFERROR(_xludf.XLOOKUP("Gastos_Aduana",PARAMETROS_IMPORTACION!$A:$A,PARAMETROS_IMPORTACION!$C:$C,0),0)</f>
        <v>0</v>
      </c>
      <c r="L1972" s="2">
        <f t="shared" si="61"/>
        <v>0</v>
      </c>
    </row>
    <row r="1973" spans="5:12" x14ac:dyDescent="0.35">
      <c r="E1973" s="2"/>
      <c r="F1973" s="2">
        <f>_xlfn.XLOOKUP(D1973,TIPOS_CAMBIO!A:A,TIPOS_CAMBIO!B:B,"",0)</f>
        <v>0</v>
      </c>
      <c r="G1973" s="3">
        <f t="shared" si="60"/>
        <v>0</v>
      </c>
      <c r="H1973" s="3"/>
      <c r="I1973" s="3">
        <f ca="1">IFERROR(_xludf.XLOOKUP("Seguro",PARAMETROS_IMPORTACION!$A:$A,PARAMETROS_IMPORTACION!$C:$C,0),0)</f>
        <v>0</v>
      </c>
      <c r="J1973" s="3">
        <f ca="1">IFERROR(_xludf.XLOOKUP("Arancel",PARAMETROS_IMPORTACION!$A:$A,PARAMETROS_IMPORTACION!$C:$C,0),0)</f>
        <v>0</v>
      </c>
      <c r="K1973" s="2">
        <f ca="1">IFERROR(_xludf.XLOOKUP("Gastos_Aduana",PARAMETROS_IMPORTACION!$A:$A,PARAMETROS_IMPORTACION!$C:$C,0),0)</f>
        <v>0</v>
      </c>
      <c r="L1973" s="2">
        <f t="shared" si="61"/>
        <v>0</v>
      </c>
    </row>
    <row r="1974" spans="5:12" x14ac:dyDescent="0.35">
      <c r="E1974" s="2"/>
      <c r="F1974" s="2">
        <f>_xlfn.XLOOKUP(D1974,TIPOS_CAMBIO!A:A,TIPOS_CAMBIO!B:B,"",0)</f>
        <v>0</v>
      </c>
      <c r="G1974" s="3">
        <f t="shared" si="60"/>
        <v>0</v>
      </c>
      <c r="H1974" s="3"/>
      <c r="I1974" s="3">
        <f ca="1">IFERROR(_xludf.XLOOKUP("Seguro",PARAMETROS_IMPORTACION!$A:$A,PARAMETROS_IMPORTACION!$C:$C,0),0)</f>
        <v>0</v>
      </c>
      <c r="J1974" s="3">
        <f ca="1">IFERROR(_xludf.XLOOKUP("Arancel",PARAMETROS_IMPORTACION!$A:$A,PARAMETROS_IMPORTACION!$C:$C,0),0)</f>
        <v>0</v>
      </c>
      <c r="K1974" s="2">
        <f ca="1">IFERROR(_xludf.XLOOKUP("Gastos_Aduana",PARAMETROS_IMPORTACION!$A:$A,PARAMETROS_IMPORTACION!$C:$C,0),0)</f>
        <v>0</v>
      </c>
      <c r="L1974" s="2">
        <f t="shared" si="61"/>
        <v>0</v>
      </c>
    </row>
    <row r="1975" spans="5:12" x14ac:dyDescent="0.35">
      <c r="E1975" s="2"/>
      <c r="F1975" s="2">
        <f>_xlfn.XLOOKUP(D1975,TIPOS_CAMBIO!A:A,TIPOS_CAMBIO!B:B,"",0)</f>
        <v>0</v>
      </c>
      <c r="G1975" s="3">
        <f t="shared" si="60"/>
        <v>0</v>
      </c>
      <c r="H1975" s="3"/>
      <c r="I1975" s="3">
        <f ca="1">IFERROR(_xludf.XLOOKUP("Seguro",PARAMETROS_IMPORTACION!$A:$A,PARAMETROS_IMPORTACION!$C:$C,0),0)</f>
        <v>0</v>
      </c>
      <c r="J1975" s="3">
        <f ca="1">IFERROR(_xludf.XLOOKUP("Arancel",PARAMETROS_IMPORTACION!$A:$A,PARAMETROS_IMPORTACION!$C:$C,0),0)</f>
        <v>0</v>
      </c>
      <c r="K1975" s="2">
        <f ca="1">IFERROR(_xludf.XLOOKUP("Gastos_Aduana",PARAMETROS_IMPORTACION!$A:$A,PARAMETROS_IMPORTACION!$C:$C,0),0)</f>
        <v>0</v>
      </c>
      <c r="L1975" s="2">
        <f t="shared" si="61"/>
        <v>0</v>
      </c>
    </row>
    <row r="1976" spans="5:12" x14ac:dyDescent="0.35">
      <c r="E1976" s="2"/>
      <c r="F1976" s="2">
        <f>_xlfn.XLOOKUP(D1976,TIPOS_CAMBIO!A:A,TIPOS_CAMBIO!B:B,"",0)</f>
        <v>0</v>
      </c>
      <c r="G1976" s="3">
        <f t="shared" si="60"/>
        <v>0</v>
      </c>
      <c r="H1976" s="3"/>
      <c r="I1976" s="3">
        <f ca="1">IFERROR(_xludf.XLOOKUP("Seguro",PARAMETROS_IMPORTACION!$A:$A,PARAMETROS_IMPORTACION!$C:$C,0),0)</f>
        <v>0</v>
      </c>
      <c r="J1976" s="3">
        <f ca="1">IFERROR(_xludf.XLOOKUP("Arancel",PARAMETROS_IMPORTACION!$A:$A,PARAMETROS_IMPORTACION!$C:$C,0),0)</f>
        <v>0</v>
      </c>
      <c r="K1976" s="2">
        <f ca="1">IFERROR(_xludf.XLOOKUP("Gastos_Aduana",PARAMETROS_IMPORTACION!$A:$A,PARAMETROS_IMPORTACION!$C:$C,0),0)</f>
        <v>0</v>
      </c>
      <c r="L1976" s="2">
        <f t="shared" si="61"/>
        <v>0</v>
      </c>
    </row>
    <row r="1977" spans="5:12" x14ac:dyDescent="0.35">
      <c r="E1977" s="2"/>
      <c r="F1977" s="2">
        <f>_xlfn.XLOOKUP(D1977,TIPOS_CAMBIO!A:A,TIPOS_CAMBIO!B:B,"",0)</f>
        <v>0</v>
      </c>
      <c r="G1977" s="3">
        <f t="shared" si="60"/>
        <v>0</v>
      </c>
      <c r="H1977" s="3"/>
      <c r="I1977" s="3">
        <f ca="1">IFERROR(_xludf.XLOOKUP("Seguro",PARAMETROS_IMPORTACION!$A:$A,PARAMETROS_IMPORTACION!$C:$C,0),0)</f>
        <v>0</v>
      </c>
      <c r="J1977" s="3">
        <f ca="1">IFERROR(_xludf.XLOOKUP("Arancel",PARAMETROS_IMPORTACION!$A:$A,PARAMETROS_IMPORTACION!$C:$C,0),0)</f>
        <v>0</v>
      </c>
      <c r="K1977" s="2">
        <f ca="1">IFERROR(_xludf.XLOOKUP("Gastos_Aduana",PARAMETROS_IMPORTACION!$A:$A,PARAMETROS_IMPORTACION!$C:$C,0),0)</f>
        <v>0</v>
      </c>
      <c r="L1977" s="2">
        <f t="shared" si="61"/>
        <v>0</v>
      </c>
    </row>
    <row r="1978" spans="5:12" x14ac:dyDescent="0.35">
      <c r="E1978" s="2"/>
      <c r="F1978" s="2">
        <f>_xlfn.XLOOKUP(D1978,TIPOS_CAMBIO!A:A,TIPOS_CAMBIO!B:B,"",0)</f>
        <v>0</v>
      </c>
      <c r="G1978" s="3">
        <f t="shared" si="60"/>
        <v>0</v>
      </c>
      <c r="H1978" s="3"/>
      <c r="I1978" s="3">
        <f ca="1">IFERROR(_xludf.XLOOKUP("Seguro",PARAMETROS_IMPORTACION!$A:$A,PARAMETROS_IMPORTACION!$C:$C,0),0)</f>
        <v>0</v>
      </c>
      <c r="J1978" s="3">
        <f ca="1">IFERROR(_xludf.XLOOKUP("Arancel",PARAMETROS_IMPORTACION!$A:$A,PARAMETROS_IMPORTACION!$C:$C,0),0)</f>
        <v>0</v>
      </c>
      <c r="K1978" s="2">
        <f ca="1">IFERROR(_xludf.XLOOKUP("Gastos_Aduana",PARAMETROS_IMPORTACION!$A:$A,PARAMETROS_IMPORTACION!$C:$C,0),0)</f>
        <v>0</v>
      </c>
      <c r="L1978" s="2">
        <f t="shared" si="61"/>
        <v>0</v>
      </c>
    </row>
    <row r="1979" spans="5:12" x14ac:dyDescent="0.35">
      <c r="E1979" s="2"/>
      <c r="F1979" s="2">
        <f>_xlfn.XLOOKUP(D1979,TIPOS_CAMBIO!A:A,TIPOS_CAMBIO!B:B,"",0)</f>
        <v>0</v>
      </c>
      <c r="G1979" s="3">
        <f t="shared" si="60"/>
        <v>0</v>
      </c>
      <c r="H1979" s="3"/>
      <c r="I1979" s="3">
        <f ca="1">IFERROR(_xludf.XLOOKUP("Seguro",PARAMETROS_IMPORTACION!$A:$A,PARAMETROS_IMPORTACION!$C:$C,0),0)</f>
        <v>0</v>
      </c>
      <c r="J1979" s="3">
        <f ca="1">IFERROR(_xludf.XLOOKUP("Arancel",PARAMETROS_IMPORTACION!$A:$A,PARAMETROS_IMPORTACION!$C:$C,0),0)</f>
        <v>0</v>
      </c>
      <c r="K1979" s="2">
        <f ca="1">IFERROR(_xludf.XLOOKUP("Gastos_Aduana",PARAMETROS_IMPORTACION!$A:$A,PARAMETROS_IMPORTACION!$C:$C,0),0)</f>
        <v>0</v>
      </c>
      <c r="L1979" s="2">
        <f t="shared" si="61"/>
        <v>0</v>
      </c>
    </row>
    <row r="1980" spans="5:12" x14ac:dyDescent="0.35">
      <c r="E1980" s="2"/>
      <c r="F1980" s="2">
        <f>_xlfn.XLOOKUP(D1980,TIPOS_CAMBIO!A:A,TIPOS_CAMBIO!B:B,"",0)</f>
        <v>0</v>
      </c>
      <c r="G1980" s="3">
        <f t="shared" si="60"/>
        <v>0</v>
      </c>
      <c r="H1980" s="3"/>
      <c r="I1980" s="3">
        <f ca="1">IFERROR(_xludf.XLOOKUP("Seguro",PARAMETROS_IMPORTACION!$A:$A,PARAMETROS_IMPORTACION!$C:$C,0),0)</f>
        <v>0</v>
      </c>
      <c r="J1980" s="3">
        <f ca="1">IFERROR(_xludf.XLOOKUP("Arancel",PARAMETROS_IMPORTACION!$A:$A,PARAMETROS_IMPORTACION!$C:$C,0),0)</f>
        <v>0</v>
      </c>
      <c r="K1980" s="2">
        <f ca="1">IFERROR(_xludf.XLOOKUP("Gastos_Aduana",PARAMETROS_IMPORTACION!$A:$A,PARAMETROS_IMPORTACION!$C:$C,0),0)</f>
        <v>0</v>
      </c>
      <c r="L1980" s="2">
        <f t="shared" si="61"/>
        <v>0</v>
      </c>
    </row>
    <row r="1981" spans="5:12" x14ac:dyDescent="0.35">
      <c r="E1981" s="2"/>
      <c r="F1981" s="2">
        <f>_xlfn.XLOOKUP(D1981,TIPOS_CAMBIO!A:A,TIPOS_CAMBIO!B:B,"",0)</f>
        <v>0</v>
      </c>
      <c r="G1981" s="3">
        <f t="shared" si="60"/>
        <v>0</v>
      </c>
      <c r="H1981" s="3"/>
      <c r="I1981" s="3">
        <f ca="1">IFERROR(_xludf.XLOOKUP("Seguro",PARAMETROS_IMPORTACION!$A:$A,PARAMETROS_IMPORTACION!$C:$C,0),0)</f>
        <v>0</v>
      </c>
      <c r="J1981" s="3">
        <f ca="1">IFERROR(_xludf.XLOOKUP("Arancel",PARAMETROS_IMPORTACION!$A:$A,PARAMETROS_IMPORTACION!$C:$C,0),0)</f>
        <v>0</v>
      </c>
      <c r="K1981" s="2">
        <f ca="1">IFERROR(_xludf.XLOOKUP("Gastos_Aduana",PARAMETROS_IMPORTACION!$A:$A,PARAMETROS_IMPORTACION!$C:$C,0),0)</f>
        <v>0</v>
      </c>
      <c r="L1981" s="2">
        <f t="shared" si="61"/>
        <v>0</v>
      </c>
    </row>
    <row r="1982" spans="5:12" x14ac:dyDescent="0.35">
      <c r="E1982" s="2"/>
      <c r="F1982" s="2">
        <f>_xlfn.XLOOKUP(D1982,TIPOS_CAMBIO!A:A,TIPOS_CAMBIO!B:B,"",0)</f>
        <v>0</v>
      </c>
      <c r="G1982" s="3">
        <f t="shared" si="60"/>
        <v>0</v>
      </c>
      <c r="H1982" s="3"/>
      <c r="I1982" s="3">
        <f ca="1">IFERROR(_xludf.XLOOKUP("Seguro",PARAMETROS_IMPORTACION!$A:$A,PARAMETROS_IMPORTACION!$C:$C,0),0)</f>
        <v>0</v>
      </c>
      <c r="J1982" s="3">
        <f ca="1">IFERROR(_xludf.XLOOKUP("Arancel",PARAMETROS_IMPORTACION!$A:$A,PARAMETROS_IMPORTACION!$C:$C,0),0)</f>
        <v>0</v>
      </c>
      <c r="K1982" s="2">
        <f ca="1">IFERROR(_xludf.XLOOKUP("Gastos_Aduana",PARAMETROS_IMPORTACION!$A:$A,PARAMETROS_IMPORTACION!$C:$C,0),0)</f>
        <v>0</v>
      </c>
      <c r="L1982" s="2">
        <f t="shared" si="61"/>
        <v>0</v>
      </c>
    </row>
    <row r="1983" spans="5:12" x14ac:dyDescent="0.35">
      <c r="E1983" s="2"/>
      <c r="F1983" s="2">
        <f>_xlfn.XLOOKUP(D1983,TIPOS_CAMBIO!A:A,TIPOS_CAMBIO!B:B,"",0)</f>
        <v>0</v>
      </c>
      <c r="G1983" s="3">
        <f t="shared" si="60"/>
        <v>0</v>
      </c>
      <c r="H1983" s="3"/>
      <c r="I1983" s="3">
        <f ca="1">IFERROR(_xludf.XLOOKUP("Seguro",PARAMETROS_IMPORTACION!$A:$A,PARAMETROS_IMPORTACION!$C:$C,0),0)</f>
        <v>0</v>
      </c>
      <c r="J1983" s="3">
        <f ca="1">IFERROR(_xludf.XLOOKUP("Arancel",PARAMETROS_IMPORTACION!$A:$A,PARAMETROS_IMPORTACION!$C:$C,0),0)</f>
        <v>0</v>
      </c>
      <c r="K1983" s="2">
        <f ca="1">IFERROR(_xludf.XLOOKUP("Gastos_Aduana",PARAMETROS_IMPORTACION!$A:$A,PARAMETROS_IMPORTACION!$C:$C,0),0)</f>
        <v>0</v>
      </c>
      <c r="L1983" s="2">
        <f t="shared" si="61"/>
        <v>0</v>
      </c>
    </row>
    <row r="1984" spans="5:12" x14ac:dyDescent="0.35">
      <c r="E1984" s="2"/>
      <c r="F1984" s="2">
        <f>_xlfn.XLOOKUP(D1984,TIPOS_CAMBIO!A:A,TIPOS_CAMBIO!B:B,"",0)</f>
        <v>0</v>
      </c>
      <c r="G1984" s="3">
        <f t="shared" si="60"/>
        <v>0</v>
      </c>
      <c r="H1984" s="3"/>
      <c r="I1984" s="3">
        <f ca="1">IFERROR(_xludf.XLOOKUP("Seguro",PARAMETROS_IMPORTACION!$A:$A,PARAMETROS_IMPORTACION!$C:$C,0),0)</f>
        <v>0</v>
      </c>
      <c r="J1984" s="3">
        <f ca="1">IFERROR(_xludf.XLOOKUP("Arancel",PARAMETROS_IMPORTACION!$A:$A,PARAMETROS_IMPORTACION!$C:$C,0),0)</f>
        <v>0</v>
      </c>
      <c r="K1984" s="2">
        <f ca="1">IFERROR(_xludf.XLOOKUP("Gastos_Aduana",PARAMETROS_IMPORTACION!$A:$A,PARAMETROS_IMPORTACION!$C:$C,0),0)</f>
        <v>0</v>
      </c>
      <c r="L1984" s="2">
        <f t="shared" si="61"/>
        <v>0</v>
      </c>
    </row>
    <row r="1985" spans="5:12" x14ac:dyDescent="0.35">
      <c r="E1985" s="2"/>
      <c r="F1985" s="2">
        <f>_xlfn.XLOOKUP(D1985,TIPOS_CAMBIO!A:A,TIPOS_CAMBIO!B:B,"",0)</f>
        <v>0</v>
      </c>
      <c r="G1985" s="3">
        <f t="shared" si="60"/>
        <v>0</v>
      </c>
      <c r="H1985" s="3"/>
      <c r="I1985" s="3">
        <f ca="1">IFERROR(_xludf.XLOOKUP("Seguro",PARAMETROS_IMPORTACION!$A:$A,PARAMETROS_IMPORTACION!$C:$C,0),0)</f>
        <v>0</v>
      </c>
      <c r="J1985" s="3">
        <f ca="1">IFERROR(_xludf.XLOOKUP("Arancel",PARAMETROS_IMPORTACION!$A:$A,PARAMETROS_IMPORTACION!$C:$C,0),0)</f>
        <v>0</v>
      </c>
      <c r="K1985" s="2">
        <f ca="1">IFERROR(_xludf.XLOOKUP("Gastos_Aduana",PARAMETROS_IMPORTACION!$A:$A,PARAMETROS_IMPORTACION!$C:$C,0),0)</f>
        <v>0</v>
      </c>
      <c r="L1985" s="2">
        <f t="shared" si="61"/>
        <v>0</v>
      </c>
    </row>
    <row r="1986" spans="5:12" x14ac:dyDescent="0.35">
      <c r="E1986" s="2"/>
      <c r="F1986" s="2">
        <f>_xlfn.XLOOKUP(D1986,TIPOS_CAMBIO!A:A,TIPOS_CAMBIO!B:B,"",0)</f>
        <v>0</v>
      </c>
      <c r="G1986" s="3">
        <f t="shared" ref="G1986:G2001" si="62">$E1986*$F1986</f>
        <v>0</v>
      </c>
      <c r="H1986" s="3"/>
      <c r="I1986" s="3">
        <f ca="1">IFERROR(_xludf.XLOOKUP("Seguro",PARAMETROS_IMPORTACION!$A:$A,PARAMETROS_IMPORTACION!$C:$C,0),0)</f>
        <v>0</v>
      </c>
      <c r="J1986" s="3">
        <f ca="1">IFERROR(_xludf.XLOOKUP("Arancel",PARAMETROS_IMPORTACION!$A:$A,PARAMETROS_IMPORTACION!$C:$C,0),0)</f>
        <v>0</v>
      </c>
      <c r="K1986" s="2">
        <f ca="1">IFERROR(_xludf.XLOOKUP("Gastos_Aduana",PARAMETROS_IMPORTACION!$A:$A,PARAMETROS_IMPORTACION!$C:$C,0),0)</f>
        <v>0</v>
      </c>
      <c r="L1986" s="2">
        <f t="shared" si="61"/>
        <v>0</v>
      </c>
    </row>
    <row r="1987" spans="5:12" x14ac:dyDescent="0.35">
      <c r="E1987" s="2"/>
      <c r="F1987" s="2">
        <f>_xlfn.XLOOKUP(D1987,TIPOS_CAMBIO!A:A,TIPOS_CAMBIO!B:B,"",0)</f>
        <v>0</v>
      </c>
      <c r="G1987" s="3">
        <f t="shared" si="62"/>
        <v>0</v>
      </c>
      <c r="H1987" s="3"/>
      <c r="I1987" s="3">
        <f ca="1">IFERROR(_xludf.XLOOKUP("Seguro",PARAMETROS_IMPORTACION!$A:$A,PARAMETROS_IMPORTACION!$C:$C,0),0)</f>
        <v>0</v>
      </c>
      <c r="J1987" s="3">
        <f ca="1">IFERROR(_xludf.XLOOKUP("Arancel",PARAMETROS_IMPORTACION!$A:$A,PARAMETROS_IMPORTACION!$C:$C,0),0)</f>
        <v>0</v>
      </c>
      <c r="K1987" s="2">
        <f ca="1">IFERROR(_xludf.XLOOKUP("Gastos_Aduana",PARAMETROS_IMPORTACION!$A:$A,PARAMETROS_IMPORTACION!$C:$C,0),0)</f>
        <v>0</v>
      </c>
      <c r="L1987" s="2">
        <f t="shared" ref="L1987:L2001" si="63">IF($C1987="Importado",$G1987*(1+$H1987+$I1987+$J1987)+$K1987,$G1987)</f>
        <v>0</v>
      </c>
    </row>
    <row r="1988" spans="5:12" x14ac:dyDescent="0.35">
      <c r="E1988" s="2"/>
      <c r="F1988" s="2">
        <f>_xlfn.XLOOKUP(D1988,TIPOS_CAMBIO!A:A,TIPOS_CAMBIO!B:B,"",0)</f>
        <v>0</v>
      </c>
      <c r="G1988" s="3">
        <f t="shared" si="62"/>
        <v>0</v>
      </c>
      <c r="H1988" s="3"/>
      <c r="I1988" s="3">
        <f ca="1">IFERROR(_xludf.XLOOKUP("Seguro",PARAMETROS_IMPORTACION!$A:$A,PARAMETROS_IMPORTACION!$C:$C,0),0)</f>
        <v>0</v>
      </c>
      <c r="J1988" s="3">
        <f ca="1">IFERROR(_xludf.XLOOKUP("Arancel",PARAMETROS_IMPORTACION!$A:$A,PARAMETROS_IMPORTACION!$C:$C,0),0)</f>
        <v>0</v>
      </c>
      <c r="K1988" s="2">
        <f ca="1">IFERROR(_xludf.XLOOKUP("Gastos_Aduana",PARAMETROS_IMPORTACION!$A:$A,PARAMETROS_IMPORTACION!$C:$C,0),0)</f>
        <v>0</v>
      </c>
      <c r="L1988" s="2">
        <f t="shared" si="63"/>
        <v>0</v>
      </c>
    </row>
    <row r="1989" spans="5:12" x14ac:dyDescent="0.35">
      <c r="E1989" s="2"/>
      <c r="F1989" s="2">
        <f>_xlfn.XLOOKUP(D1989,TIPOS_CAMBIO!A:A,TIPOS_CAMBIO!B:B,"",0)</f>
        <v>0</v>
      </c>
      <c r="G1989" s="3">
        <f t="shared" si="62"/>
        <v>0</v>
      </c>
      <c r="H1989" s="3"/>
      <c r="I1989" s="3">
        <f ca="1">IFERROR(_xludf.XLOOKUP("Seguro",PARAMETROS_IMPORTACION!$A:$A,PARAMETROS_IMPORTACION!$C:$C,0),0)</f>
        <v>0</v>
      </c>
      <c r="J1989" s="3">
        <f ca="1">IFERROR(_xludf.XLOOKUP("Arancel",PARAMETROS_IMPORTACION!$A:$A,PARAMETROS_IMPORTACION!$C:$C,0),0)</f>
        <v>0</v>
      </c>
      <c r="K1989" s="2">
        <f ca="1">IFERROR(_xludf.XLOOKUP("Gastos_Aduana",PARAMETROS_IMPORTACION!$A:$A,PARAMETROS_IMPORTACION!$C:$C,0),0)</f>
        <v>0</v>
      </c>
      <c r="L1989" s="2">
        <f t="shared" si="63"/>
        <v>0</v>
      </c>
    </row>
    <row r="1990" spans="5:12" x14ac:dyDescent="0.35">
      <c r="E1990" s="2"/>
      <c r="F1990" s="2">
        <f>_xlfn.XLOOKUP(D1990,TIPOS_CAMBIO!A:A,TIPOS_CAMBIO!B:B,"",0)</f>
        <v>0</v>
      </c>
      <c r="G1990" s="3">
        <f t="shared" si="62"/>
        <v>0</v>
      </c>
      <c r="H1990" s="3"/>
      <c r="I1990" s="3">
        <f ca="1">IFERROR(_xludf.XLOOKUP("Seguro",PARAMETROS_IMPORTACION!$A:$A,PARAMETROS_IMPORTACION!$C:$C,0),0)</f>
        <v>0</v>
      </c>
      <c r="J1990" s="3">
        <f ca="1">IFERROR(_xludf.XLOOKUP("Arancel",PARAMETROS_IMPORTACION!$A:$A,PARAMETROS_IMPORTACION!$C:$C,0),0)</f>
        <v>0</v>
      </c>
      <c r="K1990" s="2">
        <f ca="1">IFERROR(_xludf.XLOOKUP("Gastos_Aduana",PARAMETROS_IMPORTACION!$A:$A,PARAMETROS_IMPORTACION!$C:$C,0),0)</f>
        <v>0</v>
      </c>
      <c r="L1990" s="2">
        <f t="shared" si="63"/>
        <v>0</v>
      </c>
    </row>
    <row r="1991" spans="5:12" x14ac:dyDescent="0.35">
      <c r="E1991" s="2"/>
      <c r="F1991" s="2">
        <f>_xlfn.XLOOKUP(D1991,TIPOS_CAMBIO!A:A,TIPOS_CAMBIO!B:B,"",0)</f>
        <v>0</v>
      </c>
      <c r="G1991" s="3">
        <f t="shared" si="62"/>
        <v>0</v>
      </c>
      <c r="H1991" s="3"/>
      <c r="I1991" s="3">
        <f ca="1">IFERROR(_xludf.XLOOKUP("Seguro",PARAMETROS_IMPORTACION!$A:$A,PARAMETROS_IMPORTACION!$C:$C,0),0)</f>
        <v>0</v>
      </c>
      <c r="J1991" s="3">
        <f ca="1">IFERROR(_xludf.XLOOKUP("Arancel",PARAMETROS_IMPORTACION!$A:$A,PARAMETROS_IMPORTACION!$C:$C,0),0)</f>
        <v>0</v>
      </c>
      <c r="K1991" s="2">
        <f ca="1">IFERROR(_xludf.XLOOKUP("Gastos_Aduana",PARAMETROS_IMPORTACION!$A:$A,PARAMETROS_IMPORTACION!$C:$C,0),0)</f>
        <v>0</v>
      </c>
      <c r="L1991" s="2">
        <f t="shared" si="63"/>
        <v>0</v>
      </c>
    </row>
    <row r="1992" spans="5:12" x14ac:dyDescent="0.35">
      <c r="E1992" s="2"/>
      <c r="F1992" s="2">
        <f>_xlfn.XLOOKUP(D1992,TIPOS_CAMBIO!A:A,TIPOS_CAMBIO!B:B,"",0)</f>
        <v>0</v>
      </c>
      <c r="G1992" s="3">
        <f t="shared" si="62"/>
        <v>0</v>
      </c>
      <c r="H1992" s="3"/>
      <c r="I1992" s="3">
        <f ca="1">IFERROR(_xludf.XLOOKUP("Seguro",PARAMETROS_IMPORTACION!$A:$A,PARAMETROS_IMPORTACION!$C:$C,0),0)</f>
        <v>0</v>
      </c>
      <c r="J1992" s="3">
        <f ca="1">IFERROR(_xludf.XLOOKUP("Arancel",PARAMETROS_IMPORTACION!$A:$A,PARAMETROS_IMPORTACION!$C:$C,0),0)</f>
        <v>0</v>
      </c>
      <c r="K1992" s="2">
        <f ca="1">IFERROR(_xludf.XLOOKUP("Gastos_Aduana",PARAMETROS_IMPORTACION!$A:$A,PARAMETROS_IMPORTACION!$C:$C,0),0)</f>
        <v>0</v>
      </c>
      <c r="L1992" s="2">
        <f t="shared" si="63"/>
        <v>0</v>
      </c>
    </row>
    <row r="1993" spans="5:12" x14ac:dyDescent="0.35">
      <c r="E1993" s="2"/>
      <c r="F1993" s="2">
        <f>_xlfn.XLOOKUP(D1993,TIPOS_CAMBIO!A:A,TIPOS_CAMBIO!B:B,"",0)</f>
        <v>0</v>
      </c>
      <c r="G1993" s="3">
        <f t="shared" si="62"/>
        <v>0</v>
      </c>
      <c r="H1993" s="3"/>
      <c r="I1993" s="3">
        <f ca="1">IFERROR(_xludf.XLOOKUP("Seguro",PARAMETROS_IMPORTACION!$A:$A,PARAMETROS_IMPORTACION!$C:$C,0),0)</f>
        <v>0</v>
      </c>
      <c r="J1993" s="3">
        <f ca="1">IFERROR(_xludf.XLOOKUP("Arancel",PARAMETROS_IMPORTACION!$A:$A,PARAMETROS_IMPORTACION!$C:$C,0),0)</f>
        <v>0</v>
      </c>
      <c r="K1993" s="2">
        <f ca="1">IFERROR(_xludf.XLOOKUP("Gastos_Aduana",PARAMETROS_IMPORTACION!$A:$A,PARAMETROS_IMPORTACION!$C:$C,0),0)</f>
        <v>0</v>
      </c>
      <c r="L1993" s="2">
        <f t="shared" si="63"/>
        <v>0</v>
      </c>
    </row>
    <row r="1994" spans="5:12" x14ac:dyDescent="0.35">
      <c r="E1994" s="2"/>
      <c r="F1994" s="2">
        <f>_xlfn.XLOOKUP(D1994,TIPOS_CAMBIO!A:A,TIPOS_CAMBIO!B:B,"",0)</f>
        <v>0</v>
      </c>
      <c r="G1994" s="3">
        <f t="shared" si="62"/>
        <v>0</v>
      </c>
      <c r="H1994" s="3"/>
      <c r="I1994" s="3">
        <f ca="1">IFERROR(_xludf.XLOOKUP("Seguro",PARAMETROS_IMPORTACION!$A:$A,PARAMETROS_IMPORTACION!$C:$C,0),0)</f>
        <v>0</v>
      </c>
      <c r="J1994" s="3">
        <f ca="1">IFERROR(_xludf.XLOOKUP("Arancel",PARAMETROS_IMPORTACION!$A:$A,PARAMETROS_IMPORTACION!$C:$C,0),0)</f>
        <v>0</v>
      </c>
      <c r="K1994" s="2">
        <f ca="1">IFERROR(_xludf.XLOOKUP("Gastos_Aduana",PARAMETROS_IMPORTACION!$A:$A,PARAMETROS_IMPORTACION!$C:$C,0),0)</f>
        <v>0</v>
      </c>
      <c r="L1994" s="2">
        <f t="shared" si="63"/>
        <v>0</v>
      </c>
    </row>
    <row r="1995" spans="5:12" x14ac:dyDescent="0.35">
      <c r="E1995" s="2"/>
      <c r="F1995" s="2">
        <f>_xlfn.XLOOKUP(D1995,TIPOS_CAMBIO!A:A,TIPOS_CAMBIO!B:B,"",0)</f>
        <v>0</v>
      </c>
      <c r="G1995" s="3">
        <f t="shared" si="62"/>
        <v>0</v>
      </c>
      <c r="H1995" s="3"/>
      <c r="I1995" s="3">
        <f ca="1">IFERROR(_xludf.XLOOKUP("Seguro",PARAMETROS_IMPORTACION!$A:$A,PARAMETROS_IMPORTACION!$C:$C,0),0)</f>
        <v>0</v>
      </c>
      <c r="J1995" s="3">
        <f ca="1">IFERROR(_xludf.XLOOKUP("Arancel",PARAMETROS_IMPORTACION!$A:$A,PARAMETROS_IMPORTACION!$C:$C,0),0)</f>
        <v>0</v>
      </c>
      <c r="K1995" s="2">
        <f ca="1">IFERROR(_xludf.XLOOKUP("Gastos_Aduana",PARAMETROS_IMPORTACION!$A:$A,PARAMETROS_IMPORTACION!$C:$C,0),0)</f>
        <v>0</v>
      </c>
      <c r="L1995" s="2">
        <f t="shared" si="63"/>
        <v>0</v>
      </c>
    </row>
    <row r="1996" spans="5:12" x14ac:dyDescent="0.35">
      <c r="E1996" s="2"/>
      <c r="F1996" s="2">
        <f>_xlfn.XLOOKUP(D1996,TIPOS_CAMBIO!A:A,TIPOS_CAMBIO!B:B,"",0)</f>
        <v>0</v>
      </c>
      <c r="G1996" s="3">
        <f t="shared" si="62"/>
        <v>0</v>
      </c>
      <c r="H1996" s="3"/>
      <c r="I1996" s="3">
        <f ca="1">IFERROR(_xludf.XLOOKUP("Seguro",PARAMETROS_IMPORTACION!$A:$A,PARAMETROS_IMPORTACION!$C:$C,0),0)</f>
        <v>0</v>
      </c>
      <c r="J1996" s="3">
        <f ca="1">IFERROR(_xludf.XLOOKUP("Arancel",PARAMETROS_IMPORTACION!$A:$A,PARAMETROS_IMPORTACION!$C:$C,0),0)</f>
        <v>0</v>
      </c>
      <c r="K1996" s="2">
        <f ca="1">IFERROR(_xludf.XLOOKUP("Gastos_Aduana",PARAMETROS_IMPORTACION!$A:$A,PARAMETROS_IMPORTACION!$C:$C,0),0)</f>
        <v>0</v>
      </c>
      <c r="L1996" s="2">
        <f t="shared" si="63"/>
        <v>0</v>
      </c>
    </row>
    <row r="1997" spans="5:12" x14ac:dyDescent="0.35">
      <c r="E1997" s="2"/>
      <c r="F1997" s="2">
        <f>_xlfn.XLOOKUP(D1997,TIPOS_CAMBIO!A:A,TIPOS_CAMBIO!B:B,"",0)</f>
        <v>0</v>
      </c>
      <c r="G1997" s="3">
        <f t="shared" si="62"/>
        <v>0</v>
      </c>
      <c r="H1997" s="3"/>
      <c r="I1997" s="3">
        <f ca="1">IFERROR(_xludf.XLOOKUP("Seguro",PARAMETROS_IMPORTACION!$A:$A,PARAMETROS_IMPORTACION!$C:$C,0),0)</f>
        <v>0</v>
      </c>
      <c r="J1997" s="3">
        <f ca="1">IFERROR(_xludf.XLOOKUP("Arancel",PARAMETROS_IMPORTACION!$A:$A,PARAMETROS_IMPORTACION!$C:$C,0),0)</f>
        <v>0</v>
      </c>
      <c r="K1997" s="2">
        <f ca="1">IFERROR(_xludf.XLOOKUP("Gastos_Aduana",PARAMETROS_IMPORTACION!$A:$A,PARAMETROS_IMPORTACION!$C:$C,0),0)</f>
        <v>0</v>
      </c>
      <c r="L1997" s="2">
        <f t="shared" si="63"/>
        <v>0</v>
      </c>
    </row>
    <row r="1998" spans="5:12" x14ac:dyDescent="0.35">
      <c r="E1998" s="2"/>
      <c r="F1998" s="2">
        <f>_xlfn.XLOOKUP(D1998,TIPOS_CAMBIO!A:A,TIPOS_CAMBIO!B:B,"",0)</f>
        <v>0</v>
      </c>
      <c r="G1998" s="3">
        <f t="shared" si="62"/>
        <v>0</v>
      </c>
      <c r="H1998" s="3"/>
      <c r="I1998" s="3">
        <f ca="1">IFERROR(_xludf.XLOOKUP("Seguro",PARAMETROS_IMPORTACION!$A:$A,PARAMETROS_IMPORTACION!$C:$C,0),0)</f>
        <v>0</v>
      </c>
      <c r="J1998" s="3">
        <f ca="1">IFERROR(_xludf.XLOOKUP("Arancel",PARAMETROS_IMPORTACION!$A:$A,PARAMETROS_IMPORTACION!$C:$C,0),0)</f>
        <v>0</v>
      </c>
      <c r="K1998" s="2">
        <f ca="1">IFERROR(_xludf.XLOOKUP("Gastos_Aduana",PARAMETROS_IMPORTACION!$A:$A,PARAMETROS_IMPORTACION!$C:$C,0),0)</f>
        <v>0</v>
      </c>
      <c r="L1998" s="2">
        <f t="shared" si="63"/>
        <v>0</v>
      </c>
    </row>
    <row r="1999" spans="5:12" x14ac:dyDescent="0.35">
      <c r="E1999" s="2"/>
      <c r="F1999" s="2">
        <f>_xlfn.XLOOKUP(D1999,TIPOS_CAMBIO!A:A,TIPOS_CAMBIO!B:B,"",0)</f>
        <v>0</v>
      </c>
      <c r="G1999" s="3">
        <f t="shared" si="62"/>
        <v>0</v>
      </c>
      <c r="H1999" s="3"/>
      <c r="I1999" s="3">
        <f ca="1">IFERROR(_xludf.XLOOKUP("Seguro",PARAMETROS_IMPORTACION!$A:$A,PARAMETROS_IMPORTACION!$C:$C,0),0)</f>
        <v>0</v>
      </c>
      <c r="J1999" s="3">
        <f ca="1">IFERROR(_xludf.XLOOKUP("Arancel",PARAMETROS_IMPORTACION!$A:$A,PARAMETROS_IMPORTACION!$C:$C,0),0)</f>
        <v>0</v>
      </c>
      <c r="K1999" s="2">
        <f ca="1">IFERROR(_xludf.XLOOKUP("Gastos_Aduana",PARAMETROS_IMPORTACION!$A:$A,PARAMETROS_IMPORTACION!$C:$C,0),0)</f>
        <v>0</v>
      </c>
      <c r="L1999" s="2">
        <f t="shared" si="63"/>
        <v>0</v>
      </c>
    </row>
    <row r="2000" spans="5:12" x14ac:dyDescent="0.35">
      <c r="E2000" s="2"/>
      <c r="F2000" s="2">
        <f>_xlfn.XLOOKUP(D2000,TIPOS_CAMBIO!A:A,TIPOS_CAMBIO!B:B,"",0)</f>
        <v>0</v>
      </c>
      <c r="G2000" s="3">
        <f t="shared" si="62"/>
        <v>0</v>
      </c>
      <c r="H2000" s="3"/>
      <c r="I2000" s="3">
        <f ca="1">IFERROR(_xludf.XLOOKUP("Seguro",PARAMETROS_IMPORTACION!$A:$A,PARAMETROS_IMPORTACION!$C:$C,0),0)</f>
        <v>0</v>
      </c>
      <c r="J2000" s="3">
        <f ca="1">IFERROR(_xludf.XLOOKUP("Arancel",PARAMETROS_IMPORTACION!$A:$A,PARAMETROS_IMPORTACION!$C:$C,0),0)</f>
        <v>0</v>
      </c>
      <c r="K2000" s="2">
        <f ca="1">IFERROR(_xludf.XLOOKUP("Gastos_Aduana",PARAMETROS_IMPORTACION!$A:$A,PARAMETROS_IMPORTACION!$C:$C,0),0)</f>
        <v>0</v>
      </c>
      <c r="L2000" s="2">
        <f t="shared" si="63"/>
        <v>0</v>
      </c>
    </row>
    <row r="2001" spans="5:12" x14ac:dyDescent="0.35">
      <c r="E2001" s="2"/>
      <c r="F2001" s="2">
        <f>_xlfn.XLOOKUP(D2001,TIPOS_CAMBIO!A:A,TIPOS_CAMBIO!B:B,"",0)</f>
        <v>0</v>
      </c>
      <c r="G2001" s="3">
        <f t="shared" si="62"/>
        <v>0</v>
      </c>
      <c r="H2001" s="3"/>
      <c r="I2001" s="3">
        <f ca="1">IFERROR(_xludf.XLOOKUP("Seguro",PARAMETROS_IMPORTACION!$A:$A,PARAMETROS_IMPORTACION!$C:$C,0),0)</f>
        <v>0</v>
      </c>
      <c r="J2001" s="3">
        <f ca="1">IFERROR(_xludf.XLOOKUP("Arancel",PARAMETROS_IMPORTACION!$A:$A,PARAMETROS_IMPORTACION!$C:$C,0),0)</f>
        <v>0</v>
      </c>
      <c r="K2001" s="2">
        <f ca="1">IFERROR(_xludf.XLOOKUP("Gastos_Aduana",PARAMETROS_IMPORTACION!$A:$A,PARAMETROS_IMPORTACION!$C:$C,0),0)</f>
        <v>0</v>
      </c>
      <c r="L2001" s="2">
        <f t="shared" si="63"/>
        <v>0</v>
      </c>
    </row>
  </sheetData>
  <pageMargins left="0.75" right="0.75" top="1" bottom="1" header="0.5" footer="0.5"/>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2890B5D1-F5C9-452F-8DA6-742FF446337F}">
          <x14:formula1>
            <xm:f>PARAMETROS_IMPORTACION!$A$2:$A$3</xm:f>
          </x14:formula1>
          <xm:sqref>B2</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0"/>
  <sheetViews>
    <sheetView workbookViewId="0">
      <pane ySplit="1" topLeftCell="A2" activePane="bottomLeft" state="frozen"/>
      <selection pane="bottomLeft" activeCell="B2" sqref="B2"/>
    </sheetView>
  </sheetViews>
  <sheetFormatPr baseColWidth="10" defaultColWidth="8.7265625" defaultRowHeight="14.5" x14ac:dyDescent="0.35"/>
  <cols>
    <col min="1" max="1" width="16" customWidth="1"/>
    <col min="2" max="2" width="14" style="2" customWidth="1"/>
    <col min="3" max="3" width="14" customWidth="1"/>
  </cols>
  <sheetData>
    <row r="1" spans="1:3" x14ac:dyDescent="0.35">
      <c r="A1" t="s">
        <v>260</v>
      </c>
      <c r="B1" t="s">
        <v>261</v>
      </c>
      <c r="C1" t="s">
        <v>225</v>
      </c>
    </row>
    <row r="2" spans="1:3" x14ac:dyDescent="0.35">
      <c r="A2" t="s">
        <v>262</v>
      </c>
      <c r="B2">
        <v>0.35</v>
      </c>
    </row>
    <row r="3" spans="1:3" x14ac:dyDescent="0.35">
      <c r="A3" t="s">
        <v>263</v>
      </c>
      <c r="B3">
        <v>0.25</v>
      </c>
    </row>
    <row r="4" spans="1:3" x14ac:dyDescent="0.35">
      <c r="A4" t="s">
        <v>264</v>
      </c>
      <c r="B4">
        <v>0.2</v>
      </c>
    </row>
    <row r="5" spans="1:3" x14ac:dyDescent="0.35">
      <c r="A5" t="s">
        <v>265</v>
      </c>
      <c r="B5">
        <v>0.3</v>
      </c>
    </row>
    <row r="6" spans="1:3" x14ac:dyDescent="0.35">
      <c r="B6"/>
    </row>
    <row r="7" spans="1:3" x14ac:dyDescent="0.35">
      <c r="B7"/>
    </row>
    <row r="8" spans="1:3" x14ac:dyDescent="0.35">
      <c r="B8"/>
    </row>
    <row r="9" spans="1:3" x14ac:dyDescent="0.35">
      <c r="B9"/>
    </row>
    <row r="10" spans="1:3" x14ac:dyDescent="0.35">
      <c r="B10"/>
    </row>
    <row r="11" spans="1:3" x14ac:dyDescent="0.35">
      <c r="B11"/>
    </row>
    <row r="12" spans="1:3" x14ac:dyDescent="0.35">
      <c r="B12"/>
    </row>
    <row r="13" spans="1:3" x14ac:dyDescent="0.35">
      <c r="B13"/>
    </row>
    <row r="14" spans="1:3" x14ac:dyDescent="0.35">
      <c r="B14"/>
    </row>
    <row r="15" spans="1:3" x14ac:dyDescent="0.35">
      <c r="B15"/>
    </row>
    <row r="16" spans="1:3" x14ac:dyDescent="0.35">
      <c r="B16"/>
    </row>
    <row r="17" spans="2:2" x14ac:dyDescent="0.35">
      <c r="B17"/>
    </row>
    <row r="18" spans="2:2" x14ac:dyDescent="0.35">
      <c r="B18"/>
    </row>
    <row r="19" spans="2:2" x14ac:dyDescent="0.35">
      <c r="B19"/>
    </row>
    <row r="20" spans="2:2" x14ac:dyDescent="0.35">
      <c r="B20"/>
    </row>
    <row r="21" spans="2:2" x14ac:dyDescent="0.35">
      <c r="B21"/>
    </row>
    <row r="22" spans="2:2" x14ac:dyDescent="0.35">
      <c r="B22"/>
    </row>
    <row r="23" spans="2:2" x14ac:dyDescent="0.35">
      <c r="B23"/>
    </row>
    <row r="24" spans="2:2" x14ac:dyDescent="0.35">
      <c r="B24"/>
    </row>
    <row r="25" spans="2:2" x14ac:dyDescent="0.35">
      <c r="B25"/>
    </row>
    <row r="26" spans="2:2" x14ac:dyDescent="0.35">
      <c r="B26"/>
    </row>
    <row r="27" spans="2:2" x14ac:dyDescent="0.35">
      <c r="B27"/>
    </row>
    <row r="28" spans="2:2" x14ac:dyDescent="0.35">
      <c r="B28"/>
    </row>
    <row r="29" spans="2:2" x14ac:dyDescent="0.35">
      <c r="B29"/>
    </row>
    <row r="30" spans="2:2" x14ac:dyDescent="0.35">
      <c r="B30"/>
    </row>
    <row r="31" spans="2:2" x14ac:dyDescent="0.35">
      <c r="B31"/>
    </row>
    <row r="32" spans="2:2" x14ac:dyDescent="0.35">
      <c r="B32"/>
    </row>
    <row r="33" spans="2:2" x14ac:dyDescent="0.35">
      <c r="B33"/>
    </row>
    <row r="34" spans="2:2" x14ac:dyDescent="0.35">
      <c r="B34"/>
    </row>
    <row r="35" spans="2:2" x14ac:dyDescent="0.35">
      <c r="B35"/>
    </row>
    <row r="36" spans="2:2" x14ac:dyDescent="0.35">
      <c r="B36"/>
    </row>
    <row r="37" spans="2:2" x14ac:dyDescent="0.35">
      <c r="B37"/>
    </row>
    <row r="38" spans="2:2" x14ac:dyDescent="0.35">
      <c r="B38"/>
    </row>
    <row r="39" spans="2:2" x14ac:dyDescent="0.35">
      <c r="B39"/>
    </row>
    <row r="40" spans="2:2" x14ac:dyDescent="0.35">
      <c r="B40"/>
    </row>
    <row r="41" spans="2:2" x14ac:dyDescent="0.35">
      <c r="B41"/>
    </row>
    <row r="42" spans="2:2" x14ac:dyDescent="0.35">
      <c r="B42"/>
    </row>
    <row r="43" spans="2:2" x14ac:dyDescent="0.35">
      <c r="B43"/>
    </row>
    <row r="44" spans="2:2" x14ac:dyDescent="0.35">
      <c r="B44"/>
    </row>
    <row r="45" spans="2:2" x14ac:dyDescent="0.35">
      <c r="B45"/>
    </row>
    <row r="46" spans="2:2" x14ac:dyDescent="0.35">
      <c r="B46"/>
    </row>
    <row r="47" spans="2:2" x14ac:dyDescent="0.35">
      <c r="B47"/>
    </row>
    <row r="48" spans="2:2" x14ac:dyDescent="0.35">
      <c r="B48"/>
    </row>
    <row r="49" spans="2:2" x14ac:dyDescent="0.35">
      <c r="B49"/>
    </row>
    <row r="50" spans="2:2" x14ac:dyDescent="0.35">
      <c r="B50"/>
    </row>
  </sheetData>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2001"/>
  <sheetViews>
    <sheetView workbookViewId="0">
      <pane ySplit="1" topLeftCell="A2" activePane="bottomLeft" state="frozen"/>
      <selection pane="bottomLeft" activeCell="A2" sqref="A2"/>
    </sheetView>
  </sheetViews>
  <sheetFormatPr baseColWidth="10" defaultColWidth="8.7265625" defaultRowHeight="14.5" x14ac:dyDescent="0.35"/>
  <cols>
    <col min="1" max="1" width="14" customWidth="1"/>
    <col min="2" max="2" width="16" customWidth="1"/>
    <col min="3" max="3" width="17" customWidth="1"/>
    <col min="4" max="4" width="14" customWidth="1"/>
    <col min="5" max="5" width="19" customWidth="1"/>
    <col min="6" max="7" width="40" customWidth="1"/>
    <col min="8" max="8" width="23" customWidth="1"/>
    <col min="9" max="9" width="40" customWidth="1"/>
    <col min="10" max="10" width="14" customWidth="1"/>
    <col min="12" max="12" width="30" customWidth="1"/>
  </cols>
  <sheetData>
    <row r="1" spans="1:12" x14ac:dyDescent="0.35">
      <c r="A1" s="1" t="s">
        <v>0</v>
      </c>
      <c r="B1" s="1" t="s">
        <v>260</v>
      </c>
      <c r="C1" s="1" t="s">
        <v>266</v>
      </c>
      <c r="D1" s="1" t="s">
        <v>244</v>
      </c>
      <c r="E1" s="1" t="s">
        <v>259</v>
      </c>
      <c r="F1" s="1" t="s">
        <v>261</v>
      </c>
      <c r="G1" s="1" t="s">
        <v>267</v>
      </c>
      <c r="H1" s="1" t="s">
        <v>268</v>
      </c>
      <c r="I1" s="1" t="s">
        <v>269</v>
      </c>
      <c r="J1" s="1" t="s">
        <v>225</v>
      </c>
      <c r="L1" t="s">
        <v>270</v>
      </c>
    </row>
    <row r="2" spans="1:12" x14ac:dyDescent="0.35">
      <c r="A2" t="s">
        <v>159</v>
      </c>
      <c r="B2" t="s">
        <v>265</v>
      </c>
      <c r="C2" t="s">
        <v>17</v>
      </c>
      <c r="D2" s="2">
        <f>_xlfn.XLOOKUP(tblPrecios[[#This Row],[Moneda_Precio]],TIPOS_CAMBIO!A:A,TIPOS_CAMBIO!B:B,"",0)</f>
        <v>21</v>
      </c>
      <c r="E2" s="2">
        <f>_xlfn.XLOOKUP(tblPrecios[[#This Row],[SKU]],LANDED_COST!A:A,LANDED_COST!L:L,"00.00",0)</f>
        <v>382845</v>
      </c>
      <c r="F2" s="3">
        <f>_xlfn.XLOOKUP(tblPrecios[[#This Row],[Tipo_Cliente]],POLITICAS_MARGEN!A:A,POLITICAS_MARGEN!B:B,0,0)</f>
        <v>0.3</v>
      </c>
      <c r="G2" s="7">
        <f t="shared" ref="G2:G65" si="0">IF($F2&gt;0,$E2/(1-$F2),0)</f>
        <v>546921.42857142864</v>
      </c>
      <c r="H2" s="7">
        <f>IF($D2&gt;0,$G2/$D2,0)</f>
        <v>26043.87755102041</v>
      </c>
      <c r="I2" s="7">
        <f t="shared" ref="I2:I65" si="1">$E2*1.1</f>
        <v>421129.50000000006</v>
      </c>
      <c r="L2" t="s">
        <v>271</v>
      </c>
    </row>
    <row r="3" spans="1:12" x14ac:dyDescent="0.35">
      <c r="C3" t="s">
        <v>247</v>
      </c>
      <c r="D3" s="2">
        <f>_xlfn.XLOOKUP(tblPrecios[[#This Row],[Moneda_Precio]],TIPOS_CAMBIO!A:A,TIPOS_CAMBIO!B:B,"",0)</f>
        <v>1</v>
      </c>
      <c r="E3" s="2">
        <f>_xlfn.XLOOKUP(tblPrecios[[#This Row],[SKU]],LANDED_COST!A:A,LANDED_COST!L:L,"00.00",0)</f>
        <v>0</v>
      </c>
      <c r="F3" s="3">
        <f>_xlfn.XLOOKUP(tblPrecios[[#This Row],[Tipo_Cliente]],POLITICAS_MARGEN!A:A,POLITICAS_MARGEN!B:B,0,0)</f>
        <v>0</v>
      </c>
      <c r="G3" s="3">
        <f t="shared" si="0"/>
        <v>0</v>
      </c>
      <c r="H3" s="3">
        <f t="shared" ref="H3:H65" si="2">IF($D3&gt;0,$G3/$D3,0)</f>
        <v>0</v>
      </c>
      <c r="I3" s="3">
        <f t="shared" si="1"/>
        <v>0</v>
      </c>
    </row>
    <row r="4" spans="1:12" x14ac:dyDescent="0.35">
      <c r="C4" t="s">
        <v>252</v>
      </c>
      <c r="D4" s="2">
        <f>_xlfn.XLOOKUP(tblPrecios[[#This Row],[Moneda_Precio]],TIPOS_CAMBIO!A:A,TIPOS_CAMBIO!B:B,"",0)</f>
        <v>25.5</v>
      </c>
      <c r="E4" s="2">
        <f>_xlfn.XLOOKUP(tblPrecios[[#This Row],[SKU]],LANDED_COST!A:A,LANDED_COST!L:L,"00.00",0)</f>
        <v>0</v>
      </c>
      <c r="F4" s="3">
        <f>_xlfn.XLOOKUP(tblPrecios[[#This Row],[Tipo_Cliente]],POLITICAS_MARGEN!A:A,POLITICAS_MARGEN!B:B,0,0)</f>
        <v>0</v>
      </c>
      <c r="G4" s="3">
        <f t="shared" si="0"/>
        <v>0</v>
      </c>
      <c r="H4" s="3">
        <f t="shared" si="2"/>
        <v>0</v>
      </c>
      <c r="I4" s="3">
        <f t="shared" si="1"/>
        <v>0</v>
      </c>
      <c r="L4" s="7">
        <f>I2-E2</f>
        <v>38284.500000000058</v>
      </c>
    </row>
    <row r="5" spans="1:12" x14ac:dyDescent="0.35">
      <c r="D5" s="2">
        <f>_xlfn.XLOOKUP(tblPrecios[[#This Row],[Moneda_Precio]],TIPOS_CAMBIO!A:A,TIPOS_CAMBIO!B:B,"",0)</f>
        <v>0</v>
      </c>
      <c r="E5" s="2">
        <f>_xlfn.XLOOKUP(tblPrecios[[#This Row],[SKU]],LANDED_COST!A:A,LANDED_COST!L:L,"00.00",0)</f>
        <v>0</v>
      </c>
      <c r="F5" s="3">
        <f>_xlfn.XLOOKUP(tblPrecios[[#This Row],[Tipo_Cliente]],POLITICAS_MARGEN!A:A,POLITICAS_MARGEN!B:B,0,0)</f>
        <v>0</v>
      </c>
      <c r="G5" s="3">
        <f t="shared" si="0"/>
        <v>0</v>
      </c>
      <c r="H5" s="3">
        <f t="shared" si="2"/>
        <v>0</v>
      </c>
      <c r="I5" s="3">
        <f t="shared" si="1"/>
        <v>0</v>
      </c>
      <c r="L5" s="7">
        <f>I2-G2</f>
        <v>-125791.92857142858</v>
      </c>
    </row>
    <row r="6" spans="1:12" x14ac:dyDescent="0.35">
      <c r="D6" s="2">
        <f>_xlfn.XLOOKUP(tblPrecios[[#This Row],[Moneda_Precio]],TIPOS_CAMBIO!A:A,TIPOS_CAMBIO!B:B,"",0)</f>
        <v>0</v>
      </c>
      <c r="E6" s="2">
        <f>_xlfn.XLOOKUP(tblPrecios[[#This Row],[SKU]],LANDED_COST!A:A,LANDED_COST!L:L,"00.00",0)</f>
        <v>0</v>
      </c>
      <c r="F6" s="3">
        <f>_xlfn.XLOOKUP(tblPrecios[[#This Row],[Tipo_Cliente]],POLITICAS_MARGEN!A:A,POLITICAS_MARGEN!B:B,0,0)</f>
        <v>0</v>
      </c>
      <c r="G6" s="3">
        <f t="shared" si="0"/>
        <v>0</v>
      </c>
      <c r="H6" s="3">
        <f t="shared" si="2"/>
        <v>0</v>
      </c>
      <c r="I6" s="3">
        <f t="shared" si="1"/>
        <v>0</v>
      </c>
    </row>
    <row r="7" spans="1:12" x14ac:dyDescent="0.35">
      <c r="D7" s="2">
        <f>_xlfn.XLOOKUP(tblPrecios[[#This Row],[Moneda_Precio]],TIPOS_CAMBIO!A:A,TIPOS_CAMBIO!B:B,"",0)</f>
        <v>0</v>
      </c>
      <c r="E7" s="2">
        <f>_xlfn.XLOOKUP(tblPrecios[[#This Row],[SKU]],LANDED_COST!A:A,LANDED_COST!L:L,"00.00",0)</f>
        <v>0</v>
      </c>
      <c r="F7" s="3">
        <f>_xlfn.XLOOKUP(tblPrecios[[#This Row],[Tipo_Cliente]],POLITICAS_MARGEN!A:A,POLITICAS_MARGEN!B:B,0,0)</f>
        <v>0</v>
      </c>
      <c r="G7" s="3">
        <f t="shared" si="0"/>
        <v>0</v>
      </c>
      <c r="H7" s="3">
        <f t="shared" si="2"/>
        <v>0</v>
      </c>
      <c r="I7" s="3">
        <f t="shared" si="1"/>
        <v>0</v>
      </c>
    </row>
    <row r="8" spans="1:12" x14ac:dyDescent="0.35">
      <c r="D8" s="2">
        <f>_xlfn.XLOOKUP(tblPrecios[[#This Row],[Moneda_Precio]],TIPOS_CAMBIO!A:A,TIPOS_CAMBIO!B:B,"",0)</f>
        <v>0</v>
      </c>
      <c r="E8" s="2">
        <f>_xlfn.XLOOKUP(tblPrecios[[#This Row],[SKU]],LANDED_COST!A:A,LANDED_COST!L:L,"00.00",0)</f>
        <v>0</v>
      </c>
      <c r="F8" s="3">
        <f>_xlfn.XLOOKUP(tblPrecios[[#This Row],[Tipo_Cliente]],POLITICAS_MARGEN!A:A,POLITICAS_MARGEN!B:B,0,0)</f>
        <v>0</v>
      </c>
      <c r="G8" s="3">
        <f t="shared" si="0"/>
        <v>0</v>
      </c>
      <c r="H8" s="3">
        <f t="shared" si="2"/>
        <v>0</v>
      </c>
      <c r="I8" s="3">
        <f t="shared" si="1"/>
        <v>0</v>
      </c>
    </row>
    <row r="9" spans="1:12" x14ac:dyDescent="0.35">
      <c r="D9" s="2">
        <f>_xlfn.XLOOKUP(tblPrecios[[#This Row],[Moneda_Precio]],TIPOS_CAMBIO!A:A,TIPOS_CAMBIO!B:B,"",0)</f>
        <v>0</v>
      </c>
      <c r="E9" s="2">
        <f>_xlfn.XLOOKUP(tblPrecios[[#This Row],[SKU]],LANDED_COST!A:A,LANDED_COST!L:L,"00.00",0)</f>
        <v>0</v>
      </c>
      <c r="F9" s="3">
        <f>_xlfn.XLOOKUP(tblPrecios[[#This Row],[Tipo_Cliente]],POLITICAS_MARGEN!A:A,POLITICAS_MARGEN!B:B,0,0)</f>
        <v>0</v>
      </c>
      <c r="G9" s="3">
        <f t="shared" si="0"/>
        <v>0</v>
      </c>
      <c r="H9" s="3">
        <f t="shared" si="2"/>
        <v>0</v>
      </c>
      <c r="I9" s="3">
        <f t="shared" si="1"/>
        <v>0</v>
      </c>
    </row>
    <row r="10" spans="1:12" x14ac:dyDescent="0.35">
      <c r="D10" s="2">
        <f>_xlfn.XLOOKUP(tblPrecios[[#This Row],[Moneda_Precio]],TIPOS_CAMBIO!A:A,TIPOS_CAMBIO!B:B,"",0)</f>
        <v>0</v>
      </c>
      <c r="E10" s="2">
        <f>_xlfn.XLOOKUP(tblPrecios[[#This Row],[SKU]],LANDED_COST!A:A,LANDED_COST!L:L,"00.00",0)</f>
        <v>0</v>
      </c>
      <c r="F10" s="3">
        <f>_xlfn.XLOOKUP(tblPrecios[[#This Row],[Tipo_Cliente]],POLITICAS_MARGEN!A:A,POLITICAS_MARGEN!B:B,0,0)</f>
        <v>0</v>
      </c>
      <c r="G10" s="3">
        <f t="shared" si="0"/>
        <v>0</v>
      </c>
      <c r="H10" s="3">
        <f t="shared" si="2"/>
        <v>0</v>
      </c>
      <c r="I10" s="3">
        <f t="shared" si="1"/>
        <v>0</v>
      </c>
    </row>
    <row r="11" spans="1:12" x14ac:dyDescent="0.35">
      <c r="D11" s="2">
        <f>_xlfn.XLOOKUP(tblPrecios[[#This Row],[Moneda_Precio]],TIPOS_CAMBIO!A:A,TIPOS_CAMBIO!B:B,"",0)</f>
        <v>0</v>
      </c>
      <c r="E11" s="2">
        <f>_xlfn.XLOOKUP(tblPrecios[[#This Row],[SKU]],LANDED_COST!A:A,LANDED_COST!L:L,"00.00",0)</f>
        <v>0</v>
      </c>
      <c r="F11" s="3">
        <f>_xlfn.XLOOKUP(tblPrecios[[#This Row],[Tipo_Cliente]],POLITICAS_MARGEN!A:A,POLITICAS_MARGEN!B:B,0,0)</f>
        <v>0</v>
      </c>
      <c r="G11" s="3">
        <f t="shared" si="0"/>
        <v>0</v>
      </c>
      <c r="H11" s="3">
        <f t="shared" si="2"/>
        <v>0</v>
      </c>
      <c r="I11" s="3">
        <f t="shared" si="1"/>
        <v>0</v>
      </c>
    </row>
    <row r="12" spans="1:12" x14ac:dyDescent="0.35">
      <c r="D12" s="2">
        <f>_xlfn.XLOOKUP(tblPrecios[[#This Row],[Moneda_Precio]],TIPOS_CAMBIO!A:A,TIPOS_CAMBIO!B:B,"",0)</f>
        <v>0</v>
      </c>
      <c r="E12" s="2">
        <f>_xlfn.XLOOKUP(tblPrecios[[#This Row],[SKU]],LANDED_COST!A:A,LANDED_COST!L:L,"00.00",0)</f>
        <v>0</v>
      </c>
      <c r="F12" s="3">
        <f>_xlfn.XLOOKUP(tblPrecios[[#This Row],[Tipo_Cliente]],POLITICAS_MARGEN!A:A,POLITICAS_MARGEN!B:B,0,0)</f>
        <v>0</v>
      </c>
      <c r="G12" s="3">
        <f t="shared" si="0"/>
        <v>0</v>
      </c>
      <c r="H12" s="3">
        <f t="shared" si="2"/>
        <v>0</v>
      </c>
      <c r="I12" s="3">
        <f t="shared" si="1"/>
        <v>0</v>
      </c>
    </row>
    <row r="13" spans="1:12" x14ac:dyDescent="0.35">
      <c r="D13" s="2">
        <f>_xlfn.XLOOKUP(tblPrecios[[#This Row],[Moneda_Precio]],TIPOS_CAMBIO!A:A,TIPOS_CAMBIO!B:B,"",0)</f>
        <v>0</v>
      </c>
      <c r="E13" s="2">
        <f>_xlfn.XLOOKUP(tblPrecios[[#This Row],[SKU]],LANDED_COST!A:A,LANDED_COST!L:L,"00.00",0)</f>
        <v>0</v>
      </c>
      <c r="F13" s="3">
        <f>_xlfn.XLOOKUP(tblPrecios[[#This Row],[Tipo_Cliente]],POLITICAS_MARGEN!A:A,POLITICAS_MARGEN!B:B,0,0)</f>
        <v>0</v>
      </c>
      <c r="G13" s="3">
        <f t="shared" si="0"/>
        <v>0</v>
      </c>
      <c r="H13" s="3">
        <f t="shared" si="2"/>
        <v>0</v>
      </c>
      <c r="I13" s="3">
        <f t="shared" si="1"/>
        <v>0</v>
      </c>
    </row>
    <row r="14" spans="1:12" x14ac:dyDescent="0.35">
      <c r="D14" s="2">
        <f>_xlfn.XLOOKUP(tblPrecios[[#This Row],[Moneda_Precio]],TIPOS_CAMBIO!A:A,TIPOS_CAMBIO!B:B,"",0)</f>
        <v>0</v>
      </c>
      <c r="E14" s="2">
        <f>_xlfn.XLOOKUP(tblPrecios[[#This Row],[SKU]],LANDED_COST!A:A,LANDED_COST!L:L,"00.00",0)</f>
        <v>0</v>
      </c>
      <c r="F14" s="3">
        <f>_xlfn.XLOOKUP(tblPrecios[[#This Row],[Tipo_Cliente]],POLITICAS_MARGEN!A:A,POLITICAS_MARGEN!B:B,0,0)</f>
        <v>0</v>
      </c>
      <c r="G14" s="3">
        <f t="shared" si="0"/>
        <v>0</v>
      </c>
      <c r="H14" s="3">
        <f t="shared" si="2"/>
        <v>0</v>
      </c>
      <c r="I14" s="3">
        <f t="shared" si="1"/>
        <v>0</v>
      </c>
    </row>
    <row r="15" spans="1:12" x14ac:dyDescent="0.35">
      <c r="D15" s="2">
        <f>_xlfn.XLOOKUP(tblPrecios[[#This Row],[Moneda_Precio]],TIPOS_CAMBIO!A:A,TIPOS_CAMBIO!B:B,"",0)</f>
        <v>0</v>
      </c>
      <c r="E15" s="2">
        <f>_xlfn.XLOOKUP(tblPrecios[[#This Row],[SKU]],LANDED_COST!A:A,LANDED_COST!L:L,"00.00",0)</f>
        <v>0</v>
      </c>
      <c r="F15" s="3">
        <f>_xlfn.XLOOKUP(tblPrecios[[#This Row],[Tipo_Cliente]],POLITICAS_MARGEN!A:A,POLITICAS_MARGEN!B:B,0,0)</f>
        <v>0</v>
      </c>
      <c r="G15" s="3">
        <f t="shared" si="0"/>
        <v>0</v>
      </c>
      <c r="H15" s="3">
        <f t="shared" si="2"/>
        <v>0</v>
      </c>
      <c r="I15" s="3">
        <f t="shared" si="1"/>
        <v>0</v>
      </c>
    </row>
    <row r="16" spans="1:12" x14ac:dyDescent="0.35">
      <c r="D16" s="2">
        <f>_xlfn.XLOOKUP(tblPrecios[[#This Row],[Moneda_Precio]],TIPOS_CAMBIO!A:A,TIPOS_CAMBIO!B:B,"",0)</f>
        <v>0</v>
      </c>
      <c r="E16" s="2">
        <f>_xlfn.XLOOKUP(tblPrecios[[#This Row],[SKU]],LANDED_COST!A:A,LANDED_COST!L:L,"00.00",0)</f>
        <v>0</v>
      </c>
      <c r="F16" s="3">
        <f>_xlfn.XLOOKUP(tblPrecios[[#This Row],[Tipo_Cliente]],POLITICAS_MARGEN!A:A,POLITICAS_MARGEN!B:B,0,0)</f>
        <v>0</v>
      </c>
      <c r="G16" s="3">
        <f t="shared" si="0"/>
        <v>0</v>
      </c>
      <c r="H16" s="3">
        <f t="shared" si="2"/>
        <v>0</v>
      </c>
      <c r="I16" s="3">
        <f t="shared" si="1"/>
        <v>0</v>
      </c>
    </row>
    <row r="17" spans="4:9" x14ac:dyDescent="0.35">
      <c r="D17" s="2">
        <f>_xlfn.XLOOKUP(tblPrecios[[#This Row],[Moneda_Precio]],TIPOS_CAMBIO!A:A,TIPOS_CAMBIO!B:B,"",0)</f>
        <v>0</v>
      </c>
      <c r="E17" s="2">
        <f>_xlfn.XLOOKUP(tblPrecios[[#This Row],[SKU]],LANDED_COST!A:A,LANDED_COST!L:L,"00.00",0)</f>
        <v>0</v>
      </c>
      <c r="F17" s="3">
        <f>_xlfn.XLOOKUP(tblPrecios[[#This Row],[Tipo_Cliente]],POLITICAS_MARGEN!A:A,POLITICAS_MARGEN!B:B,0,0)</f>
        <v>0</v>
      </c>
      <c r="G17" s="3">
        <f t="shared" si="0"/>
        <v>0</v>
      </c>
      <c r="H17" s="3">
        <f t="shared" si="2"/>
        <v>0</v>
      </c>
      <c r="I17" s="3">
        <f t="shared" si="1"/>
        <v>0</v>
      </c>
    </row>
    <row r="18" spans="4:9" x14ac:dyDescent="0.35">
      <c r="D18" s="2">
        <f>_xlfn.XLOOKUP(tblPrecios[[#This Row],[Moneda_Precio]],TIPOS_CAMBIO!A:A,TIPOS_CAMBIO!B:B,"",0)</f>
        <v>0</v>
      </c>
      <c r="E18" s="2">
        <f>_xlfn.XLOOKUP(tblPrecios[[#This Row],[SKU]],LANDED_COST!A:A,LANDED_COST!L:L,"00.00",0)</f>
        <v>0</v>
      </c>
      <c r="F18" s="3">
        <f>_xlfn.XLOOKUP(tblPrecios[[#This Row],[Tipo_Cliente]],POLITICAS_MARGEN!A:A,POLITICAS_MARGEN!B:B,0,0)</f>
        <v>0</v>
      </c>
      <c r="G18" s="3">
        <f t="shared" si="0"/>
        <v>0</v>
      </c>
      <c r="H18" s="3">
        <f t="shared" si="2"/>
        <v>0</v>
      </c>
      <c r="I18" s="3">
        <f t="shared" si="1"/>
        <v>0</v>
      </c>
    </row>
    <row r="19" spans="4:9" x14ac:dyDescent="0.35">
      <c r="D19" s="2">
        <f>_xlfn.XLOOKUP(tblPrecios[[#This Row],[Moneda_Precio]],TIPOS_CAMBIO!A:A,TIPOS_CAMBIO!B:B,"",0)</f>
        <v>0</v>
      </c>
      <c r="E19" s="2">
        <f>_xlfn.XLOOKUP(tblPrecios[[#This Row],[SKU]],LANDED_COST!A:A,LANDED_COST!L:L,"00.00",0)</f>
        <v>0</v>
      </c>
      <c r="F19" s="3">
        <f>_xlfn.XLOOKUP(tblPrecios[[#This Row],[Tipo_Cliente]],POLITICAS_MARGEN!A:A,POLITICAS_MARGEN!B:B,0,0)</f>
        <v>0</v>
      </c>
      <c r="G19" s="3">
        <f t="shared" si="0"/>
        <v>0</v>
      </c>
      <c r="H19" s="3">
        <f t="shared" si="2"/>
        <v>0</v>
      </c>
      <c r="I19" s="3">
        <f t="shared" si="1"/>
        <v>0</v>
      </c>
    </row>
    <row r="20" spans="4:9" x14ac:dyDescent="0.35">
      <c r="D20" s="2">
        <f>_xlfn.XLOOKUP(tblPrecios[[#This Row],[Moneda_Precio]],TIPOS_CAMBIO!A:A,TIPOS_CAMBIO!B:B,"",0)</f>
        <v>0</v>
      </c>
      <c r="E20" s="2">
        <f>_xlfn.XLOOKUP(tblPrecios[[#This Row],[SKU]],LANDED_COST!A:A,LANDED_COST!L:L,"00.00",0)</f>
        <v>0</v>
      </c>
      <c r="F20" s="3">
        <f>_xlfn.XLOOKUP(tblPrecios[[#This Row],[Tipo_Cliente]],POLITICAS_MARGEN!A:A,POLITICAS_MARGEN!B:B,0,0)</f>
        <v>0</v>
      </c>
      <c r="G20" s="3">
        <f t="shared" si="0"/>
        <v>0</v>
      </c>
      <c r="H20" s="3">
        <f t="shared" si="2"/>
        <v>0</v>
      </c>
      <c r="I20" s="3">
        <f t="shared" si="1"/>
        <v>0</v>
      </c>
    </row>
    <row r="21" spans="4:9" x14ac:dyDescent="0.35">
      <c r="D21" s="2">
        <f>_xlfn.XLOOKUP(tblPrecios[[#This Row],[Moneda_Precio]],TIPOS_CAMBIO!A:A,TIPOS_CAMBIO!B:B,"",0)</f>
        <v>0</v>
      </c>
      <c r="E21" s="2">
        <f>_xlfn.XLOOKUP(tblPrecios[[#This Row],[SKU]],LANDED_COST!A:A,LANDED_COST!L:L,"00.00",0)</f>
        <v>0</v>
      </c>
      <c r="F21" s="3">
        <f>_xlfn.XLOOKUP(tblPrecios[[#This Row],[Tipo_Cliente]],POLITICAS_MARGEN!A:A,POLITICAS_MARGEN!B:B,0,0)</f>
        <v>0</v>
      </c>
      <c r="G21" s="3">
        <f t="shared" si="0"/>
        <v>0</v>
      </c>
      <c r="H21" s="3">
        <f t="shared" si="2"/>
        <v>0</v>
      </c>
      <c r="I21" s="3">
        <f t="shared" si="1"/>
        <v>0</v>
      </c>
    </row>
    <row r="22" spans="4:9" x14ac:dyDescent="0.35">
      <c r="D22" s="2">
        <f>_xlfn.XLOOKUP(tblPrecios[[#This Row],[Moneda_Precio]],TIPOS_CAMBIO!A:A,TIPOS_CAMBIO!B:B,"",0)</f>
        <v>0</v>
      </c>
      <c r="E22" s="2">
        <f>_xlfn.XLOOKUP(tblPrecios[[#This Row],[SKU]],LANDED_COST!A:A,LANDED_COST!L:L,"00.00",0)</f>
        <v>0</v>
      </c>
      <c r="F22" s="3">
        <f>_xlfn.XLOOKUP(tblPrecios[[#This Row],[Tipo_Cliente]],POLITICAS_MARGEN!A:A,POLITICAS_MARGEN!B:B,0,0)</f>
        <v>0</v>
      </c>
      <c r="G22" s="3">
        <f t="shared" si="0"/>
        <v>0</v>
      </c>
      <c r="H22" s="3">
        <f t="shared" si="2"/>
        <v>0</v>
      </c>
      <c r="I22" s="3">
        <f t="shared" si="1"/>
        <v>0</v>
      </c>
    </row>
    <row r="23" spans="4:9" x14ac:dyDescent="0.35">
      <c r="D23" s="2">
        <f>_xlfn.XLOOKUP(tblPrecios[[#This Row],[Moneda_Precio]],TIPOS_CAMBIO!A:A,TIPOS_CAMBIO!B:B,"",0)</f>
        <v>0</v>
      </c>
      <c r="E23" s="2">
        <f>_xlfn.XLOOKUP(tblPrecios[[#This Row],[SKU]],LANDED_COST!A:A,LANDED_COST!L:L,"00.00",0)</f>
        <v>0</v>
      </c>
      <c r="F23" s="3">
        <f>_xlfn.XLOOKUP(tblPrecios[[#This Row],[Tipo_Cliente]],POLITICAS_MARGEN!A:A,POLITICAS_MARGEN!B:B,0,0)</f>
        <v>0</v>
      </c>
      <c r="G23" s="3">
        <f t="shared" si="0"/>
        <v>0</v>
      </c>
      <c r="H23" s="3">
        <f t="shared" si="2"/>
        <v>0</v>
      </c>
      <c r="I23" s="3">
        <f t="shared" si="1"/>
        <v>0</v>
      </c>
    </row>
    <row r="24" spans="4:9" x14ac:dyDescent="0.35">
      <c r="D24" s="2">
        <f>_xlfn.XLOOKUP(tblPrecios[[#This Row],[Moneda_Precio]],TIPOS_CAMBIO!A:A,TIPOS_CAMBIO!B:B,"",0)</f>
        <v>0</v>
      </c>
      <c r="E24" s="2">
        <f>_xlfn.XLOOKUP(tblPrecios[[#This Row],[SKU]],LANDED_COST!A:A,LANDED_COST!L:L,"00.00",0)</f>
        <v>0</v>
      </c>
      <c r="F24" s="3">
        <f>_xlfn.XLOOKUP(tblPrecios[[#This Row],[Tipo_Cliente]],POLITICAS_MARGEN!A:A,POLITICAS_MARGEN!B:B,0,0)</f>
        <v>0</v>
      </c>
      <c r="G24" s="3">
        <f t="shared" si="0"/>
        <v>0</v>
      </c>
      <c r="H24" s="3">
        <f t="shared" si="2"/>
        <v>0</v>
      </c>
      <c r="I24" s="3">
        <f t="shared" si="1"/>
        <v>0</v>
      </c>
    </row>
    <row r="25" spans="4:9" x14ac:dyDescent="0.35">
      <c r="D25" s="2">
        <f>_xlfn.XLOOKUP(tblPrecios[[#This Row],[Moneda_Precio]],TIPOS_CAMBIO!A:A,TIPOS_CAMBIO!B:B,"",0)</f>
        <v>0</v>
      </c>
      <c r="E25" s="2">
        <f>_xlfn.XLOOKUP(tblPrecios[[#This Row],[SKU]],LANDED_COST!A:A,LANDED_COST!L:L,"00.00",0)</f>
        <v>0</v>
      </c>
      <c r="F25" s="3">
        <f>_xlfn.XLOOKUP(tblPrecios[[#This Row],[Tipo_Cliente]],POLITICAS_MARGEN!A:A,POLITICAS_MARGEN!B:B,0,0)</f>
        <v>0</v>
      </c>
      <c r="G25" s="3">
        <f t="shared" si="0"/>
        <v>0</v>
      </c>
      <c r="H25" s="3">
        <f t="shared" si="2"/>
        <v>0</v>
      </c>
      <c r="I25" s="3">
        <f t="shared" si="1"/>
        <v>0</v>
      </c>
    </row>
    <row r="26" spans="4:9" x14ac:dyDescent="0.35">
      <c r="D26" s="2">
        <f>_xlfn.XLOOKUP(tblPrecios[[#This Row],[Moneda_Precio]],TIPOS_CAMBIO!A:A,TIPOS_CAMBIO!B:B,"",0)</f>
        <v>0</v>
      </c>
      <c r="E26" s="2">
        <f>_xlfn.XLOOKUP(tblPrecios[[#This Row],[SKU]],LANDED_COST!A:A,LANDED_COST!L:L,"00.00",0)</f>
        <v>0</v>
      </c>
      <c r="F26" s="3">
        <f>_xlfn.XLOOKUP(tblPrecios[[#This Row],[Tipo_Cliente]],POLITICAS_MARGEN!A:A,POLITICAS_MARGEN!B:B,0,0)</f>
        <v>0</v>
      </c>
      <c r="G26" s="3">
        <f t="shared" si="0"/>
        <v>0</v>
      </c>
      <c r="H26" s="3">
        <f t="shared" si="2"/>
        <v>0</v>
      </c>
      <c r="I26" s="3">
        <f t="shared" si="1"/>
        <v>0</v>
      </c>
    </row>
    <row r="27" spans="4:9" x14ac:dyDescent="0.35">
      <c r="D27" s="2">
        <f>_xlfn.XLOOKUP(tblPrecios[[#This Row],[Moneda_Precio]],TIPOS_CAMBIO!A:A,TIPOS_CAMBIO!B:B,"",0)</f>
        <v>0</v>
      </c>
      <c r="E27" s="2">
        <f>_xlfn.XLOOKUP(tblPrecios[[#This Row],[SKU]],LANDED_COST!A:A,LANDED_COST!L:L,"00.00",0)</f>
        <v>0</v>
      </c>
      <c r="F27" s="3">
        <f>_xlfn.XLOOKUP(tblPrecios[[#This Row],[Tipo_Cliente]],POLITICAS_MARGEN!A:A,POLITICAS_MARGEN!B:B,0,0)</f>
        <v>0</v>
      </c>
      <c r="G27" s="3">
        <f t="shared" si="0"/>
        <v>0</v>
      </c>
      <c r="H27" s="3">
        <f t="shared" si="2"/>
        <v>0</v>
      </c>
      <c r="I27" s="3">
        <f t="shared" si="1"/>
        <v>0</v>
      </c>
    </row>
    <row r="28" spans="4:9" x14ac:dyDescent="0.35">
      <c r="D28" s="2">
        <f>_xlfn.XLOOKUP(tblPrecios[[#This Row],[Moneda_Precio]],TIPOS_CAMBIO!A:A,TIPOS_CAMBIO!B:B,"",0)</f>
        <v>0</v>
      </c>
      <c r="E28" s="2">
        <f>_xlfn.XLOOKUP(tblPrecios[[#This Row],[SKU]],LANDED_COST!A:A,LANDED_COST!L:L,"00.00",0)</f>
        <v>0</v>
      </c>
      <c r="F28" s="3">
        <f>_xlfn.XLOOKUP(tblPrecios[[#This Row],[Tipo_Cliente]],POLITICAS_MARGEN!A:A,POLITICAS_MARGEN!B:B,0,0)</f>
        <v>0</v>
      </c>
      <c r="G28" s="3">
        <f t="shared" si="0"/>
        <v>0</v>
      </c>
      <c r="H28" s="3">
        <f t="shared" si="2"/>
        <v>0</v>
      </c>
      <c r="I28" s="3">
        <f t="shared" si="1"/>
        <v>0</v>
      </c>
    </row>
    <row r="29" spans="4:9" x14ac:dyDescent="0.35">
      <c r="D29" s="2">
        <f>_xlfn.XLOOKUP(tblPrecios[[#This Row],[Moneda_Precio]],TIPOS_CAMBIO!A:A,TIPOS_CAMBIO!B:B,"",0)</f>
        <v>0</v>
      </c>
      <c r="E29" s="2">
        <f>_xlfn.XLOOKUP(tblPrecios[[#This Row],[SKU]],LANDED_COST!A:A,LANDED_COST!L:L,"00.00",0)</f>
        <v>0</v>
      </c>
      <c r="F29" s="3">
        <f>_xlfn.XLOOKUP(tblPrecios[[#This Row],[Tipo_Cliente]],POLITICAS_MARGEN!A:A,POLITICAS_MARGEN!B:B,0,0)</f>
        <v>0</v>
      </c>
      <c r="G29" s="3">
        <f t="shared" si="0"/>
        <v>0</v>
      </c>
      <c r="H29" s="3">
        <f t="shared" si="2"/>
        <v>0</v>
      </c>
      <c r="I29" s="3">
        <f t="shared" si="1"/>
        <v>0</v>
      </c>
    </row>
    <row r="30" spans="4:9" x14ac:dyDescent="0.35">
      <c r="D30" s="2">
        <f>_xlfn.XLOOKUP(tblPrecios[[#This Row],[Moneda_Precio]],TIPOS_CAMBIO!A:A,TIPOS_CAMBIO!B:B,"",0)</f>
        <v>0</v>
      </c>
      <c r="E30" s="2">
        <f>_xlfn.XLOOKUP(tblPrecios[[#This Row],[SKU]],LANDED_COST!A:A,LANDED_COST!L:L,"00.00",0)</f>
        <v>0</v>
      </c>
      <c r="F30" s="3">
        <f>_xlfn.XLOOKUP(tblPrecios[[#This Row],[Tipo_Cliente]],POLITICAS_MARGEN!A:A,POLITICAS_MARGEN!B:B,0,0)</f>
        <v>0</v>
      </c>
      <c r="G30" s="3">
        <f t="shared" si="0"/>
        <v>0</v>
      </c>
      <c r="H30" s="3">
        <f t="shared" si="2"/>
        <v>0</v>
      </c>
      <c r="I30" s="3">
        <f t="shared" si="1"/>
        <v>0</v>
      </c>
    </row>
    <row r="31" spans="4:9" x14ac:dyDescent="0.35">
      <c r="D31" s="2">
        <f>_xlfn.XLOOKUP(tblPrecios[[#This Row],[Moneda_Precio]],TIPOS_CAMBIO!A:A,TIPOS_CAMBIO!B:B,"",0)</f>
        <v>0</v>
      </c>
      <c r="E31" s="2">
        <f>_xlfn.XLOOKUP(tblPrecios[[#This Row],[SKU]],LANDED_COST!A:A,LANDED_COST!L:L,"00.00",0)</f>
        <v>0</v>
      </c>
      <c r="F31" s="3">
        <f>_xlfn.XLOOKUP(tblPrecios[[#This Row],[Tipo_Cliente]],POLITICAS_MARGEN!A:A,POLITICAS_MARGEN!B:B,0,0)</f>
        <v>0</v>
      </c>
      <c r="G31" s="3">
        <f t="shared" si="0"/>
        <v>0</v>
      </c>
      <c r="H31" s="3">
        <f t="shared" si="2"/>
        <v>0</v>
      </c>
      <c r="I31" s="3">
        <f t="shared" si="1"/>
        <v>0</v>
      </c>
    </row>
    <row r="32" spans="4:9" x14ac:dyDescent="0.35">
      <c r="D32" s="2">
        <f>_xlfn.XLOOKUP(tblPrecios[[#This Row],[Moneda_Precio]],TIPOS_CAMBIO!A:A,TIPOS_CAMBIO!B:B,"",0)</f>
        <v>0</v>
      </c>
      <c r="E32" s="2">
        <f>_xlfn.XLOOKUP(tblPrecios[[#This Row],[SKU]],LANDED_COST!A:A,LANDED_COST!L:L,"00.00",0)</f>
        <v>0</v>
      </c>
      <c r="F32" s="3">
        <f>_xlfn.XLOOKUP(tblPrecios[[#This Row],[Tipo_Cliente]],POLITICAS_MARGEN!A:A,POLITICAS_MARGEN!B:B,0,0)</f>
        <v>0</v>
      </c>
      <c r="G32" s="3">
        <f t="shared" si="0"/>
        <v>0</v>
      </c>
      <c r="H32" s="3">
        <f t="shared" si="2"/>
        <v>0</v>
      </c>
      <c r="I32" s="3">
        <f t="shared" si="1"/>
        <v>0</v>
      </c>
    </row>
    <row r="33" spans="4:9" x14ac:dyDescent="0.35">
      <c r="D33" s="2">
        <f>_xlfn.XLOOKUP(tblPrecios[[#This Row],[Moneda_Precio]],TIPOS_CAMBIO!A:A,TIPOS_CAMBIO!B:B,"",0)</f>
        <v>0</v>
      </c>
      <c r="E33" s="2">
        <f>_xlfn.XLOOKUP(tblPrecios[[#This Row],[SKU]],LANDED_COST!A:A,LANDED_COST!L:L,"00.00",0)</f>
        <v>0</v>
      </c>
      <c r="F33" s="3">
        <f>_xlfn.XLOOKUP(tblPrecios[[#This Row],[Tipo_Cliente]],POLITICAS_MARGEN!A:A,POLITICAS_MARGEN!B:B,0,0)</f>
        <v>0</v>
      </c>
      <c r="G33" s="3">
        <f t="shared" si="0"/>
        <v>0</v>
      </c>
      <c r="H33" s="3">
        <f t="shared" si="2"/>
        <v>0</v>
      </c>
      <c r="I33" s="3">
        <f t="shared" si="1"/>
        <v>0</v>
      </c>
    </row>
    <row r="34" spans="4:9" x14ac:dyDescent="0.35">
      <c r="D34" s="2">
        <f>_xlfn.XLOOKUP(tblPrecios[[#This Row],[Moneda_Precio]],TIPOS_CAMBIO!A:A,TIPOS_CAMBIO!B:B,"",0)</f>
        <v>0</v>
      </c>
      <c r="E34" s="2">
        <f>_xlfn.XLOOKUP(tblPrecios[[#This Row],[SKU]],LANDED_COST!A:A,LANDED_COST!L:L,"00.00",0)</f>
        <v>0</v>
      </c>
      <c r="F34" s="3">
        <f>_xlfn.XLOOKUP(tblPrecios[[#This Row],[Tipo_Cliente]],POLITICAS_MARGEN!A:A,POLITICAS_MARGEN!B:B,0,0)</f>
        <v>0</v>
      </c>
      <c r="G34" s="3">
        <f t="shared" si="0"/>
        <v>0</v>
      </c>
      <c r="H34" s="3">
        <f t="shared" si="2"/>
        <v>0</v>
      </c>
      <c r="I34" s="3">
        <f t="shared" si="1"/>
        <v>0</v>
      </c>
    </row>
    <row r="35" spans="4:9" x14ac:dyDescent="0.35">
      <c r="D35" s="2">
        <f>_xlfn.XLOOKUP(tblPrecios[[#This Row],[Moneda_Precio]],TIPOS_CAMBIO!A:A,TIPOS_CAMBIO!B:B,"",0)</f>
        <v>0</v>
      </c>
      <c r="E35" s="2">
        <f>_xlfn.XLOOKUP(tblPrecios[[#This Row],[SKU]],LANDED_COST!A:A,LANDED_COST!L:L,"00.00",0)</f>
        <v>0</v>
      </c>
      <c r="F35" s="3">
        <f>_xlfn.XLOOKUP(tblPrecios[[#This Row],[Tipo_Cliente]],POLITICAS_MARGEN!A:A,POLITICAS_MARGEN!B:B,0,0)</f>
        <v>0</v>
      </c>
      <c r="G35" s="3">
        <f t="shared" si="0"/>
        <v>0</v>
      </c>
      <c r="H35" s="3">
        <f t="shared" si="2"/>
        <v>0</v>
      </c>
      <c r="I35" s="3">
        <f t="shared" si="1"/>
        <v>0</v>
      </c>
    </row>
    <row r="36" spans="4:9" x14ac:dyDescent="0.35">
      <c r="D36" s="2">
        <f>_xlfn.XLOOKUP(tblPrecios[[#This Row],[Moneda_Precio]],TIPOS_CAMBIO!A:A,TIPOS_CAMBIO!B:B,"",0)</f>
        <v>0</v>
      </c>
      <c r="E36" s="2">
        <f>_xlfn.XLOOKUP(tblPrecios[[#This Row],[SKU]],LANDED_COST!A:A,LANDED_COST!L:L,"00.00",0)</f>
        <v>0</v>
      </c>
      <c r="F36" s="3">
        <f>_xlfn.XLOOKUP(tblPrecios[[#This Row],[Tipo_Cliente]],POLITICAS_MARGEN!A:A,POLITICAS_MARGEN!B:B,0,0)</f>
        <v>0</v>
      </c>
      <c r="G36" s="3">
        <f t="shared" si="0"/>
        <v>0</v>
      </c>
      <c r="H36" s="3">
        <f t="shared" si="2"/>
        <v>0</v>
      </c>
      <c r="I36" s="3">
        <f t="shared" si="1"/>
        <v>0</v>
      </c>
    </row>
    <row r="37" spans="4:9" x14ac:dyDescent="0.35">
      <c r="D37" s="2">
        <f>_xlfn.XLOOKUP(tblPrecios[[#This Row],[Moneda_Precio]],TIPOS_CAMBIO!A:A,TIPOS_CAMBIO!B:B,"",0)</f>
        <v>0</v>
      </c>
      <c r="E37" s="2">
        <f>_xlfn.XLOOKUP(tblPrecios[[#This Row],[SKU]],LANDED_COST!A:A,LANDED_COST!L:L,"00.00",0)</f>
        <v>0</v>
      </c>
      <c r="F37" s="3">
        <f>_xlfn.XLOOKUP(tblPrecios[[#This Row],[Tipo_Cliente]],POLITICAS_MARGEN!A:A,POLITICAS_MARGEN!B:B,0,0)</f>
        <v>0</v>
      </c>
      <c r="G37" s="3">
        <f t="shared" si="0"/>
        <v>0</v>
      </c>
      <c r="H37" s="3">
        <f t="shared" si="2"/>
        <v>0</v>
      </c>
      <c r="I37" s="3">
        <f t="shared" si="1"/>
        <v>0</v>
      </c>
    </row>
    <row r="38" spans="4:9" x14ac:dyDescent="0.35">
      <c r="D38" s="2">
        <f>_xlfn.XLOOKUP(tblPrecios[[#This Row],[Moneda_Precio]],TIPOS_CAMBIO!A:A,TIPOS_CAMBIO!B:B,"",0)</f>
        <v>0</v>
      </c>
      <c r="E38" s="2">
        <f>_xlfn.XLOOKUP(tblPrecios[[#This Row],[SKU]],LANDED_COST!A:A,LANDED_COST!L:L,"00.00",0)</f>
        <v>0</v>
      </c>
      <c r="F38" s="3">
        <f>_xlfn.XLOOKUP(tblPrecios[[#This Row],[Tipo_Cliente]],POLITICAS_MARGEN!A:A,POLITICAS_MARGEN!B:B,0,0)</f>
        <v>0</v>
      </c>
      <c r="G38" s="3">
        <f t="shared" si="0"/>
        <v>0</v>
      </c>
      <c r="H38" s="3">
        <f t="shared" si="2"/>
        <v>0</v>
      </c>
      <c r="I38" s="3">
        <f t="shared" si="1"/>
        <v>0</v>
      </c>
    </row>
    <row r="39" spans="4:9" x14ac:dyDescent="0.35">
      <c r="D39" s="2">
        <f>_xlfn.XLOOKUP(tblPrecios[[#This Row],[Moneda_Precio]],TIPOS_CAMBIO!A:A,TIPOS_CAMBIO!B:B,"",0)</f>
        <v>0</v>
      </c>
      <c r="E39" s="2">
        <f>_xlfn.XLOOKUP(tblPrecios[[#This Row],[SKU]],LANDED_COST!A:A,LANDED_COST!L:L,"00.00",0)</f>
        <v>0</v>
      </c>
      <c r="F39" s="3">
        <f>_xlfn.XLOOKUP(tblPrecios[[#This Row],[Tipo_Cliente]],POLITICAS_MARGEN!A:A,POLITICAS_MARGEN!B:B,0,0)</f>
        <v>0</v>
      </c>
      <c r="G39" s="3">
        <f t="shared" si="0"/>
        <v>0</v>
      </c>
      <c r="H39" s="3">
        <f t="shared" si="2"/>
        <v>0</v>
      </c>
      <c r="I39" s="3">
        <f t="shared" si="1"/>
        <v>0</v>
      </c>
    </row>
    <row r="40" spans="4:9" x14ac:dyDescent="0.35">
      <c r="D40" s="2">
        <f>_xlfn.XLOOKUP(tblPrecios[[#This Row],[Moneda_Precio]],TIPOS_CAMBIO!A:A,TIPOS_CAMBIO!B:B,"",0)</f>
        <v>0</v>
      </c>
      <c r="E40" s="2">
        <f>_xlfn.XLOOKUP(tblPrecios[[#This Row],[SKU]],LANDED_COST!A:A,LANDED_COST!L:L,"00.00",0)</f>
        <v>0</v>
      </c>
      <c r="F40" s="3">
        <f>_xlfn.XLOOKUP(tblPrecios[[#This Row],[Tipo_Cliente]],POLITICAS_MARGEN!A:A,POLITICAS_MARGEN!B:B,0,0)</f>
        <v>0</v>
      </c>
      <c r="G40" s="3">
        <f t="shared" si="0"/>
        <v>0</v>
      </c>
      <c r="H40" s="3">
        <f t="shared" si="2"/>
        <v>0</v>
      </c>
      <c r="I40" s="3">
        <f t="shared" si="1"/>
        <v>0</v>
      </c>
    </row>
    <row r="41" spans="4:9" x14ac:dyDescent="0.35">
      <c r="D41" s="2">
        <f>_xlfn.XLOOKUP(tblPrecios[[#This Row],[Moneda_Precio]],TIPOS_CAMBIO!A:A,TIPOS_CAMBIO!B:B,"",0)</f>
        <v>0</v>
      </c>
      <c r="E41" s="2">
        <f>_xlfn.XLOOKUP(tblPrecios[[#This Row],[SKU]],LANDED_COST!A:A,LANDED_COST!L:L,"00.00",0)</f>
        <v>0</v>
      </c>
      <c r="F41" s="3">
        <f>_xlfn.XLOOKUP(tblPrecios[[#This Row],[Tipo_Cliente]],POLITICAS_MARGEN!A:A,POLITICAS_MARGEN!B:B,0,0)</f>
        <v>0</v>
      </c>
      <c r="G41" s="3">
        <f t="shared" si="0"/>
        <v>0</v>
      </c>
      <c r="H41" s="3">
        <f t="shared" si="2"/>
        <v>0</v>
      </c>
      <c r="I41" s="3">
        <f t="shared" si="1"/>
        <v>0</v>
      </c>
    </row>
    <row r="42" spans="4:9" x14ac:dyDescent="0.35">
      <c r="D42" s="2">
        <f>_xlfn.XLOOKUP(tblPrecios[[#This Row],[Moneda_Precio]],TIPOS_CAMBIO!A:A,TIPOS_CAMBIO!B:B,"",0)</f>
        <v>0</v>
      </c>
      <c r="E42" s="2">
        <f>_xlfn.XLOOKUP(tblPrecios[[#This Row],[SKU]],LANDED_COST!A:A,LANDED_COST!L:L,"00.00",0)</f>
        <v>0</v>
      </c>
      <c r="F42" s="3">
        <f>_xlfn.XLOOKUP(tblPrecios[[#This Row],[Tipo_Cliente]],POLITICAS_MARGEN!A:A,POLITICAS_MARGEN!B:B,0,0)</f>
        <v>0</v>
      </c>
      <c r="G42" s="3">
        <f t="shared" si="0"/>
        <v>0</v>
      </c>
      <c r="H42" s="3">
        <f t="shared" si="2"/>
        <v>0</v>
      </c>
      <c r="I42" s="3">
        <f t="shared" si="1"/>
        <v>0</v>
      </c>
    </row>
    <row r="43" spans="4:9" x14ac:dyDescent="0.35">
      <c r="D43" s="2">
        <f>_xlfn.XLOOKUP(tblPrecios[[#This Row],[Moneda_Precio]],TIPOS_CAMBIO!A:A,TIPOS_CAMBIO!B:B,"",0)</f>
        <v>0</v>
      </c>
      <c r="E43" s="2">
        <f>_xlfn.XLOOKUP(tblPrecios[[#This Row],[SKU]],LANDED_COST!A:A,LANDED_COST!L:L,"00.00",0)</f>
        <v>0</v>
      </c>
      <c r="F43" s="3">
        <f>_xlfn.XLOOKUP(tblPrecios[[#This Row],[Tipo_Cliente]],POLITICAS_MARGEN!A:A,POLITICAS_MARGEN!B:B,0,0)</f>
        <v>0</v>
      </c>
      <c r="G43" s="3">
        <f t="shared" si="0"/>
        <v>0</v>
      </c>
      <c r="H43" s="3">
        <f t="shared" si="2"/>
        <v>0</v>
      </c>
      <c r="I43" s="3">
        <f t="shared" si="1"/>
        <v>0</v>
      </c>
    </row>
    <row r="44" spans="4:9" x14ac:dyDescent="0.35">
      <c r="D44" s="2">
        <f>_xlfn.XLOOKUP(tblPrecios[[#This Row],[Moneda_Precio]],TIPOS_CAMBIO!A:A,TIPOS_CAMBIO!B:B,"",0)</f>
        <v>0</v>
      </c>
      <c r="E44" s="2">
        <f>_xlfn.XLOOKUP(tblPrecios[[#This Row],[SKU]],LANDED_COST!A:A,LANDED_COST!L:L,"00.00",0)</f>
        <v>0</v>
      </c>
      <c r="F44" s="3">
        <f>_xlfn.XLOOKUP(tblPrecios[[#This Row],[Tipo_Cliente]],POLITICAS_MARGEN!A:A,POLITICAS_MARGEN!B:B,0,0)</f>
        <v>0</v>
      </c>
      <c r="G44" s="3">
        <f t="shared" si="0"/>
        <v>0</v>
      </c>
      <c r="H44" s="3">
        <f t="shared" si="2"/>
        <v>0</v>
      </c>
      <c r="I44" s="3">
        <f t="shared" si="1"/>
        <v>0</v>
      </c>
    </row>
    <row r="45" spans="4:9" x14ac:dyDescent="0.35">
      <c r="D45" s="2">
        <f>_xlfn.XLOOKUP(tblPrecios[[#This Row],[Moneda_Precio]],TIPOS_CAMBIO!A:A,TIPOS_CAMBIO!B:B,"",0)</f>
        <v>0</v>
      </c>
      <c r="E45" s="2">
        <f>_xlfn.XLOOKUP(tblPrecios[[#This Row],[SKU]],LANDED_COST!A:A,LANDED_COST!L:L,"00.00",0)</f>
        <v>0</v>
      </c>
      <c r="F45" s="3">
        <f>_xlfn.XLOOKUP(tblPrecios[[#This Row],[Tipo_Cliente]],POLITICAS_MARGEN!A:A,POLITICAS_MARGEN!B:B,0,0)</f>
        <v>0</v>
      </c>
      <c r="G45" s="3">
        <f t="shared" si="0"/>
        <v>0</v>
      </c>
      <c r="H45" s="3">
        <f t="shared" si="2"/>
        <v>0</v>
      </c>
      <c r="I45" s="3">
        <f t="shared" si="1"/>
        <v>0</v>
      </c>
    </row>
    <row r="46" spans="4:9" x14ac:dyDescent="0.35">
      <c r="D46" s="2">
        <f>_xlfn.XLOOKUP(tblPrecios[[#This Row],[Moneda_Precio]],TIPOS_CAMBIO!A:A,TIPOS_CAMBIO!B:B,"",0)</f>
        <v>0</v>
      </c>
      <c r="E46" s="2">
        <f>_xlfn.XLOOKUP(tblPrecios[[#This Row],[SKU]],LANDED_COST!A:A,LANDED_COST!L:L,"00.00",0)</f>
        <v>0</v>
      </c>
      <c r="F46" s="3">
        <f>_xlfn.XLOOKUP(tblPrecios[[#This Row],[Tipo_Cliente]],POLITICAS_MARGEN!A:A,POLITICAS_MARGEN!B:B,0,0)</f>
        <v>0</v>
      </c>
      <c r="G46" s="3">
        <f t="shared" si="0"/>
        <v>0</v>
      </c>
      <c r="H46" s="3">
        <f t="shared" si="2"/>
        <v>0</v>
      </c>
      <c r="I46" s="3">
        <f t="shared" si="1"/>
        <v>0</v>
      </c>
    </row>
    <row r="47" spans="4:9" x14ac:dyDescent="0.35">
      <c r="D47" s="2">
        <f>_xlfn.XLOOKUP(tblPrecios[[#This Row],[Moneda_Precio]],TIPOS_CAMBIO!A:A,TIPOS_CAMBIO!B:B,"",0)</f>
        <v>0</v>
      </c>
      <c r="E47" s="2">
        <f>_xlfn.XLOOKUP(tblPrecios[[#This Row],[SKU]],LANDED_COST!A:A,LANDED_COST!L:L,"00.00",0)</f>
        <v>0</v>
      </c>
      <c r="F47" s="3">
        <f>_xlfn.XLOOKUP(tblPrecios[[#This Row],[Tipo_Cliente]],POLITICAS_MARGEN!A:A,POLITICAS_MARGEN!B:B,0,0)</f>
        <v>0</v>
      </c>
      <c r="G47" s="3">
        <f t="shared" si="0"/>
        <v>0</v>
      </c>
      <c r="H47" s="3">
        <f t="shared" si="2"/>
        <v>0</v>
      </c>
      <c r="I47" s="3">
        <f t="shared" si="1"/>
        <v>0</v>
      </c>
    </row>
    <row r="48" spans="4:9" x14ac:dyDescent="0.35">
      <c r="D48" s="2">
        <f>_xlfn.XLOOKUP(tblPrecios[[#This Row],[Moneda_Precio]],TIPOS_CAMBIO!A:A,TIPOS_CAMBIO!B:B,"",0)</f>
        <v>0</v>
      </c>
      <c r="E48" s="2">
        <f>_xlfn.XLOOKUP(tblPrecios[[#This Row],[SKU]],LANDED_COST!A:A,LANDED_COST!L:L,"00.00",0)</f>
        <v>0</v>
      </c>
      <c r="F48" s="3">
        <f>_xlfn.XLOOKUP(tblPrecios[[#This Row],[Tipo_Cliente]],POLITICAS_MARGEN!A:A,POLITICAS_MARGEN!B:B,0,0)</f>
        <v>0</v>
      </c>
      <c r="G48" s="3">
        <f t="shared" si="0"/>
        <v>0</v>
      </c>
      <c r="H48" s="3">
        <f t="shared" si="2"/>
        <v>0</v>
      </c>
      <c r="I48" s="3">
        <f t="shared" si="1"/>
        <v>0</v>
      </c>
    </row>
    <row r="49" spans="4:9" x14ac:dyDescent="0.35">
      <c r="D49" s="2">
        <f>_xlfn.XLOOKUP(tblPrecios[[#This Row],[Moneda_Precio]],TIPOS_CAMBIO!A:A,TIPOS_CAMBIO!B:B,"",0)</f>
        <v>0</v>
      </c>
      <c r="E49" s="2">
        <f>_xlfn.XLOOKUP(tblPrecios[[#This Row],[SKU]],LANDED_COST!A:A,LANDED_COST!L:L,"00.00",0)</f>
        <v>0</v>
      </c>
      <c r="F49" s="3">
        <f>_xlfn.XLOOKUP(tblPrecios[[#This Row],[Tipo_Cliente]],POLITICAS_MARGEN!A:A,POLITICAS_MARGEN!B:B,0,0)</f>
        <v>0</v>
      </c>
      <c r="G49" s="3">
        <f t="shared" si="0"/>
        <v>0</v>
      </c>
      <c r="H49" s="3">
        <f t="shared" si="2"/>
        <v>0</v>
      </c>
      <c r="I49" s="3">
        <f t="shared" si="1"/>
        <v>0</v>
      </c>
    </row>
    <row r="50" spans="4:9" x14ac:dyDescent="0.35">
      <c r="D50" s="2">
        <f>_xlfn.XLOOKUP(tblPrecios[[#This Row],[Moneda_Precio]],TIPOS_CAMBIO!A:A,TIPOS_CAMBIO!B:B,"",0)</f>
        <v>0</v>
      </c>
      <c r="E50" s="2">
        <f>_xlfn.XLOOKUP(tblPrecios[[#This Row],[SKU]],LANDED_COST!A:A,LANDED_COST!L:L,"00.00",0)</f>
        <v>0</v>
      </c>
      <c r="F50" s="3">
        <f>_xlfn.XLOOKUP(tblPrecios[[#This Row],[Tipo_Cliente]],POLITICAS_MARGEN!A:A,POLITICAS_MARGEN!B:B,0,0)</f>
        <v>0</v>
      </c>
      <c r="G50" s="3">
        <f t="shared" si="0"/>
        <v>0</v>
      </c>
      <c r="H50" s="3">
        <f t="shared" si="2"/>
        <v>0</v>
      </c>
      <c r="I50" s="3">
        <f t="shared" si="1"/>
        <v>0</v>
      </c>
    </row>
    <row r="51" spans="4:9" x14ac:dyDescent="0.35">
      <c r="D51" s="2">
        <f>_xlfn.XLOOKUP(tblPrecios[[#This Row],[Moneda_Precio]],TIPOS_CAMBIO!A:A,TIPOS_CAMBIO!B:B,"",0)</f>
        <v>0</v>
      </c>
      <c r="E51" s="2">
        <f>_xlfn.XLOOKUP(tblPrecios[[#This Row],[SKU]],LANDED_COST!A:A,LANDED_COST!L:L,"00.00",0)</f>
        <v>0</v>
      </c>
      <c r="F51" s="3">
        <f>_xlfn.XLOOKUP(tblPrecios[[#This Row],[Tipo_Cliente]],POLITICAS_MARGEN!A:A,POLITICAS_MARGEN!B:B,0,0)</f>
        <v>0</v>
      </c>
      <c r="G51" s="3">
        <f t="shared" si="0"/>
        <v>0</v>
      </c>
      <c r="H51" s="3">
        <f t="shared" si="2"/>
        <v>0</v>
      </c>
      <c r="I51" s="3">
        <f t="shared" si="1"/>
        <v>0</v>
      </c>
    </row>
    <row r="52" spans="4:9" x14ac:dyDescent="0.35">
      <c r="D52" s="2">
        <f>_xlfn.XLOOKUP(tblPrecios[[#This Row],[Moneda_Precio]],TIPOS_CAMBIO!A:A,TIPOS_CAMBIO!B:B,"",0)</f>
        <v>0</v>
      </c>
      <c r="E52" s="2">
        <f>_xlfn.XLOOKUP(tblPrecios[[#This Row],[SKU]],LANDED_COST!A:A,LANDED_COST!L:L,"00.00",0)</f>
        <v>0</v>
      </c>
      <c r="F52" s="3">
        <f>_xlfn.XLOOKUP(tblPrecios[[#This Row],[Tipo_Cliente]],POLITICAS_MARGEN!A:A,POLITICAS_MARGEN!B:B,0,0)</f>
        <v>0</v>
      </c>
      <c r="G52" s="3">
        <f t="shared" si="0"/>
        <v>0</v>
      </c>
      <c r="H52" s="3">
        <f t="shared" si="2"/>
        <v>0</v>
      </c>
      <c r="I52" s="3">
        <f t="shared" si="1"/>
        <v>0</v>
      </c>
    </row>
    <row r="53" spans="4:9" x14ac:dyDescent="0.35">
      <c r="D53" s="2">
        <f>_xlfn.XLOOKUP(tblPrecios[[#This Row],[Moneda_Precio]],TIPOS_CAMBIO!A:A,TIPOS_CAMBIO!B:B,"",0)</f>
        <v>0</v>
      </c>
      <c r="E53" s="2">
        <f>_xlfn.XLOOKUP(tblPrecios[[#This Row],[SKU]],LANDED_COST!A:A,LANDED_COST!L:L,"00.00",0)</f>
        <v>0</v>
      </c>
      <c r="F53" s="3">
        <f>_xlfn.XLOOKUP(tblPrecios[[#This Row],[Tipo_Cliente]],POLITICAS_MARGEN!A:A,POLITICAS_MARGEN!B:B,0,0)</f>
        <v>0</v>
      </c>
      <c r="G53" s="3">
        <f t="shared" si="0"/>
        <v>0</v>
      </c>
      <c r="H53" s="3">
        <f t="shared" si="2"/>
        <v>0</v>
      </c>
      <c r="I53" s="3">
        <f t="shared" si="1"/>
        <v>0</v>
      </c>
    </row>
    <row r="54" spans="4:9" x14ac:dyDescent="0.35">
      <c r="D54" s="2">
        <f>_xlfn.XLOOKUP(tblPrecios[[#This Row],[Moneda_Precio]],TIPOS_CAMBIO!A:A,TIPOS_CAMBIO!B:B,"",0)</f>
        <v>0</v>
      </c>
      <c r="E54" s="2">
        <f>_xlfn.XLOOKUP(tblPrecios[[#This Row],[SKU]],LANDED_COST!A:A,LANDED_COST!L:L,"00.00",0)</f>
        <v>0</v>
      </c>
      <c r="F54" s="3">
        <f>_xlfn.XLOOKUP(tblPrecios[[#This Row],[Tipo_Cliente]],POLITICAS_MARGEN!A:A,POLITICAS_MARGEN!B:B,0,0)</f>
        <v>0</v>
      </c>
      <c r="G54" s="3">
        <f t="shared" si="0"/>
        <v>0</v>
      </c>
      <c r="H54" s="3">
        <f t="shared" si="2"/>
        <v>0</v>
      </c>
      <c r="I54" s="3">
        <f t="shared" si="1"/>
        <v>0</v>
      </c>
    </row>
    <row r="55" spans="4:9" x14ac:dyDescent="0.35">
      <c r="D55" s="2">
        <f>_xlfn.XLOOKUP(tblPrecios[[#This Row],[Moneda_Precio]],TIPOS_CAMBIO!A:A,TIPOS_CAMBIO!B:B,"",0)</f>
        <v>0</v>
      </c>
      <c r="E55" s="2">
        <f>_xlfn.XLOOKUP(tblPrecios[[#This Row],[SKU]],LANDED_COST!A:A,LANDED_COST!L:L,"00.00",0)</f>
        <v>0</v>
      </c>
      <c r="F55" s="3">
        <f>_xlfn.XLOOKUP(tblPrecios[[#This Row],[Tipo_Cliente]],POLITICAS_MARGEN!A:A,POLITICAS_MARGEN!B:B,0,0)</f>
        <v>0</v>
      </c>
      <c r="G55" s="3">
        <f t="shared" si="0"/>
        <v>0</v>
      </c>
      <c r="H55" s="3">
        <f t="shared" si="2"/>
        <v>0</v>
      </c>
      <c r="I55" s="3">
        <f t="shared" si="1"/>
        <v>0</v>
      </c>
    </row>
    <row r="56" spans="4:9" x14ac:dyDescent="0.35">
      <c r="D56" s="2">
        <f>_xlfn.XLOOKUP(tblPrecios[[#This Row],[Moneda_Precio]],TIPOS_CAMBIO!A:A,TIPOS_CAMBIO!B:B,"",0)</f>
        <v>0</v>
      </c>
      <c r="E56" s="2">
        <f>_xlfn.XLOOKUP(tblPrecios[[#This Row],[SKU]],LANDED_COST!A:A,LANDED_COST!L:L,"00.00",0)</f>
        <v>0</v>
      </c>
      <c r="F56" s="3">
        <f>_xlfn.XLOOKUP(tblPrecios[[#This Row],[Tipo_Cliente]],POLITICAS_MARGEN!A:A,POLITICAS_MARGEN!B:B,0,0)</f>
        <v>0</v>
      </c>
      <c r="G56" s="3">
        <f t="shared" si="0"/>
        <v>0</v>
      </c>
      <c r="H56" s="3">
        <f t="shared" si="2"/>
        <v>0</v>
      </c>
      <c r="I56" s="3">
        <f t="shared" si="1"/>
        <v>0</v>
      </c>
    </row>
    <row r="57" spans="4:9" x14ac:dyDescent="0.35">
      <c r="D57" s="2">
        <f>_xlfn.XLOOKUP(tblPrecios[[#This Row],[Moneda_Precio]],TIPOS_CAMBIO!A:A,TIPOS_CAMBIO!B:B,"",0)</f>
        <v>0</v>
      </c>
      <c r="E57" s="2">
        <f>_xlfn.XLOOKUP(tblPrecios[[#This Row],[SKU]],LANDED_COST!A:A,LANDED_COST!L:L,"00.00",0)</f>
        <v>0</v>
      </c>
      <c r="F57" s="3">
        <f>_xlfn.XLOOKUP(tblPrecios[[#This Row],[Tipo_Cliente]],POLITICAS_MARGEN!A:A,POLITICAS_MARGEN!B:B,0,0)</f>
        <v>0</v>
      </c>
      <c r="G57" s="3">
        <f t="shared" si="0"/>
        <v>0</v>
      </c>
      <c r="H57" s="3">
        <f t="shared" si="2"/>
        <v>0</v>
      </c>
      <c r="I57" s="3">
        <f t="shared" si="1"/>
        <v>0</v>
      </c>
    </row>
    <row r="58" spans="4:9" x14ac:dyDescent="0.35">
      <c r="D58" s="2">
        <f>_xlfn.XLOOKUP(tblPrecios[[#This Row],[Moneda_Precio]],TIPOS_CAMBIO!A:A,TIPOS_CAMBIO!B:B,"",0)</f>
        <v>0</v>
      </c>
      <c r="E58" s="2">
        <f>_xlfn.XLOOKUP(tblPrecios[[#This Row],[SKU]],LANDED_COST!A:A,LANDED_COST!L:L,"00.00",0)</f>
        <v>0</v>
      </c>
      <c r="F58" s="3">
        <f>_xlfn.XLOOKUP(tblPrecios[[#This Row],[Tipo_Cliente]],POLITICAS_MARGEN!A:A,POLITICAS_MARGEN!B:B,0,0)</f>
        <v>0</v>
      </c>
      <c r="G58" s="3">
        <f t="shared" si="0"/>
        <v>0</v>
      </c>
      <c r="H58" s="3">
        <f t="shared" si="2"/>
        <v>0</v>
      </c>
      <c r="I58" s="3">
        <f t="shared" si="1"/>
        <v>0</v>
      </c>
    </row>
    <row r="59" spans="4:9" x14ac:dyDescent="0.35">
      <c r="D59" s="2">
        <f>_xlfn.XLOOKUP(tblPrecios[[#This Row],[Moneda_Precio]],TIPOS_CAMBIO!A:A,TIPOS_CAMBIO!B:B,"",0)</f>
        <v>0</v>
      </c>
      <c r="E59" s="2">
        <f>_xlfn.XLOOKUP(tblPrecios[[#This Row],[SKU]],LANDED_COST!A:A,LANDED_COST!L:L,"00.00",0)</f>
        <v>0</v>
      </c>
      <c r="F59" s="3">
        <f>_xlfn.XLOOKUP(tblPrecios[[#This Row],[Tipo_Cliente]],POLITICAS_MARGEN!A:A,POLITICAS_MARGEN!B:B,0,0)</f>
        <v>0</v>
      </c>
      <c r="G59" s="3">
        <f t="shared" si="0"/>
        <v>0</v>
      </c>
      <c r="H59" s="3">
        <f t="shared" si="2"/>
        <v>0</v>
      </c>
      <c r="I59" s="3">
        <f t="shared" si="1"/>
        <v>0</v>
      </c>
    </row>
    <row r="60" spans="4:9" x14ac:dyDescent="0.35">
      <c r="D60" s="2">
        <f>_xlfn.XLOOKUP(tblPrecios[[#This Row],[Moneda_Precio]],TIPOS_CAMBIO!A:A,TIPOS_CAMBIO!B:B,"",0)</f>
        <v>0</v>
      </c>
      <c r="E60" s="2">
        <f>_xlfn.XLOOKUP(tblPrecios[[#This Row],[SKU]],LANDED_COST!A:A,LANDED_COST!L:L,"00.00",0)</f>
        <v>0</v>
      </c>
      <c r="F60" s="3">
        <f>_xlfn.XLOOKUP(tblPrecios[[#This Row],[Tipo_Cliente]],POLITICAS_MARGEN!A:A,POLITICAS_MARGEN!B:B,0,0)</f>
        <v>0</v>
      </c>
      <c r="G60" s="3">
        <f t="shared" si="0"/>
        <v>0</v>
      </c>
      <c r="H60" s="3">
        <f t="shared" si="2"/>
        <v>0</v>
      </c>
      <c r="I60" s="3">
        <f t="shared" si="1"/>
        <v>0</v>
      </c>
    </row>
    <row r="61" spans="4:9" x14ac:dyDescent="0.35">
      <c r="D61" s="2">
        <f>_xlfn.XLOOKUP(tblPrecios[[#This Row],[Moneda_Precio]],TIPOS_CAMBIO!A:A,TIPOS_CAMBIO!B:B,"",0)</f>
        <v>0</v>
      </c>
      <c r="E61" s="2">
        <f>_xlfn.XLOOKUP(tblPrecios[[#This Row],[SKU]],LANDED_COST!A:A,LANDED_COST!L:L,"00.00",0)</f>
        <v>0</v>
      </c>
      <c r="F61" s="3">
        <f>_xlfn.XLOOKUP(tblPrecios[[#This Row],[Tipo_Cliente]],POLITICAS_MARGEN!A:A,POLITICAS_MARGEN!B:B,0,0)</f>
        <v>0</v>
      </c>
      <c r="G61" s="3">
        <f t="shared" si="0"/>
        <v>0</v>
      </c>
      <c r="H61" s="3">
        <f t="shared" si="2"/>
        <v>0</v>
      </c>
      <c r="I61" s="3">
        <f t="shared" si="1"/>
        <v>0</v>
      </c>
    </row>
    <row r="62" spans="4:9" x14ac:dyDescent="0.35">
      <c r="D62" s="2">
        <f>_xlfn.XLOOKUP(tblPrecios[[#This Row],[Moneda_Precio]],TIPOS_CAMBIO!A:A,TIPOS_CAMBIO!B:B,"",0)</f>
        <v>0</v>
      </c>
      <c r="E62" s="2">
        <f>_xlfn.XLOOKUP(tblPrecios[[#This Row],[SKU]],LANDED_COST!A:A,LANDED_COST!L:L,"00.00",0)</f>
        <v>0</v>
      </c>
      <c r="F62" s="3">
        <f>_xlfn.XLOOKUP(tblPrecios[[#This Row],[Tipo_Cliente]],POLITICAS_MARGEN!A:A,POLITICAS_MARGEN!B:B,0,0)</f>
        <v>0</v>
      </c>
      <c r="G62" s="3">
        <f t="shared" si="0"/>
        <v>0</v>
      </c>
      <c r="H62" s="3">
        <f t="shared" si="2"/>
        <v>0</v>
      </c>
      <c r="I62" s="3">
        <f t="shared" si="1"/>
        <v>0</v>
      </c>
    </row>
    <row r="63" spans="4:9" x14ac:dyDescent="0.35">
      <c r="D63" s="2">
        <f>_xlfn.XLOOKUP(tblPrecios[[#This Row],[Moneda_Precio]],TIPOS_CAMBIO!A:A,TIPOS_CAMBIO!B:B,"",0)</f>
        <v>0</v>
      </c>
      <c r="E63" s="2">
        <f>_xlfn.XLOOKUP(tblPrecios[[#This Row],[SKU]],LANDED_COST!A:A,LANDED_COST!L:L,"00.00",0)</f>
        <v>0</v>
      </c>
      <c r="F63" s="3">
        <f>_xlfn.XLOOKUP(tblPrecios[[#This Row],[Tipo_Cliente]],POLITICAS_MARGEN!A:A,POLITICAS_MARGEN!B:B,0,0)</f>
        <v>0</v>
      </c>
      <c r="G63" s="3">
        <f t="shared" si="0"/>
        <v>0</v>
      </c>
      <c r="H63" s="3">
        <f t="shared" si="2"/>
        <v>0</v>
      </c>
      <c r="I63" s="3">
        <f t="shared" si="1"/>
        <v>0</v>
      </c>
    </row>
    <row r="64" spans="4:9" x14ac:dyDescent="0.35">
      <c r="D64" s="2">
        <f>_xlfn.XLOOKUP(tblPrecios[[#This Row],[Moneda_Precio]],TIPOS_CAMBIO!A:A,TIPOS_CAMBIO!B:B,"",0)</f>
        <v>0</v>
      </c>
      <c r="E64" s="2">
        <f>_xlfn.XLOOKUP(tblPrecios[[#This Row],[SKU]],LANDED_COST!A:A,LANDED_COST!L:L,"00.00",0)</f>
        <v>0</v>
      </c>
      <c r="F64" s="3">
        <f>_xlfn.XLOOKUP(tblPrecios[[#This Row],[Tipo_Cliente]],POLITICAS_MARGEN!A:A,POLITICAS_MARGEN!B:B,0,0)</f>
        <v>0</v>
      </c>
      <c r="G64" s="3">
        <f t="shared" si="0"/>
        <v>0</v>
      </c>
      <c r="H64" s="3">
        <f t="shared" si="2"/>
        <v>0</v>
      </c>
      <c r="I64" s="3">
        <f t="shared" si="1"/>
        <v>0</v>
      </c>
    </row>
    <row r="65" spans="4:9" x14ac:dyDescent="0.35">
      <c r="D65" s="2">
        <f>_xlfn.XLOOKUP(tblPrecios[[#This Row],[Moneda_Precio]],TIPOS_CAMBIO!A:A,TIPOS_CAMBIO!B:B,"",0)</f>
        <v>0</v>
      </c>
      <c r="E65" s="2">
        <f>_xlfn.XLOOKUP(tblPrecios[[#This Row],[SKU]],LANDED_COST!A:A,LANDED_COST!L:L,"00.00",0)</f>
        <v>0</v>
      </c>
      <c r="F65" s="3">
        <f>_xlfn.XLOOKUP(tblPrecios[[#This Row],[Tipo_Cliente]],POLITICAS_MARGEN!A:A,POLITICAS_MARGEN!B:B,0,0)</f>
        <v>0</v>
      </c>
      <c r="G65" s="3">
        <f t="shared" si="0"/>
        <v>0</v>
      </c>
      <c r="H65" s="3">
        <f t="shared" si="2"/>
        <v>0</v>
      </c>
      <c r="I65" s="3">
        <f t="shared" si="1"/>
        <v>0</v>
      </c>
    </row>
    <row r="66" spans="4:9" x14ac:dyDescent="0.35">
      <c r="D66" s="2">
        <f>_xlfn.XLOOKUP(tblPrecios[[#This Row],[Moneda_Precio]],TIPOS_CAMBIO!A:A,TIPOS_CAMBIO!B:B,"",0)</f>
        <v>0</v>
      </c>
      <c r="E66" s="2">
        <f>_xlfn.XLOOKUP(tblPrecios[[#This Row],[SKU]],LANDED_COST!A:A,LANDED_COST!L:L,"00.00",0)</f>
        <v>0</v>
      </c>
      <c r="F66" s="3">
        <f>_xlfn.XLOOKUP(tblPrecios[[#This Row],[Tipo_Cliente]],POLITICAS_MARGEN!A:A,POLITICAS_MARGEN!B:B,0,0)</f>
        <v>0</v>
      </c>
      <c r="G66" s="3">
        <f t="shared" ref="G66:G129" si="3">IF($F66&gt;0,$E66/(1-$F66),0)</f>
        <v>0</v>
      </c>
      <c r="H66" s="3">
        <f t="shared" ref="H66:H129" si="4">IF($D66&gt;0,$G66/$D66,0)</f>
        <v>0</v>
      </c>
      <c r="I66" s="3">
        <f t="shared" ref="I66:I129" si="5">$E66*1.1</f>
        <v>0</v>
      </c>
    </row>
    <row r="67" spans="4:9" x14ac:dyDescent="0.35">
      <c r="D67" s="2">
        <f>_xlfn.XLOOKUP(tblPrecios[[#This Row],[Moneda_Precio]],TIPOS_CAMBIO!A:A,TIPOS_CAMBIO!B:B,"",0)</f>
        <v>0</v>
      </c>
      <c r="E67" s="2">
        <f>_xlfn.XLOOKUP(tblPrecios[[#This Row],[SKU]],LANDED_COST!A:A,LANDED_COST!L:L,"00.00",0)</f>
        <v>0</v>
      </c>
      <c r="F67" s="3">
        <f>_xlfn.XLOOKUP(tblPrecios[[#This Row],[Tipo_Cliente]],POLITICAS_MARGEN!A:A,POLITICAS_MARGEN!B:B,0,0)</f>
        <v>0</v>
      </c>
      <c r="G67" s="3">
        <f t="shared" si="3"/>
        <v>0</v>
      </c>
      <c r="H67" s="3">
        <f t="shared" si="4"/>
        <v>0</v>
      </c>
      <c r="I67" s="3">
        <f t="shared" si="5"/>
        <v>0</v>
      </c>
    </row>
    <row r="68" spans="4:9" x14ac:dyDescent="0.35">
      <c r="D68" s="2">
        <f>_xlfn.XLOOKUP(tblPrecios[[#This Row],[Moneda_Precio]],TIPOS_CAMBIO!A:A,TIPOS_CAMBIO!B:B,"",0)</f>
        <v>0</v>
      </c>
      <c r="E68" s="2">
        <f>_xlfn.XLOOKUP(tblPrecios[[#This Row],[SKU]],LANDED_COST!A:A,LANDED_COST!L:L,"00.00",0)</f>
        <v>0</v>
      </c>
      <c r="F68" s="3">
        <f>_xlfn.XLOOKUP(tblPrecios[[#This Row],[Tipo_Cliente]],POLITICAS_MARGEN!A:A,POLITICAS_MARGEN!B:B,0,0)</f>
        <v>0</v>
      </c>
      <c r="G68" s="3">
        <f t="shared" si="3"/>
        <v>0</v>
      </c>
      <c r="H68" s="3">
        <f t="shared" si="4"/>
        <v>0</v>
      </c>
      <c r="I68" s="3">
        <f t="shared" si="5"/>
        <v>0</v>
      </c>
    </row>
    <row r="69" spans="4:9" x14ac:dyDescent="0.35">
      <c r="D69" s="2">
        <f>_xlfn.XLOOKUP(tblPrecios[[#This Row],[Moneda_Precio]],TIPOS_CAMBIO!A:A,TIPOS_CAMBIO!B:B,"",0)</f>
        <v>0</v>
      </c>
      <c r="E69" s="2">
        <f>_xlfn.XLOOKUP(tblPrecios[[#This Row],[SKU]],LANDED_COST!A:A,LANDED_COST!L:L,"00.00",0)</f>
        <v>0</v>
      </c>
      <c r="F69" s="3">
        <f>_xlfn.XLOOKUP(tblPrecios[[#This Row],[Tipo_Cliente]],POLITICAS_MARGEN!A:A,POLITICAS_MARGEN!B:B,0,0)</f>
        <v>0</v>
      </c>
      <c r="G69" s="3">
        <f t="shared" si="3"/>
        <v>0</v>
      </c>
      <c r="H69" s="3">
        <f t="shared" si="4"/>
        <v>0</v>
      </c>
      <c r="I69" s="3">
        <f t="shared" si="5"/>
        <v>0</v>
      </c>
    </row>
    <row r="70" spans="4:9" x14ac:dyDescent="0.35">
      <c r="D70" s="2">
        <f>_xlfn.XLOOKUP(tblPrecios[[#This Row],[Moneda_Precio]],TIPOS_CAMBIO!A:A,TIPOS_CAMBIO!B:B,"",0)</f>
        <v>0</v>
      </c>
      <c r="E70" s="2">
        <f>_xlfn.XLOOKUP(tblPrecios[[#This Row],[SKU]],LANDED_COST!A:A,LANDED_COST!L:L,"00.00",0)</f>
        <v>0</v>
      </c>
      <c r="F70" s="3">
        <f>_xlfn.XLOOKUP(tblPrecios[[#This Row],[Tipo_Cliente]],POLITICAS_MARGEN!A:A,POLITICAS_MARGEN!B:B,0,0)</f>
        <v>0</v>
      </c>
      <c r="G70" s="3">
        <f t="shared" si="3"/>
        <v>0</v>
      </c>
      <c r="H70" s="3">
        <f t="shared" si="4"/>
        <v>0</v>
      </c>
      <c r="I70" s="3">
        <f t="shared" si="5"/>
        <v>0</v>
      </c>
    </row>
    <row r="71" spans="4:9" x14ac:dyDescent="0.35">
      <c r="D71" s="2">
        <f>_xlfn.XLOOKUP(tblPrecios[[#This Row],[Moneda_Precio]],TIPOS_CAMBIO!A:A,TIPOS_CAMBIO!B:B,"",0)</f>
        <v>0</v>
      </c>
      <c r="E71" s="2">
        <f>_xlfn.XLOOKUP(tblPrecios[[#This Row],[SKU]],LANDED_COST!A:A,LANDED_COST!L:L,"00.00",0)</f>
        <v>0</v>
      </c>
      <c r="F71" s="3">
        <f>_xlfn.XLOOKUP(tblPrecios[[#This Row],[Tipo_Cliente]],POLITICAS_MARGEN!A:A,POLITICAS_MARGEN!B:B,0,0)</f>
        <v>0</v>
      </c>
      <c r="G71" s="3">
        <f t="shared" si="3"/>
        <v>0</v>
      </c>
      <c r="H71" s="3">
        <f t="shared" si="4"/>
        <v>0</v>
      </c>
      <c r="I71" s="3">
        <f t="shared" si="5"/>
        <v>0</v>
      </c>
    </row>
    <row r="72" spans="4:9" x14ac:dyDescent="0.35">
      <c r="D72" s="2">
        <f>_xlfn.XLOOKUP(tblPrecios[[#This Row],[Moneda_Precio]],TIPOS_CAMBIO!A:A,TIPOS_CAMBIO!B:B,"",0)</f>
        <v>0</v>
      </c>
      <c r="E72" s="2">
        <f>_xlfn.XLOOKUP(tblPrecios[[#This Row],[SKU]],LANDED_COST!A:A,LANDED_COST!L:L,"00.00",0)</f>
        <v>0</v>
      </c>
      <c r="F72" s="3">
        <f>_xlfn.XLOOKUP(tblPrecios[[#This Row],[Tipo_Cliente]],POLITICAS_MARGEN!A:A,POLITICAS_MARGEN!B:B,0,0)</f>
        <v>0</v>
      </c>
      <c r="G72" s="3">
        <f t="shared" si="3"/>
        <v>0</v>
      </c>
      <c r="H72" s="3">
        <f t="shared" si="4"/>
        <v>0</v>
      </c>
      <c r="I72" s="3">
        <f t="shared" si="5"/>
        <v>0</v>
      </c>
    </row>
    <row r="73" spans="4:9" x14ac:dyDescent="0.35">
      <c r="D73" s="2">
        <f>_xlfn.XLOOKUP(tblPrecios[[#This Row],[Moneda_Precio]],TIPOS_CAMBIO!A:A,TIPOS_CAMBIO!B:B,"",0)</f>
        <v>0</v>
      </c>
      <c r="E73" s="2">
        <f>_xlfn.XLOOKUP(tblPrecios[[#This Row],[SKU]],LANDED_COST!A:A,LANDED_COST!L:L,"00.00",0)</f>
        <v>0</v>
      </c>
      <c r="F73" s="3">
        <f>_xlfn.XLOOKUP(tblPrecios[[#This Row],[Tipo_Cliente]],POLITICAS_MARGEN!A:A,POLITICAS_MARGEN!B:B,0,0)</f>
        <v>0</v>
      </c>
      <c r="G73" s="3">
        <f t="shared" si="3"/>
        <v>0</v>
      </c>
      <c r="H73" s="3">
        <f t="shared" si="4"/>
        <v>0</v>
      </c>
      <c r="I73" s="3">
        <f t="shared" si="5"/>
        <v>0</v>
      </c>
    </row>
    <row r="74" spans="4:9" x14ac:dyDescent="0.35">
      <c r="D74" s="2">
        <f>_xlfn.XLOOKUP(tblPrecios[[#This Row],[Moneda_Precio]],TIPOS_CAMBIO!A:A,TIPOS_CAMBIO!B:B,"",0)</f>
        <v>0</v>
      </c>
      <c r="E74" s="2">
        <f>_xlfn.XLOOKUP(tblPrecios[[#This Row],[SKU]],LANDED_COST!A:A,LANDED_COST!L:L,"00.00",0)</f>
        <v>0</v>
      </c>
      <c r="F74" s="3">
        <f>_xlfn.XLOOKUP(tblPrecios[[#This Row],[Tipo_Cliente]],POLITICAS_MARGEN!A:A,POLITICAS_MARGEN!B:B,0,0)</f>
        <v>0</v>
      </c>
      <c r="G74" s="3">
        <f t="shared" si="3"/>
        <v>0</v>
      </c>
      <c r="H74" s="3">
        <f t="shared" si="4"/>
        <v>0</v>
      </c>
      <c r="I74" s="3">
        <f t="shared" si="5"/>
        <v>0</v>
      </c>
    </row>
    <row r="75" spans="4:9" x14ac:dyDescent="0.35">
      <c r="D75" s="2">
        <f>_xlfn.XLOOKUP(tblPrecios[[#This Row],[Moneda_Precio]],TIPOS_CAMBIO!A:A,TIPOS_CAMBIO!B:B,"",0)</f>
        <v>0</v>
      </c>
      <c r="E75" s="2">
        <f>_xlfn.XLOOKUP(tblPrecios[[#This Row],[SKU]],LANDED_COST!A:A,LANDED_COST!L:L,"00.00",0)</f>
        <v>0</v>
      </c>
      <c r="F75" s="3">
        <f>_xlfn.XLOOKUP(tblPrecios[[#This Row],[Tipo_Cliente]],POLITICAS_MARGEN!A:A,POLITICAS_MARGEN!B:B,0,0)</f>
        <v>0</v>
      </c>
      <c r="G75" s="3">
        <f t="shared" si="3"/>
        <v>0</v>
      </c>
      <c r="H75" s="3">
        <f t="shared" si="4"/>
        <v>0</v>
      </c>
      <c r="I75" s="3">
        <f t="shared" si="5"/>
        <v>0</v>
      </c>
    </row>
    <row r="76" spans="4:9" x14ac:dyDescent="0.35">
      <c r="D76" s="2">
        <f>_xlfn.XLOOKUP(tblPrecios[[#This Row],[Moneda_Precio]],TIPOS_CAMBIO!A:A,TIPOS_CAMBIO!B:B,"",0)</f>
        <v>0</v>
      </c>
      <c r="E76" s="2">
        <f>_xlfn.XLOOKUP(tblPrecios[[#This Row],[SKU]],LANDED_COST!A:A,LANDED_COST!L:L,"00.00",0)</f>
        <v>0</v>
      </c>
      <c r="F76" s="3">
        <f>_xlfn.XLOOKUP(tblPrecios[[#This Row],[Tipo_Cliente]],POLITICAS_MARGEN!A:A,POLITICAS_MARGEN!B:B,0,0)</f>
        <v>0</v>
      </c>
      <c r="G76" s="3">
        <f t="shared" si="3"/>
        <v>0</v>
      </c>
      <c r="H76" s="3">
        <f t="shared" si="4"/>
        <v>0</v>
      </c>
      <c r="I76" s="3">
        <f t="shared" si="5"/>
        <v>0</v>
      </c>
    </row>
    <row r="77" spans="4:9" x14ac:dyDescent="0.35">
      <c r="D77" s="2">
        <f>_xlfn.XLOOKUP(tblPrecios[[#This Row],[Moneda_Precio]],TIPOS_CAMBIO!A:A,TIPOS_CAMBIO!B:B,"",0)</f>
        <v>0</v>
      </c>
      <c r="E77" s="2">
        <f>_xlfn.XLOOKUP(tblPrecios[[#This Row],[SKU]],LANDED_COST!A:A,LANDED_COST!L:L,"00.00",0)</f>
        <v>0</v>
      </c>
      <c r="F77" s="3">
        <f>_xlfn.XLOOKUP(tblPrecios[[#This Row],[Tipo_Cliente]],POLITICAS_MARGEN!A:A,POLITICAS_MARGEN!B:B,0,0)</f>
        <v>0</v>
      </c>
      <c r="G77" s="3">
        <f t="shared" si="3"/>
        <v>0</v>
      </c>
      <c r="H77" s="3">
        <f t="shared" si="4"/>
        <v>0</v>
      </c>
      <c r="I77" s="3">
        <f t="shared" si="5"/>
        <v>0</v>
      </c>
    </row>
    <row r="78" spans="4:9" x14ac:dyDescent="0.35">
      <c r="D78" s="2">
        <f>_xlfn.XLOOKUP(tblPrecios[[#This Row],[Moneda_Precio]],TIPOS_CAMBIO!A:A,TIPOS_CAMBIO!B:B,"",0)</f>
        <v>0</v>
      </c>
      <c r="E78" s="2">
        <f>_xlfn.XLOOKUP(tblPrecios[[#This Row],[SKU]],LANDED_COST!A:A,LANDED_COST!L:L,"00.00",0)</f>
        <v>0</v>
      </c>
      <c r="F78" s="3">
        <f>_xlfn.XLOOKUP(tblPrecios[[#This Row],[Tipo_Cliente]],POLITICAS_MARGEN!A:A,POLITICAS_MARGEN!B:B,0,0)</f>
        <v>0</v>
      </c>
      <c r="G78" s="3">
        <f t="shared" si="3"/>
        <v>0</v>
      </c>
      <c r="H78" s="3">
        <f t="shared" si="4"/>
        <v>0</v>
      </c>
      <c r="I78" s="3">
        <f t="shared" si="5"/>
        <v>0</v>
      </c>
    </row>
    <row r="79" spans="4:9" x14ac:dyDescent="0.35">
      <c r="D79" s="2">
        <f>_xlfn.XLOOKUP(tblPrecios[[#This Row],[Moneda_Precio]],TIPOS_CAMBIO!A:A,TIPOS_CAMBIO!B:B,"",0)</f>
        <v>0</v>
      </c>
      <c r="E79" s="2">
        <f>_xlfn.XLOOKUP(tblPrecios[[#This Row],[SKU]],LANDED_COST!A:A,LANDED_COST!L:L,"00.00",0)</f>
        <v>0</v>
      </c>
      <c r="F79" s="3">
        <f>_xlfn.XLOOKUP(tblPrecios[[#This Row],[Tipo_Cliente]],POLITICAS_MARGEN!A:A,POLITICAS_MARGEN!B:B,0,0)</f>
        <v>0</v>
      </c>
      <c r="G79" s="3">
        <f t="shared" si="3"/>
        <v>0</v>
      </c>
      <c r="H79" s="3">
        <f t="shared" si="4"/>
        <v>0</v>
      </c>
      <c r="I79" s="3">
        <f t="shared" si="5"/>
        <v>0</v>
      </c>
    </row>
    <row r="80" spans="4:9" x14ac:dyDescent="0.35">
      <c r="D80" s="2">
        <f>_xlfn.XLOOKUP(tblPrecios[[#This Row],[Moneda_Precio]],TIPOS_CAMBIO!A:A,TIPOS_CAMBIO!B:B,"",0)</f>
        <v>0</v>
      </c>
      <c r="E80" s="2">
        <f>_xlfn.XLOOKUP(tblPrecios[[#This Row],[SKU]],LANDED_COST!A:A,LANDED_COST!L:L,"00.00",0)</f>
        <v>0</v>
      </c>
      <c r="F80" s="3">
        <f>_xlfn.XLOOKUP(tblPrecios[[#This Row],[Tipo_Cliente]],POLITICAS_MARGEN!A:A,POLITICAS_MARGEN!B:B,0,0)</f>
        <v>0</v>
      </c>
      <c r="G80" s="3">
        <f t="shared" si="3"/>
        <v>0</v>
      </c>
      <c r="H80" s="3">
        <f t="shared" si="4"/>
        <v>0</v>
      </c>
      <c r="I80" s="3">
        <f t="shared" si="5"/>
        <v>0</v>
      </c>
    </row>
    <row r="81" spans="4:9" x14ac:dyDescent="0.35">
      <c r="D81" s="2">
        <f>_xlfn.XLOOKUP(tblPrecios[[#This Row],[Moneda_Precio]],TIPOS_CAMBIO!A:A,TIPOS_CAMBIO!B:B,"",0)</f>
        <v>0</v>
      </c>
      <c r="E81" s="2">
        <f>_xlfn.XLOOKUP(tblPrecios[[#This Row],[SKU]],LANDED_COST!A:A,LANDED_COST!L:L,"00.00",0)</f>
        <v>0</v>
      </c>
      <c r="F81" s="3">
        <f>_xlfn.XLOOKUP(tblPrecios[[#This Row],[Tipo_Cliente]],POLITICAS_MARGEN!A:A,POLITICAS_MARGEN!B:B,0,0)</f>
        <v>0</v>
      </c>
      <c r="G81" s="3">
        <f t="shared" si="3"/>
        <v>0</v>
      </c>
      <c r="H81" s="3">
        <f t="shared" si="4"/>
        <v>0</v>
      </c>
      <c r="I81" s="3">
        <f t="shared" si="5"/>
        <v>0</v>
      </c>
    </row>
    <row r="82" spans="4:9" x14ac:dyDescent="0.35">
      <c r="D82" s="2">
        <f>_xlfn.XLOOKUP(tblPrecios[[#This Row],[Moneda_Precio]],TIPOS_CAMBIO!A:A,TIPOS_CAMBIO!B:B,"",0)</f>
        <v>0</v>
      </c>
      <c r="E82" s="2">
        <f>_xlfn.XLOOKUP(tblPrecios[[#This Row],[SKU]],LANDED_COST!A:A,LANDED_COST!L:L,"00.00",0)</f>
        <v>0</v>
      </c>
      <c r="F82" s="3">
        <f>_xlfn.XLOOKUP(tblPrecios[[#This Row],[Tipo_Cliente]],POLITICAS_MARGEN!A:A,POLITICAS_MARGEN!B:B,0,0)</f>
        <v>0</v>
      </c>
      <c r="G82" s="3">
        <f t="shared" si="3"/>
        <v>0</v>
      </c>
      <c r="H82" s="3">
        <f t="shared" si="4"/>
        <v>0</v>
      </c>
      <c r="I82" s="3">
        <f t="shared" si="5"/>
        <v>0</v>
      </c>
    </row>
    <row r="83" spans="4:9" x14ac:dyDescent="0.35">
      <c r="D83" s="2">
        <f>_xlfn.XLOOKUP(tblPrecios[[#This Row],[Moneda_Precio]],TIPOS_CAMBIO!A:A,TIPOS_CAMBIO!B:B,"",0)</f>
        <v>0</v>
      </c>
      <c r="E83" s="2">
        <f>_xlfn.XLOOKUP(tblPrecios[[#This Row],[SKU]],LANDED_COST!A:A,LANDED_COST!L:L,"00.00",0)</f>
        <v>0</v>
      </c>
      <c r="F83" s="3">
        <f>_xlfn.XLOOKUP(tblPrecios[[#This Row],[Tipo_Cliente]],POLITICAS_MARGEN!A:A,POLITICAS_MARGEN!B:B,0,0)</f>
        <v>0</v>
      </c>
      <c r="G83" s="3">
        <f t="shared" si="3"/>
        <v>0</v>
      </c>
      <c r="H83" s="3">
        <f t="shared" si="4"/>
        <v>0</v>
      </c>
      <c r="I83" s="3">
        <f t="shared" si="5"/>
        <v>0</v>
      </c>
    </row>
    <row r="84" spans="4:9" x14ac:dyDescent="0.35">
      <c r="D84" s="2">
        <f>_xlfn.XLOOKUP(tblPrecios[[#This Row],[Moneda_Precio]],TIPOS_CAMBIO!A:A,TIPOS_CAMBIO!B:B,"",0)</f>
        <v>0</v>
      </c>
      <c r="E84" s="2">
        <f>_xlfn.XLOOKUP(tblPrecios[[#This Row],[SKU]],LANDED_COST!A:A,LANDED_COST!L:L,"00.00",0)</f>
        <v>0</v>
      </c>
      <c r="F84" s="3">
        <f>_xlfn.XLOOKUP(tblPrecios[[#This Row],[Tipo_Cliente]],POLITICAS_MARGEN!A:A,POLITICAS_MARGEN!B:B,0,0)</f>
        <v>0</v>
      </c>
      <c r="G84" s="3">
        <f t="shared" si="3"/>
        <v>0</v>
      </c>
      <c r="H84" s="3">
        <f t="shared" si="4"/>
        <v>0</v>
      </c>
      <c r="I84" s="3">
        <f t="shared" si="5"/>
        <v>0</v>
      </c>
    </row>
    <row r="85" spans="4:9" x14ac:dyDescent="0.35">
      <c r="D85" s="2">
        <f>_xlfn.XLOOKUP(tblPrecios[[#This Row],[Moneda_Precio]],TIPOS_CAMBIO!A:A,TIPOS_CAMBIO!B:B,"",0)</f>
        <v>0</v>
      </c>
      <c r="E85" s="2">
        <f>_xlfn.XLOOKUP(tblPrecios[[#This Row],[SKU]],LANDED_COST!A:A,LANDED_COST!L:L,"00.00",0)</f>
        <v>0</v>
      </c>
      <c r="F85" s="3">
        <f>_xlfn.XLOOKUP(tblPrecios[[#This Row],[Tipo_Cliente]],POLITICAS_MARGEN!A:A,POLITICAS_MARGEN!B:B,0,0)</f>
        <v>0</v>
      </c>
      <c r="G85" s="3">
        <f t="shared" si="3"/>
        <v>0</v>
      </c>
      <c r="H85" s="3">
        <f t="shared" si="4"/>
        <v>0</v>
      </c>
      <c r="I85" s="3">
        <f t="shared" si="5"/>
        <v>0</v>
      </c>
    </row>
    <row r="86" spans="4:9" x14ac:dyDescent="0.35">
      <c r="D86" s="2">
        <f>_xlfn.XLOOKUP(tblPrecios[[#This Row],[Moneda_Precio]],TIPOS_CAMBIO!A:A,TIPOS_CAMBIO!B:B,"",0)</f>
        <v>0</v>
      </c>
      <c r="E86" s="2">
        <f>_xlfn.XLOOKUP(tblPrecios[[#This Row],[SKU]],LANDED_COST!A:A,LANDED_COST!L:L,"00.00",0)</f>
        <v>0</v>
      </c>
      <c r="F86" s="3">
        <f>_xlfn.XLOOKUP(tblPrecios[[#This Row],[Tipo_Cliente]],POLITICAS_MARGEN!A:A,POLITICAS_MARGEN!B:B,0,0)</f>
        <v>0</v>
      </c>
      <c r="G86" s="3">
        <f t="shared" si="3"/>
        <v>0</v>
      </c>
      <c r="H86" s="3">
        <f t="shared" si="4"/>
        <v>0</v>
      </c>
      <c r="I86" s="3">
        <f t="shared" si="5"/>
        <v>0</v>
      </c>
    </row>
    <row r="87" spans="4:9" x14ac:dyDescent="0.35">
      <c r="D87" s="2">
        <f>_xlfn.XLOOKUP(tblPrecios[[#This Row],[Moneda_Precio]],TIPOS_CAMBIO!A:A,TIPOS_CAMBIO!B:B,"",0)</f>
        <v>0</v>
      </c>
      <c r="E87" s="2">
        <f>_xlfn.XLOOKUP(tblPrecios[[#This Row],[SKU]],LANDED_COST!A:A,LANDED_COST!L:L,"00.00",0)</f>
        <v>0</v>
      </c>
      <c r="F87" s="3">
        <f>_xlfn.XLOOKUP(tblPrecios[[#This Row],[Tipo_Cliente]],POLITICAS_MARGEN!A:A,POLITICAS_MARGEN!B:B,0,0)</f>
        <v>0</v>
      </c>
      <c r="G87" s="3">
        <f t="shared" si="3"/>
        <v>0</v>
      </c>
      <c r="H87" s="3">
        <f t="shared" si="4"/>
        <v>0</v>
      </c>
      <c r="I87" s="3">
        <f t="shared" si="5"/>
        <v>0</v>
      </c>
    </row>
    <row r="88" spans="4:9" x14ac:dyDescent="0.35">
      <c r="D88" s="2">
        <f>_xlfn.XLOOKUP(tblPrecios[[#This Row],[Moneda_Precio]],TIPOS_CAMBIO!A:A,TIPOS_CAMBIO!B:B,"",0)</f>
        <v>0</v>
      </c>
      <c r="E88" s="2">
        <f>_xlfn.XLOOKUP(tblPrecios[[#This Row],[SKU]],LANDED_COST!A:A,LANDED_COST!L:L,"00.00",0)</f>
        <v>0</v>
      </c>
      <c r="F88" s="3">
        <f>_xlfn.XLOOKUP(tblPrecios[[#This Row],[Tipo_Cliente]],POLITICAS_MARGEN!A:A,POLITICAS_MARGEN!B:B,0,0)</f>
        <v>0</v>
      </c>
      <c r="G88" s="3">
        <f t="shared" si="3"/>
        <v>0</v>
      </c>
      <c r="H88" s="3">
        <f t="shared" si="4"/>
        <v>0</v>
      </c>
      <c r="I88" s="3">
        <f t="shared" si="5"/>
        <v>0</v>
      </c>
    </row>
    <row r="89" spans="4:9" x14ac:dyDescent="0.35">
      <c r="D89" s="2">
        <f>_xlfn.XLOOKUP(tblPrecios[[#This Row],[Moneda_Precio]],TIPOS_CAMBIO!A:A,TIPOS_CAMBIO!B:B,"",0)</f>
        <v>0</v>
      </c>
      <c r="E89" s="2">
        <f>_xlfn.XLOOKUP(tblPrecios[[#This Row],[SKU]],LANDED_COST!A:A,LANDED_COST!L:L,"00.00",0)</f>
        <v>0</v>
      </c>
      <c r="F89" s="3">
        <f>_xlfn.XLOOKUP(tblPrecios[[#This Row],[Tipo_Cliente]],POLITICAS_MARGEN!A:A,POLITICAS_MARGEN!B:B,0,0)</f>
        <v>0</v>
      </c>
      <c r="G89" s="3">
        <f t="shared" si="3"/>
        <v>0</v>
      </c>
      <c r="H89" s="3">
        <f t="shared" si="4"/>
        <v>0</v>
      </c>
      <c r="I89" s="3">
        <f t="shared" si="5"/>
        <v>0</v>
      </c>
    </row>
    <row r="90" spans="4:9" x14ac:dyDescent="0.35">
      <c r="D90" s="2">
        <f>_xlfn.XLOOKUP(tblPrecios[[#This Row],[Moneda_Precio]],TIPOS_CAMBIO!A:A,TIPOS_CAMBIO!B:B,"",0)</f>
        <v>0</v>
      </c>
      <c r="E90" s="2">
        <f>_xlfn.XLOOKUP(tblPrecios[[#This Row],[SKU]],LANDED_COST!A:A,LANDED_COST!L:L,"00.00",0)</f>
        <v>0</v>
      </c>
      <c r="F90" s="3">
        <f>_xlfn.XLOOKUP(tblPrecios[[#This Row],[Tipo_Cliente]],POLITICAS_MARGEN!A:A,POLITICAS_MARGEN!B:B,0,0)</f>
        <v>0</v>
      </c>
      <c r="G90" s="3">
        <f t="shared" si="3"/>
        <v>0</v>
      </c>
      <c r="H90" s="3">
        <f t="shared" si="4"/>
        <v>0</v>
      </c>
      <c r="I90" s="3">
        <f t="shared" si="5"/>
        <v>0</v>
      </c>
    </row>
    <row r="91" spans="4:9" x14ac:dyDescent="0.35">
      <c r="D91" s="2">
        <f>_xlfn.XLOOKUP(tblPrecios[[#This Row],[Moneda_Precio]],TIPOS_CAMBIO!A:A,TIPOS_CAMBIO!B:B,"",0)</f>
        <v>0</v>
      </c>
      <c r="E91" s="2">
        <f>_xlfn.XLOOKUP(tblPrecios[[#This Row],[SKU]],LANDED_COST!A:A,LANDED_COST!L:L,"00.00",0)</f>
        <v>0</v>
      </c>
      <c r="F91" s="3">
        <f>_xlfn.XLOOKUP(tblPrecios[[#This Row],[Tipo_Cliente]],POLITICAS_MARGEN!A:A,POLITICAS_MARGEN!B:B,0,0)</f>
        <v>0</v>
      </c>
      <c r="G91" s="3">
        <f t="shared" si="3"/>
        <v>0</v>
      </c>
      <c r="H91" s="3">
        <f t="shared" si="4"/>
        <v>0</v>
      </c>
      <c r="I91" s="3">
        <f t="shared" si="5"/>
        <v>0</v>
      </c>
    </row>
    <row r="92" spans="4:9" x14ac:dyDescent="0.35">
      <c r="D92" s="2">
        <f>_xlfn.XLOOKUP(tblPrecios[[#This Row],[Moneda_Precio]],TIPOS_CAMBIO!A:A,TIPOS_CAMBIO!B:B,"",0)</f>
        <v>0</v>
      </c>
      <c r="E92" s="2">
        <f>_xlfn.XLOOKUP(tblPrecios[[#This Row],[SKU]],LANDED_COST!A:A,LANDED_COST!L:L,"00.00",0)</f>
        <v>0</v>
      </c>
      <c r="F92" s="3">
        <f>_xlfn.XLOOKUP(tblPrecios[[#This Row],[Tipo_Cliente]],POLITICAS_MARGEN!A:A,POLITICAS_MARGEN!B:B,0,0)</f>
        <v>0</v>
      </c>
      <c r="G92" s="3">
        <f t="shared" si="3"/>
        <v>0</v>
      </c>
      <c r="H92" s="3">
        <f t="shared" si="4"/>
        <v>0</v>
      </c>
      <c r="I92" s="3">
        <f t="shared" si="5"/>
        <v>0</v>
      </c>
    </row>
    <row r="93" spans="4:9" x14ac:dyDescent="0.35">
      <c r="D93" s="2">
        <f>_xlfn.XLOOKUP(tblPrecios[[#This Row],[Moneda_Precio]],TIPOS_CAMBIO!A:A,TIPOS_CAMBIO!B:B,"",0)</f>
        <v>0</v>
      </c>
      <c r="E93" s="2">
        <f>_xlfn.XLOOKUP(tblPrecios[[#This Row],[SKU]],LANDED_COST!A:A,LANDED_COST!L:L,"00.00",0)</f>
        <v>0</v>
      </c>
      <c r="F93" s="3">
        <f>_xlfn.XLOOKUP(tblPrecios[[#This Row],[Tipo_Cliente]],POLITICAS_MARGEN!A:A,POLITICAS_MARGEN!B:B,0,0)</f>
        <v>0</v>
      </c>
      <c r="G93" s="3">
        <f t="shared" si="3"/>
        <v>0</v>
      </c>
      <c r="H93" s="3">
        <f t="shared" si="4"/>
        <v>0</v>
      </c>
      <c r="I93" s="3">
        <f t="shared" si="5"/>
        <v>0</v>
      </c>
    </row>
    <row r="94" spans="4:9" x14ac:dyDescent="0.35">
      <c r="D94" s="2">
        <f>_xlfn.XLOOKUP(tblPrecios[[#This Row],[Moneda_Precio]],TIPOS_CAMBIO!A:A,TIPOS_CAMBIO!B:B,"",0)</f>
        <v>0</v>
      </c>
      <c r="E94" s="2">
        <f>_xlfn.XLOOKUP(tblPrecios[[#This Row],[SKU]],LANDED_COST!A:A,LANDED_COST!L:L,"00.00",0)</f>
        <v>0</v>
      </c>
      <c r="F94" s="3">
        <f>_xlfn.XLOOKUP(tblPrecios[[#This Row],[Tipo_Cliente]],POLITICAS_MARGEN!A:A,POLITICAS_MARGEN!B:B,0,0)</f>
        <v>0</v>
      </c>
      <c r="G94" s="3">
        <f t="shared" si="3"/>
        <v>0</v>
      </c>
      <c r="H94" s="3">
        <f t="shared" si="4"/>
        <v>0</v>
      </c>
      <c r="I94" s="3">
        <f t="shared" si="5"/>
        <v>0</v>
      </c>
    </row>
    <row r="95" spans="4:9" x14ac:dyDescent="0.35">
      <c r="D95" s="2">
        <f>_xlfn.XLOOKUP(tblPrecios[[#This Row],[Moneda_Precio]],TIPOS_CAMBIO!A:A,TIPOS_CAMBIO!B:B,"",0)</f>
        <v>0</v>
      </c>
      <c r="E95" s="2">
        <f>_xlfn.XLOOKUP(tblPrecios[[#This Row],[SKU]],LANDED_COST!A:A,LANDED_COST!L:L,"00.00",0)</f>
        <v>0</v>
      </c>
      <c r="F95" s="3">
        <f>_xlfn.XLOOKUP(tblPrecios[[#This Row],[Tipo_Cliente]],POLITICAS_MARGEN!A:A,POLITICAS_MARGEN!B:B,0,0)</f>
        <v>0</v>
      </c>
      <c r="G95" s="3">
        <f t="shared" si="3"/>
        <v>0</v>
      </c>
      <c r="H95" s="3">
        <f t="shared" si="4"/>
        <v>0</v>
      </c>
      <c r="I95" s="3">
        <f t="shared" si="5"/>
        <v>0</v>
      </c>
    </row>
    <row r="96" spans="4:9" x14ac:dyDescent="0.35">
      <c r="D96" s="2">
        <f>_xlfn.XLOOKUP(tblPrecios[[#This Row],[Moneda_Precio]],TIPOS_CAMBIO!A:A,TIPOS_CAMBIO!B:B,"",0)</f>
        <v>0</v>
      </c>
      <c r="E96" s="2">
        <f>_xlfn.XLOOKUP(tblPrecios[[#This Row],[SKU]],LANDED_COST!A:A,LANDED_COST!L:L,"00.00",0)</f>
        <v>0</v>
      </c>
      <c r="F96" s="3">
        <f>_xlfn.XLOOKUP(tblPrecios[[#This Row],[Tipo_Cliente]],POLITICAS_MARGEN!A:A,POLITICAS_MARGEN!B:B,0,0)</f>
        <v>0</v>
      </c>
      <c r="G96" s="3">
        <f t="shared" si="3"/>
        <v>0</v>
      </c>
      <c r="H96" s="3">
        <f t="shared" si="4"/>
        <v>0</v>
      </c>
      <c r="I96" s="3">
        <f t="shared" si="5"/>
        <v>0</v>
      </c>
    </row>
    <row r="97" spans="4:9" x14ac:dyDescent="0.35">
      <c r="D97" s="2">
        <f>_xlfn.XLOOKUP(tblPrecios[[#This Row],[Moneda_Precio]],TIPOS_CAMBIO!A:A,TIPOS_CAMBIO!B:B,"",0)</f>
        <v>0</v>
      </c>
      <c r="E97" s="2">
        <f>_xlfn.XLOOKUP(tblPrecios[[#This Row],[SKU]],LANDED_COST!A:A,LANDED_COST!L:L,"00.00",0)</f>
        <v>0</v>
      </c>
      <c r="F97" s="3">
        <f>_xlfn.XLOOKUP(tblPrecios[[#This Row],[Tipo_Cliente]],POLITICAS_MARGEN!A:A,POLITICAS_MARGEN!B:B,0,0)</f>
        <v>0</v>
      </c>
      <c r="G97" s="3">
        <f t="shared" si="3"/>
        <v>0</v>
      </c>
      <c r="H97" s="3">
        <f t="shared" si="4"/>
        <v>0</v>
      </c>
      <c r="I97" s="3">
        <f t="shared" si="5"/>
        <v>0</v>
      </c>
    </row>
    <row r="98" spans="4:9" x14ac:dyDescent="0.35">
      <c r="D98" s="2">
        <f>_xlfn.XLOOKUP(tblPrecios[[#This Row],[Moneda_Precio]],TIPOS_CAMBIO!A:A,TIPOS_CAMBIO!B:B,"",0)</f>
        <v>0</v>
      </c>
      <c r="E98" s="2">
        <f>_xlfn.XLOOKUP(tblPrecios[[#This Row],[SKU]],LANDED_COST!A:A,LANDED_COST!L:L,"00.00",0)</f>
        <v>0</v>
      </c>
      <c r="F98" s="3">
        <f>_xlfn.XLOOKUP(tblPrecios[[#This Row],[Tipo_Cliente]],POLITICAS_MARGEN!A:A,POLITICAS_MARGEN!B:B,0,0)</f>
        <v>0</v>
      </c>
      <c r="G98" s="3">
        <f t="shared" si="3"/>
        <v>0</v>
      </c>
      <c r="H98" s="3">
        <f t="shared" si="4"/>
        <v>0</v>
      </c>
      <c r="I98" s="3">
        <f t="shared" si="5"/>
        <v>0</v>
      </c>
    </row>
    <row r="99" spans="4:9" x14ac:dyDescent="0.35">
      <c r="D99" s="2">
        <f>_xlfn.XLOOKUP(tblPrecios[[#This Row],[Moneda_Precio]],TIPOS_CAMBIO!A:A,TIPOS_CAMBIO!B:B,"",0)</f>
        <v>0</v>
      </c>
      <c r="E99" s="2">
        <f>_xlfn.XLOOKUP(tblPrecios[[#This Row],[SKU]],LANDED_COST!A:A,LANDED_COST!L:L,"00.00",0)</f>
        <v>0</v>
      </c>
      <c r="F99" s="3">
        <f>_xlfn.XLOOKUP(tblPrecios[[#This Row],[Tipo_Cliente]],POLITICAS_MARGEN!A:A,POLITICAS_MARGEN!B:B,0,0)</f>
        <v>0</v>
      </c>
      <c r="G99" s="3">
        <f t="shared" si="3"/>
        <v>0</v>
      </c>
      <c r="H99" s="3">
        <f t="shared" si="4"/>
        <v>0</v>
      </c>
      <c r="I99" s="3">
        <f t="shared" si="5"/>
        <v>0</v>
      </c>
    </row>
    <row r="100" spans="4:9" x14ac:dyDescent="0.35">
      <c r="D100" s="2">
        <f>_xlfn.XLOOKUP(tblPrecios[[#This Row],[Moneda_Precio]],TIPOS_CAMBIO!A:A,TIPOS_CAMBIO!B:B,"",0)</f>
        <v>0</v>
      </c>
      <c r="E100" s="2">
        <f>_xlfn.XLOOKUP(tblPrecios[[#This Row],[SKU]],LANDED_COST!A:A,LANDED_COST!L:L,"00.00",0)</f>
        <v>0</v>
      </c>
      <c r="F100" s="3">
        <f>_xlfn.XLOOKUP(tblPrecios[[#This Row],[Tipo_Cliente]],POLITICAS_MARGEN!A:A,POLITICAS_MARGEN!B:B,0,0)</f>
        <v>0</v>
      </c>
      <c r="G100" s="3">
        <f t="shared" si="3"/>
        <v>0</v>
      </c>
      <c r="H100" s="3">
        <f t="shared" si="4"/>
        <v>0</v>
      </c>
      <c r="I100" s="3">
        <f t="shared" si="5"/>
        <v>0</v>
      </c>
    </row>
    <row r="101" spans="4:9" x14ac:dyDescent="0.35">
      <c r="D101" s="2">
        <f>_xlfn.XLOOKUP(tblPrecios[[#This Row],[Moneda_Precio]],TIPOS_CAMBIO!A:A,TIPOS_CAMBIO!B:B,"",0)</f>
        <v>0</v>
      </c>
      <c r="E101" s="2">
        <f>_xlfn.XLOOKUP(tblPrecios[[#This Row],[SKU]],LANDED_COST!A:A,LANDED_COST!L:L,"00.00",0)</f>
        <v>0</v>
      </c>
      <c r="F101" s="3">
        <f>_xlfn.XLOOKUP(tblPrecios[[#This Row],[Tipo_Cliente]],POLITICAS_MARGEN!A:A,POLITICAS_MARGEN!B:B,0,0)</f>
        <v>0</v>
      </c>
      <c r="G101" s="3">
        <f t="shared" si="3"/>
        <v>0</v>
      </c>
      <c r="H101" s="3">
        <f t="shared" si="4"/>
        <v>0</v>
      </c>
      <c r="I101" s="3">
        <f t="shared" si="5"/>
        <v>0</v>
      </c>
    </row>
    <row r="102" spans="4:9" x14ac:dyDescent="0.35">
      <c r="D102" s="2">
        <f>_xlfn.XLOOKUP(tblPrecios[[#This Row],[Moneda_Precio]],TIPOS_CAMBIO!A:A,TIPOS_CAMBIO!B:B,"",0)</f>
        <v>0</v>
      </c>
      <c r="E102" s="2">
        <f>_xlfn.XLOOKUP(tblPrecios[[#This Row],[SKU]],LANDED_COST!A:A,LANDED_COST!L:L,"00.00",0)</f>
        <v>0</v>
      </c>
      <c r="F102" s="3">
        <f>_xlfn.XLOOKUP(tblPrecios[[#This Row],[Tipo_Cliente]],POLITICAS_MARGEN!A:A,POLITICAS_MARGEN!B:B,0,0)</f>
        <v>0</v>
      </c>
      <c r="G102" s="3">
        <f t="shared" si="3"/>
        <v>0</v>
      </c>
      <c r="H102" s="3">
        <f t="shared" si="4"/>
        <v>0</v>
      </c>
      <c r="I102" s="3">
        <f t="shared" si="5"/>
        <v>0</v>
      </c>
    </row>
    <row r="103" spans="4:9" x14ac:dyDescent="0.35">
      <c r="D103" s="2">
        <f>_xlfn.XLOOKUP(tblPrecios[[#This Row],[Moneda_Precio]],TIPOS_CAMBIO!A:A,TIPOS_CAMBIO!B:B,"",0)</f>
        <v>0</v>
      </c>
      <c r="E103" s="2">
        <f>_xlfn.XLOOKUP(tblPrecios[[#This Row],[SKU]],LANDED_COST!A:A,LANDED_COST!L:L,"00.00",0)</f>
        <v>0</v>
      </c>
      <c r="F103" s="3">
        <f>_xlfn.XLOOKUP(tblPrecios[[#This Row],[Tipo_Cliente]],POLITICAS_MARGEN!A:A,POLITICAS_MARGEN!B:B,0,0)</f>
        <v>0</v>
      </c>
      <c r="G103" s="3">
        <f t="shared" si="3"/>
        <v>0</v>
      </c>
      <c r="H103" s="3">
        <f t="shared" si="4"/>
        <v>0</v>
      </c>
      <c r="I103" s="3">
        <f t="shared" si="5"/>
        <v>0</v>
      </c>
    </row>
    <row r="104" spans="4:9" x14ac:dyDescent="0.35">
      <c r="D104" s="2">
        <f>_xlfn.XLOOKUP(tblPrecios[[#This Row],[Moneda_Precio]],TIPOS_CAMBIO!A:A,TIPOS_CAMBIO!B:B,"",0)</f>
        <v>0</v>
      </c>
      <c r="E104" s="2">
        <f>_xlfn.XLOOKUP(tblPrecios[[#This Row],[SKU]],LANDED_COST!A:A,LANDED_COST!L:L,"00.00",0)</f>
        <v>0</v>
      </c>
      <c r="F104" s="3">
        <f>_xlfn.XLOOKUP(tblPrecios[[#This Row],[Tipo_Cliente]],POLITICAS_MARGEN!A:A,POLITICAS_MARGEN!B:B,0,0)</f>
        <v>0</v>
      </c>
      <c r="G104" s="3">
        <f t="shared" si="3"/>
        <v>0</v>
      </c>
      <c r="H104" s="3">
        <f t="shared" si="4"/>
        <v>0</v>
      </c>
      <c r="I104" s="3">
        <f t="shared" si="5"/>
        <v>0</v>
      </c>
    </row>
    <row r="105" spans="4:9" x14ac:dyDescent="0.35">
      <c r="D105" s="2">
        <f>_xlfn.XLOOKUP(tblPrecios[[#This Row],[Moneda_Precio]],TIPOS_CAMBIO!A:A,TIPOS_CAMBIO!B:B,"",0)</f>
        <v>0</v>
      </c>
      <c r="E105" s="2">
        <f>_xlfn.XLOOKUP(tblPrecios[[#This Row],[SKU]],LANDED_COST!A:A,LANDED_COST!L:L,"00.00",0)</f>
        <v>0</v>
      </c>
      <c r="F105" s="3">
        <f>_xlfn.XLOOKUP(tblPrecios[[#This Row],[Tipo_Cliente]],POLITICAS_MARGEN!A:A,POLITICAS_MARGEN!B:B,0,0)</f>
        <v>0</v>
      </c>
      <c r="G105" s="3">
        <f t="shared" si="3"/>
        <v>0</v>
      </c>
      <c r="H105" s="3">
        <f t="shared" si="4"/>
        <v>0</v>
      </c>
      <c r="I105" s="3">
        <f t="shared" si="5"/>
        <v>0</v>
      </c>
    </row>
    <row r="106" spans="4:9" x14ac:dyDescent="0.35">
      <c r="D106" s="2">
        <f>_xlfn.XLOOKUP(tblPrecios[[#This Row],[Moneda_Precio]],TIPOS_CAMBIO!A:A,TIPOS_CAMBIO!B:B,"",0)</f>
        <v>0</v>
      </c>
      <c r="E106" s="2">
        <f>_xlfn.XLOOKUP(tblPrecios[[#This Row],[SKU]],LANDED_COST!A:A,LANDED_COST!L:L,"00.00",0)</f>
        <v>0</v>
      </c>
      <c r="F106" s="3">
        <f>_xlfn.XLOOKUP(tblPrecios[[#This Row],[Tipo_Cliente]],POLITICAS_MARGEN!A:A,POLITICAS_MARGEN!B:B,0,0)</f>
        <v>0</v>
      </c>
      <c r="G106" s="3">
        <f t="shared" si="3"/>
        <v>0</v>
      </c>
      <c r="H106" s="3">
        <f t="shared" si="4"/>
        <v>0</v>
      </c>
      <c r="I106" s="3">
        <f t="shared" si="5"/>
        <v>0</v>
      </c>
    </row>
    <row r="107" spans="4:9" x14ac:dyDescent="0.35">
      <c r="D107" s="2">
        <f>_xlfn.XLOOKUP(tblPrecios[[#This Row],[Moneda_Precio]],TIPOS_CAMBIO!A:A,TIPOS_CAMBIO!B:B,"",0)</f>
        <v>0</v>
      </c>
      <c r="E107" s="2">
        <f>_xlfn.XLOOKUP(tblPrecios[[#This Row],[SKU]],LANDED_COST!A:A,LANDED_COST!L:L,"00.00",0)</f>
        <v>0</v>
      </c>
      <c r="F107" s="3">
        <f>_xlfn.XLOOKUP(tblPrecios[[#This Row],[Tipo_Cliente]],POLITICAS_MARGEN!A:A,POLITICAS_MARGEN!B:B,0,0)</f>
        <v>0</v>
      </c>
      <c r="G107" s="3">
        <f t="shared" si="3"/>
        <v>0</v>
      </c>
      <c r="H107" s="3">
        <f t="shared" si="4"/>
        <v>0</v>
      </c>
      <c r="I107" s="3">
        <f t="shared" si="5"/>
        <v>0</v>
      </c>
    </row>
    <row r="108" spans="4:9" x14ac:dyDescent="0.35">
      <c r="D108" s="2">
        <f>_xlfn.XLOOKUP(tblPrecios[[#This Row],[Moneda_Precio]],TIPOS_CAMBIO!A:A,TIPOS_CAMBIO!B:B,"",0)</f>
        <v>0</v>
      </c>
      <c r="E108" s="2">
        <f>_xlfn.XLOOKUP(tblPrecios[[#This Row],[SKU]],LANDED_COST!A:A,LANDED_COST!L:L,"00.00",0)</f>
        <v>0</v>
      </c>
      <c r="F108" s="3">
        <f>_xlfn.XLOOKUP(tblPrecios[[#This Row],[Tipo_Cliente]],POLITICAS_MARGEN!A:A,POLITICAS_MARGEN!B:B,0,0)</f>
        <v>0</v>
      </c>
      <c r="G108" s="3">
        <f t="shared" si="3"/>
        <v>0</v>
      </c>
      <c r="H108" s="3">
        <f t="shared" si="4"/>
        <v>0</v>
      </c>
      <c r="I108" s="3">
        <f t="shared" si="5"/>
        <v>0</v>
      </c>
    </row>
    <row r="109" spans="4:9" x14ac:dyDescent="0.35">
      <c r="D109" s="2">
        <f>_xlfn.XLOOKUP(tblPrecios[[#This Row],[Moneda_Precio]],TIPOS_CAMBIO!A:A,TIPOS_CAMBIO!B:B,"",0)</f>
        <v>0</v>
      </c>
      <c r="E109" s="2">
        <f>_xlfn.XLOOKUP(tblPrecios[[#This Row],[SKU]],LANDED_COST!A:A,LANDED_COST!L:L,"00.00",0)</f>
        <v>0</v>
      </c>
      <c r="F109" s="3">
        <f>_xlfn.XLOOKUP(tblPrecios[[#This Row],[Tipo_Cliente]],POLITICAS_MARGEN!A:A,POLITICAS_MARGEN!B:B,0,0)</f>
        <v>0</v>
      </c>
      <c r="G109" s="3">
        <f t="shared" si="3"/>
        <v>0</v>
      </c>
      <c r="H109" s="3">
        <f t="shared" si="4"/>
        <v>0</v>
      </c>
      <c r="I109" s="3">
        <f t="shared" si="5"/>
        <v>0</v>
      </c>
    </row>
    <row r="110" spans="4:9" x14ac:dyDescent="0.35">
      <c r="D110" s="2">
        <f>_xlfn.XLOOKUP(tblPrecios[[#This Row],[Moneda_Precio]],TIPOS_CAMBIO!A:A,TIPOS_CAMBIO!B:B,"",0)</f>
        <v>0</v>
      </c>
      <c r="E110" s="2">
        <f>_xlfn.XLOOKUP(tblPrecios[[#This Row],[SKU]],LANDED_COST!A:A,LANDED_COST!L:L,"00.00",0)</f>
        <v>0</v>
      </c>
      <c r="F110" s="3">
        <f>_xlfn.XLOOKUP(tblPrecios[[#This Row],[Tipo_Cliente]],POLITICAS_MARGEN!A:A,POLITICAS_MARGEN!B:B,0,0)</f>
        <v>0</v>
      </c>
      <c r="G110" s="3">
        <f t="shared" si="3"/>
        <v>0</v>
      </c>
      <c r="H110" s="3">
        <f t="shared" si="4"/>
        <v>0</v>
      </c>
      <c r="I110" s="3">
        <f t="shared" si="5"/>
        <v>0</v>
      </c>
    </row>
    <row r="111" spans="4:9" x14ac:dyDescent="0.35">
      <c r="D111" s="2">
        <f>_xlfn.XLOOKUP(tblPrecios[[#This Row],[Moneda_Precio]],TIPOS_CAMBIO!A:A,TIPOS_CAMBIO!B:B,"",0)</f>
        <v>0</v>
      </c>
      <c r="E111" s="2">
        <f>_xlfn.XLOOKUP(tblPrecios[[#This Row],[SKU]],LANDED_COST!A:A,LANDED_COST!L:L,"00.00",0)</f>
        <v>0</v>
      </c>
      <c r="F111" s="3">
        <f>_xlfn.XLOOKUP(tblPrecios[[#This Row],[Tipo_Cliente]],POLITICAS_MARGEN!A:A,POLITICAS_MARGEN!B:B,0,0)</f>
        <v>0</v>
      </c>
      <c r="G111" s="3">
        <f t="shared" si="3"/>
        <v>0</v>
      </c>
      <c r="H111" s="3">
        <f t="shared" si="4"/>
        <v>0</v>
      </c>
      <c r="I111" s="3">
        <f t="shared" si="5"/>
        <v>0</v>
      </c>
    </row>
    <row r="112" spans="4:9" x14ac:dyDescent="0.35">
      <c r="D112" s="2">
        <f>_xlfn.XLOOKUP(tblPrecios[[#This Row],[Moneda_Precio]],TIPOS_CAMBIO!A:A,TIPOS_CAMBIO!B:B,"",0)</f>
        <v>0</v>
      </c>
      <c r="E112" s="2">
        <f>_xlfn.XLOOKUP(tblPrecios[[#This Row],[SKU]],LANDED_COST!A:A,LANDED_COST!L:L,"00.00",0)</f>
        <v>0</v>
      </c>
      <c r="F112" s="3">
        <f>_xlfn.XLOOKUP(tblPrecios[[#This Row],[Tipo_Cliente]],POLITICAS_MARGEN!A:A,POLITICAS_MARGEN!B:B,0,0)</f>
        <v>0</v>
      </c>
      <c r="G112" s="3">
        <f t="shared" si="3"/>
        <v>0</v>
      </c>
      <c r="H112" s="3">
        <f t="shared" si="4"/>
        <v>0</v>
      </c>
      <c r="I112" s="3">
        <f t="shared" si="5"/>
        <v>0</v>
      </c>
    </row>
    <row r="113" spans="4:9" x14ac:dyDescent="0.35">
      <c r="D113" s="2">
        <f>_xlfn.XLOOKUP(tblPrecios[[#This Row],[Moneda_Precio]],TIPOS_CAMBIO!A:A,TIPOS_CAMBIO!B:B,"",0)</f>
        <v>0</v>
      </c>
      <c r="E113" s="2">
        <f>_xlfn.XLOOKUP(tblPrecios[[#This Row],[SKU]],LANDED_COST!A:A,LANDED_COST!L:L,"00.00",0)</f>
        <v>0</v>
      </c>
      <c r="F113" s="3">
        <f>_xlfn.XLOOKUP(tblPrecios[[#This Row],[Tipo_Cliente]],POLITICAS_MARGEN!A:A,POLITICAS_MARGEN!B:B,0,0)</f>
        <v>0</v>
      </c>
      <c r="G113" s="3">
        <f t="shared" si="3"/>
        <v>0</v>
      </c>
      <c r="H113" s="3">
        <f t="shared" si="4"/>
        <v>0</v>
      </c>
      <c r="I113" s="3">
        <f t="shared" si="5"/>
        <v>0</v>
      </c>
    </row>
    <row r="114" spans="4:9" x14ac:dyDescent="0.35">
      <c r="D114" s="2">
        <f>_xlfn.XLOOKUP(tblPrecios[[#This Row],[Moneda_Precio]],TIPOS_CAMBIO!A:A,TIPOS_CAMBIO!B:B,"",0)</f>
        <v>0</v>
      </c>
      <c r="E114" s="2">
        <f>_xlfn.XLOOKUP(tblPrecios[[#This Row],[SKU]],LANDED_COST!A:A,LANDED_COST!L:L,"00.00",0)</f>
        <v>0</v>
      </c>
      <c r="F114" s="3">
        <f>_xlfn.XLOOKUP(tblPrecios[[#This Row],[Tipo_Cliente]],POLITICAS_MARGEN!A:A,POLITICAS_MARGEN!B:B,0,0)</f>
        <v>0</v>
      </c>
      <c r="G114" s="3">
        <f t="shared" si="3"/>
        <v>0</v>
      </c>
      <c r="H114" s="3">
        <f t="shared" si="4"/>
        <v>0</v>
      </c>
      <c r="I114" s="3">
        <f t="shared" si="5"/>
        <v>0</v>
      </c>
    </row>
    <row r="115" spans="4:9" x14ac:dyDescent="0.35">
      <c r="D115" s="2">
        <f>_xlfn.XLOOKUP(tblPrecios[[#This Row],[Moneda_Precio]],TIPOS_CAMBIO!A:A,TIPOS_CAMBIO!B:B,"",0)</f>
        <v>0</v>
      </c>
      <c r="E115" s="2">
        <f>_xlfn.XLOOKUP(tblPrecios[[#This Row],[SKU]],LANDED_COST!A:A,LANDED_COST!L:L,"00.00",0)</f>
        <v>0</v>
      </c>
      <c r="F115" s="3">
        <f>_xlfn.XLOOKUP(tblPrecios[[#This Row],[Tipo_Cliente]],POLITICAS_MARGEN!A:A,POLITICAS_MARGEN!B:B,0,0)</f>
        <v>0</v>
      </c>
      <c r="G115" s="3">
        <f t="shared" si="3"/>
        <v>0</v>
      </c>
      <c r="H115" s="3">
        <f t="shared" si="4"/>
        <v>0</v>
      </c>
      <c r="I115" s="3">
        <f t="shared" si="5"/>
        <v>0</v>
      </c>
    </row>
    <row r="116" spans="4:9" x14ac:dyDescent="0.35">
      <c r="D116" s="2">
        <f>_xlfn.XLOOKUP(tblPrecios[[#This Row],[Moneda_Precio]],TIPOS_CAMBIO!A:A,TIPOS_CAMBIO!B:B,"",0)</f>
        <v>0</v>
      </c>
      <c r="E116" s="2">
        <f>_xlfn.XLOOKUP(tblPrecios[[#This Row],[SKU]],LANDED_COST!A:A,LANDED_COST!L:L,"00.00",0)</f>
        <v>0</v>
      </c>
      <c r="F116" s="3">
        <f>_xlfn.XLOOKUP(tblPrecios[[#This Row],[Tipo_Cliente]],POLITICAS_MARGEN!A:A,POLITICAS_MARGEN!B:B,0,0)</f>
        <v>0</v>
      </c>
      <c r="G116" s="3">
        <f t="shared" si="3"/>
        <v>0</v>
      </c>
      <c r="H116" s="3">
        <f t="shared" si="4"/>
        <v>0</v>
      </c>
      <c r="I116" s="3">
        <f t="shared" si="5"/>
        <v>0</v>
      </c>
    </row>
    <row r="117" spans="4:9" x14ac:dyDescent="0.35">
      <c r="D117" s="2">
        <f>_xlfn.XLOOKUP(tblPrecios[[#This Row],[Moneda_Precio]],TIPOS_CAMBIO!A:A,TIPOS_CAMBIO!B:B,"",0)</f>
        <v>0</v>
      </c>
      <c r="E117" s="2">
        <f>_xlfn.XLOOKUP(tblPrecios[[#This Row],[SKU]],LANDED_COST!A:A,LANDED_COST!L:L,"00.00",0)</f>
        <v>0</v>
      </c>
      <c r="F117" s="3">
        <f>_xlfn.XLOOKUP(tblPrecios[[#This Row],[Tipo_Cliente]],POLITICAS_MARGEN!A:A,POLITICAS_MARGEN!B:B,0,0)</f>
        <v>0</v>
      </c>
      <c r="G117" s="3">
        <f t="shared" si="3"/>
        <v>0</v>
      </c>
      <c r="H117" s="3">
        <f t="shared" si="4"/>
        <v>0</v>
      </c>
      <c r="I117" s="3">
        <f t="shared" si="5"/>
        <v>0</v>
      </c>
    </row>
    <row r="118" spans="4:9" x14ac:dyDescent="0.35">
      <c r="D118" s="2">
        <f>_xlfn.XLOOKUP(tblPrecios[[#This Row],[Moneda_Precio]],TIPOS_CAMBIO!A:A,TIPOS_CAMBIO!B:B,"",0)</f>
        <v>0</v>
      </c>
      <c r="E118" s="2">
        <f>_xlfn.XLOOKUP(tblPrecios[[#This Row],[SKU]],LANDED_COST!A:A,LANDED_COST!L:L,"00.00",0)</f>
        <v>0</v>
      </c>
      <c r="F118" s="3">
        <f>_xlfn.XLOOKUP(tblPrecios[[#This Row],[Tipo_Cliente]],POLITICAS_MARGEN!A:A,POLITICAS_MARGEN!B:B,0,0)</f>
        <v>0</v>
      </c>
      <c r="G118" s="3">
        <f t="shared" si="3"/>
        <v>0</v>
      </c>
      <c r="H118" s="3">
        <f t="shared" si="4"/>
        <v>0</v>
      </c>
      <c r="I118" s="3">
        <f t="shared" si="5"/>
        <v>0</v>
      </c>
    </row>
    <row r="119" spans="4:9" x14ac:dyDescent="0.35">
      <c r="D119" s="2">
        <f>_xlfn.XLOOKUP(tblPrecios[[#This Row],[Moneda_Precio]],TIPOS_CAMBIO!A:A,TIPOS_CAMBIO!B:B,"",0)</f>
        <v>0</v>
      </c>
      <c r="E119" s="2">
        <f>_xlfn.XLOOKUP(tblPrecios[[#This Row],[SKU]],LANDED_COST!A:A,LANDED_COST!L:L,"00.00",0)</f>
        <v>0</v>
      </c>
      <c r="F119" s="3">
        <f>_xlfn.XLOOKUP(tblPrecios[[#This Row],[Tipo_Cliente]],POLITICAS_MARGEN!A:A,POLITICAS_MARGEN!B:B,0,0)</f>
        <v>0</v>
      </c>
      <c r="G119" s="3">
        <f t="shared" si="3"/>
        <v>0</v>
      </c>
      <c r="H119" s="3">
        <f t="shared" si="4"/>
        <v>0</v>
      </c>
      <c r="I119" s="3">
        <f t="shared" si="5"/>
        <v>0</v>
      </c>
    </row>
    <row r="120" spans="4:9" x14ac:dyDescent="0.35">
      <c r="D120" s="2">
        <f>_xlfn.XLOOKUP(tblPrecios[[#This Row],[Moneda_Precio]],TIPOS_CAMBIO!A:A,TIPOS_CAMBIO!B:B,"",0)</f>
        <v>0</v>
      </c>
      <c r="E120" s="2">
        <f>_xlfn.XLOOKUP(tblPrecios[[#This Row],[SKU]],LANDED_COST!A:A,LANDED_COST!L:L,"00.00",0)</f>
        <v>0</v>
      </c>
      <c r="F120" s="3">
        <f>_xlfn.XLOOKUP(tblPrecios[[#This Row],[Tipo_Cliente]],POLITICAS_MARGEN!A:A,POLITICAS_MARGEN!B:B,0,0)</f>
        <v>0</v>
      </c>
      <c r="G120" s="3">
        <f t="shared" si="3"/>
        <v>0</v>
      </c>
      <c r="H120" s="3">
        <f t="shared" si="4"/>
        <v>0</v>
      </c>
      <c r="I120" s="3">
        <f t="shared" si="5"/>
        <v>0</v>
      </c>
    </row>
    <row r="121" spans="4:9" x14ac:dyDescent="0.35">
      <c r="D121" s="2">
        <f>_xlfn.XLOOKUP(tblPrecios[[#This Row],[Moneda_Precio]],TIPOS_CAMBIO!A:A,TIPOS_CAMBIO!B:B,"",0)</f>
        <v>0</v>
      </c>
      <c r="E121" s="2">
        <f>_xlfn.XLOOKUP(tblPrecios[[#This Row],[SKU]],LANDED_COST!A:A,LANDED_COST!L:L,"00.00",0)</f>
        <v>0</v>
      </c>
      <c r="F121" s="3">
        <f>_xlfn.XLOOKUP(tblPrecios[[#This Row],[Tipo_Cliente]],POLITICAS_MARGEN!A:A,POLITICAS_MARGEN!B:B,0,0)</f>
        <v>0</v>
      </c>
      <c r="G121" s="3">
        <f t="shared" si="3"/>
        <v>0</v>
      </c>
      <c r="H121" s="3">
        <f t="shared" si="4"/>
        <v>0</v>
      </c>
      <c r="I121" s="3">
        <f t="shared" si="5"/>
        <v>0</v>
      </c>
    </row>
    <row r="122" spans="4:9" x14ac:dyDescent="0.35">
      <c r="D122" s="2">
        <f>_xlfn.XLOOKUP(tblPrecios[[#This Row],[Moneda_Precio]],TIPOS_CAMBIO!A:A,TIPOS_CAMBIO!B:B,"",0)</f>
        <v>0</v>
      </c>
      <c r="E122" s="2">
        <f>_xlfn.XLOOKUP(tblPrecios[[#This Row],[SKU]],LANDED_COST!A:A,LANDED_COST!L:L,"00.00",0)</f>
        <v>0</v>
      </c>
      <c r="F122" s="3">
        <f>_xlfn.XLOOKUP(tblPrecios[[#This Row],[Tipo_Cliente]],POLITICAS_MARGEN!A:A,POLITICAS_MARGEN!B:B,0,0)</f>
        <v>0</v>
      </c>
      <c r="G122" s="3">
        <f t="shared" si="3"/>
        <v>0</v>
      </c>
      <c r="H122" s="3">
        <f t="shared" si="4"/>
        <v>0</v>
      </c>
      <c r="I122" s="3">
        <f t="shared" si="5"/>
        <v>0</v>
      </c>
    </row>
    <row r="123" spans="4:9" x14ac:dyDescent="0.35">
      <c r="D123" s="2">
        <f>_xlfn.XLOOKUP(tblPrecios[[#This Row],[Moneda_Precio]],TIPOS_CAMBIO!A:A,TIPOS_CAMBIO!B:B,"",0)</f>
        <v>0</v>
      </c>
      <c r="E123" s="2">
        <f>_xlfn.XLOOKUP(tblPrecios[[#This Row],[SKU]],LANDED_COST!A:A,LANDED_COST!L:L,"00.00",0)</f>
        <v>0</v>
      </c>
      <c r="F123" s="3">
        <f>_xlfn.XLOOKUP(tblPrecios[[#This Row],[Tipo_Cliente]],POLITICAS_MARGEN!A:A,POLITICAS_MARGEN!B:B,0,0)</f>
        <v>0</v>
      </c>
      <c r="G123" s="3">
        <f t="shared" si="3"/>
        <v>0</v>
      </c>
      <c r="H123" s="3">
        <f t="shared" si="4"/>
        <v>0</v>
      </c>
      <c r="I123" s="3">
        <f t="shared" si="5"/>
        <v>0</v>
      </c>
    </row>
    <row r="124" spans="4:9" x14ac:dyDescent="0.35">
      <c r="D124" s="2">
        <f>_xlfn.XLOOKUP(tblPrecios[[#This Row],[Moneda_Precio]],TIPOS_CAMBIO!A:A,TIPOS_CAMBIO!B:B,"",0)</f>
        <v>0</v>
      </c>
      <c r="E124" s="2">
        <f>_xlfn.XLOOKUP(tblPrecios[[#This Row],[SKU]],LANDED_COST!A:A,LANDED_COST!L:L,"00.00",0)</f>
        <v>0</v>
      </c>
      <c r="F124" s="3">
        <f>_xlfn.XLOOKUP(tblPrecios[[#This Row],[Tipo_Cliente]],POLITICAS_MARGEN!A:A,POLITICAS_MARGEN!B:B,0,0)</f>
        <v>0</v>
      </c>
      <c r="G124" s="3">
        <f t="shared" si="3"/>
        <v>0</v>
      </c>
      <c r="H124" s="3">
        <f t="shared" si="4"/>
        <v>0</v>
      </c>
      <c r="I124" s="3">
        <f t="shared" si="5"/>
        <v>0</v>
      </c>
    </row>
    <row r="125" spans="4:9" x14ac:dyDescent="0.35">
      <c r="D125" s="2">
        <f>_xlfn.XLOOKUP(tblPrecios[[#This Row],[Moneda_Precio]],TIPOS_CAMBIO!A:A,TIPOS_CAMBIO!B:B,"",0)</f>
        <v>0</v>
      </c>
      <c r="E125" s="2">
        <f>_xlfn.XLOOKUP(tblPrecios[[#This Row],[SKU]],LANDED_COST!A:A,LANDED_COST!L:L,"00.00",0)</f>
        <v>0</v>
      </c>
      <c r="F125" s="3">
        <f>_xlfn.XLOOKUP(tblPrecios[[#This Row],[Tipo_Cliente]],POLITICAS_MARGEN!A:A,POLITICAS_MARGEN!B:B,0,0)</f>
        <v>0</v>
      </c>
      <c r="G125" s="3">
        <f t="shared" si="3"/>
        <v>0</v>
      </c>
      <c r="H125" s="3">
        <f t="shared" si="4"/>
        <v>0</v>
      </c>
      <c r="I125" s="3">
        <f t="shared" si="5"/>
        <v>0</v>
      </c>
    </row>
    <row r="126" spans="4:9" x14ac:dyDescent="0.35">
      <c r="D126" s="2">
        <f>_xlfn.XLOOKUP(tblPrecios[[#This Row],[Moneda_Precio]],TIPOS_CAMBIO!A:A,TIPOS_CAMBIO!B:B,"",0)</f>
        <v>0</v>
      </c>
      <c r="E126" s="2">
        <f>_xlfn.XLOOKUP(tblPrecios[[#This Row],[SKU]],LANDED_COST!A:A,LANDED_COST!L:L,"00.00",0)</f>
        <v>0</v>
      </c>
      <c r="F126" s="3">
        <f>_xlfn.XLOOKUP(tblPrecios[[#This Row],[Tipo_Cliente]],POLITICAS_MARGEN!A:A,POLITICAS_MARGEN!B:B,0,0)</f>
        <v>0</v>
      </c>
      <c r="G126" s="3">
        <f t="shared" si="3"/>
        <v>0</v>
      </c>
      <c r="H126" s="3">
        <f t="shared" si="4"/>
        <v>0</v>
      </c>
      <c r="I126" s="3">
        <f t="shared" si="5"/>
        <v>0</v>
      </c>
    </row>
    <row r="127" spans="4:9" x14ac:dyDescent="0.35">
      <c r="D127" s="2">
        <f>_xlfn.XLOOKUP(tblPrecios[[#This Row],[Moneda_Precio]],TIPOS_CAMBIO!A:A,TIPOS_CAMBIO!B:B,"",0)</f>
        <v>0</v>
      </c>
      <c r="E127" s="2">
        <f>_xlfn.XLOOKUP(tblPrecios[[#This Row],[SKU]],LANDED_COST!A:A,LANDED_COST!L:L,"00.00",0)</f>
        <v>0</v>
      </c>
      <c r="F127" s="3">
        <f>_xlfn.XLOOKUP(tblPrecios[[#This Row],[Tipo_Cliente]],POLITICAS_MARGEN!A:A,POLITICAS_MARGEN!B:B,0,0)</f>
        <v>0</v>
      </c>
      <c r="G127" s="3">
        <f t="shared" si="3"/>
        <v>0</v>
      </c>
      <c r="H127" s="3">
        <f t="shared" si="4"/>
        <v>0</v>
      </c>
      <c r="I127" s="3">
        <f t="shared" si="5"/>
        <v>0</v>
      </c>
    </row>
    <row r="128" spans="4:9" x14ac:dyDescent="0.35">
      <c r="D128" s="2">
        <f>_xlfn.XLOOKUP(tblPrecios[[#This Row],[Moneda_Precio]],TIPOS_CAMBIO!A:A,TIPOS_CAMBIO!B:B,"",0)</f>
        <v>0</v>
      </c>
      <c r="E128" s="2">
        <f>_xlfn.XLOOKUP(tblPrecios[[#This Row],[SKU]],LANDED_COST!A:A,LANDED_COST!L:L,"00.00",0)</f>
        <v>0</v>
      </c>
      <c r="F128" s="3">
        <f>_xlfn.XLOOKUP(tblPrecios[[#This Row],[Tipo_Cliente]],POLITICAS_MARGEN!A:A,POLITICAS_MARGEN!B:B,0,0)</f>
        <v>0</v>
      </c>
      <c r="G128" s="3">
        <f t="shared" si="3"/>
        <v>0</v>
      </c>
      <c r="H128" s="3">
        <f t="shared" si="4"/>
        <v>0</v>
      </c>
      <c r="I128" s="3">
        <f t="shared" si="5"/>
        <v>0</v>
      </c>
    </row>
    <row r="129" spans="4:9" x14ac:dyDescent="0.35">
      <c r="D129" s="2">
        <f>_xlfn.XLOOKUP(tblPrecios[[#This Row],[Moneda_Precio]],TIPOS_CAMBIO!A:A,TIPOS_CAMBIO!B:B,"",0)</f>
        <v>0</v>
      </c>
      <c r="E129" s="2">
        <f>_xlfn.XLOOKUP(tblPrecios[[#This Row],[SKU]],LANDED_COST!A:A,LANDED_COST!L:L,"00.00",0)</f>
        <v>0</v>
      </c>
      <c r="F129" s="3">
        <f>_xlfn.XLOOKUP(tblPrecios[[#This Row],[Tipo_Cliente]],POLITICAS_MARGEN!A:A,POLITICAS_MARGEN!B:B,0,0)</f>
        <v>0</v>
      </c>
      <c r="G129" s="3">
        <f t="shared" si="3"/>
        <v>0</v>
      </c>
      <c r="H129" s="3">
        <f t="shared" si="4"/>
        <v>0</v>
      </c>
      <c r="I129" s="3">
        <f t="shared" si="5"/>
        <v>0</v>
      </c>
    </row>
    <row r="130" spans="4:9" x14ac:dyDescent="0.35">
      <c r="D130" s="2">
        <f>_xlfn.XLOOKUP(tblPrecios[[#This Row],[Moneda_Precio]],TIPOS_CAMBIO!A:A,TIPOS_CAMBIO!B:B,"",0)</f>
        <v>0</v>
      </c>
      <c r="E130" s="2">
        <f>_xlfn.XLOOKUP(tblPrecios[[#This Row],[SKU]],LANDED_COST!A:A,LANDED_COST!L:L,"00.00",0)</f>
        <v>0</v>
      </c>
      <c r="F130" s="3">
        <f>_xlfn.XLOOKUP(tblPrecios[[#This Row],[Tipo_Cliente]],POLITICAS_MARGEN!A:A,POLITICAS_MARGEN!B:B,0,0)</f>
        <v>0</v>
      </c>
      <c r="G130" s="3">
        <f t="shared" ref="G130:G193" si="6">IF($F130&gt;0,$E130/(1-$F130),0)</f>
        <v>0</v>
      </c>
      <c r="H130" s="3">
        <f t="shared" ref="H130:H193" si="7">IF($D130&gt;0,$G130/$D130,0)</f>
        <v>0</v>
      </c>
      <c r="I130" s="3">
        <f t="shared" ref="I130:I193" si="8">$E130*1.1</f>
        <v>0</v>
      </c>
    </row>
    <row r="131" spans="4:9" x14ac:dyDescent="0.35">
      <c r="D131" s="2">
        <f>_xlfn.XLOOKUP(tblPrecios[[#This Row],[Moneda_Precio]],TIPOS_CAMBIO!A:A,TIPOS_CAMBIO!B:B,"",0)</f>
        <v>0</v>
      </c>
      <c r="E131" s="2">
        <f>_xlfn.XLOOKUP(tblPrecios[[#This Row],[SKU]],LANDED_COST!A:A,LANDED_COST!L:L,"00.00",0)</f>
        <v>0</v>
      </c>
      <c r="F131" s="3">
        <f>_xlfn.XLOOKUP(tblPrecios[[#This Row],[Tipo_Cliente]],POLITICAS_MARGEN!A:A,POLITICAS_MARGEN!B:B,0,0)</f>
        <v>0</v>
      </c>
      <c r="G131" s="3">
        <f t="shared" si="6"/>
        <v>0</v>
      </c>
      <c r="H131" s="3">
        <f t="shared" si="7"/>
        <v>0</v>
      </c>
      <c r="I131" s="3">
        <f t="shared" si="8"/>
        <v>0</v>
      </c>
    </row>
    <row r="132" spans="4:9" x14ac:dyDescent="0.35">
      <c r="D132" s="2">
        <f>_xlfn.XLOOKUP(tblPrecios[[#This Row],[Moneda_Precio]],TIPOS_CAMBIO!A:A,TIPOS_CAMBIO!B:B,"",0)</f>
        <v>0</v>
      </c>
      <c r="E132" s="2">
        <f>_xlfn.XLOOKUP(tblPrecios[[#This Row],[SKU]],LANDED_COST!A:A,LANDED_COST!L:L,"00.00",0)</f>
        <v>0</v>
      </c>
      <c r="F132" s="3">
        <f>_xlfn.XLOOKUP(tblPrecios[[#This Row],[Tipo_Cliente]],POLITICAS_MARGEN!A:A,POLITICAS_MARGEN!B:B,0,0)</f>
        <v>0</v>
      </c>
      <c r="G132" s="3">
        <f t="shared" si="6"/>
        <v>0</v>
      </c>
      <c r="H132" s="3">
        <f t="shared" si="7"/>
        <v>0</v>
      </c>
      <c r="I132" s="3">
        <f t="shared" si="8"/>
        <v>0</v>
      </c>
    </row>
    <row r="133" spans="4:9" x14ac:dyDescent="0.35">
      <c r="D133" s="2">
        <f>_xlfn.XLOOKUP(tblPrecios[[#This Row],[Moneda_Precio]],TIPOS_CAMBIO!A:A,TIPOS_CAMBIO!B:B,"",0)</f>
        <v>0</v>
      </c>
      <c r="E133" s="2">
        <f>_xlfn.XLOOKUP(tblPrecios[[#This Row],[SKU]],LANDED_COST!A:A,LANDED_COST!L:L,"00.00",0)</f>
        <v>0</v>
      </c>
      <c r="F133" s="3">
        <f>_xlfn.XLOOKUP(tblPrecios[[#This Row],[Tipo_Cliente]],POLITICAS_MARGEN!A:A,POLITICAS_MARGEN!B:B,0,0)</f>
        <v>0</v>
      </c>
      <c r="G133" s="3">
        <f t="shared" si="6"/>
        <v>0</v>
      </c>
      <c r="H133" s="3">
        <f t="shared" si="7"/>
        <v>0</v>
      </c>
      <c r="I133" s="3">
        <f t="shared" si="8"/>
        <v>0</v>
      </c>
    </row>
    <row r="134" spans="4:9" x14ac:dyDescent="0.35">
      <c r="D134" s="2">
        <f>_xlfn.XLOOKUP(tblPrecios[[#This Row],[Moneda_Precio]],TIPOS_CAMBIO!A:A,TIPOS_CAMBIO!B:B,"",0)</f>
        <v>0</v>
      </c>
      <c r="E134" s="2">
        <f>_xlfn.XLOOKUP(tblPrecios[[#This Row],[SKU]],LANDED_COST!A:A,LANDED_COST!L:L,"00.00",0)</f>
        <v>0</v>
      </c>
      <c r="F134" s="3">
        <f>_xlfn.XLOOKUP(tblPrecios[[#This Row],[Tipo_Cliente]],POLITICAS_MARGEN!A:A,POLITICAS_MARGEN!B:B,0,0)</f>
        <v>0</v>
      </c>
      <c r="G134" s="3">
        <f t="shared" si="6"/>
        <v>0</v>
      </c>
      <c r="H134" s="3">
        <f t="shared" si="7"/>
        <v>0</v>
      </c>
      <c r="I134" s="3">
        <f t="shared" si="8"/>
        <v>0</v>
      </c>
    </row>
    <row r="135" spans="4:9" x14ac:dyDescent="0.35">
      <c r="D135" s="2">
        <f>_xlfn.XLOOKUP(tblPrecios[[#This Row],[Moneda_Precio]],TIPOS_CAMBIO!A:A,TIPOS_CAMBIO!B:B,"",0)</f>
        <v>0</v>
      </c>
      <c r="E135" s="2">
        <f>_xlfn.XLOOKUP(tblPrecios[[#This Row],[SKU]],LANDED_COST!A:A,LANDED_COST!L:L,"00.00",0)</f>
        <v>0</v>
      </c>
      <c r="F135" s="3">
        <f>_xlfn.XLOOKUP(tblPrecios[[#This Row],[Tipo_Cliente]],POLITICAS_MARGEN!A:A,POLITICAS_MARGEN!B:B,0,0)</f>
        <v>0</v>
      </c>
      <c r="G135" s="3">
        <f t="shared" si="6"/>
        <v>0</v>
      </c>
      <c r="H135" s="3">
        <f t="shared" si="7"/>
        <v>0</v>
      </c>
      <c r="I135" s="3">
        <f t="shared" si="8"/>
        <v>0</v>
      </c>
    </row>
    <row r="136" spans="4:9" x14ac:dyDescent="0.35">
      <c r="D136" s="2">
        <f>_xlfn.XLOOKUP(tblPrecios[[#This Row],[Moneda_Precio]],TIPOS_CAMBIO!A:A,TIPOS_CAMBIO!B:B,"",0)</f>
        <v>0</v>
      </c>
      <c r="E136" s="2">
        <f>_xlfn.XLOOKUP(tblPrecios[[#This Row],[SKU]],LANDED_COST!A:A,LANDED_COST!L:L,"00.00",0)</f>
        <v>0</v>
      </c>
      <c r="F136" s="3">
        <f>_xlfn.XLOOKUP(tblPrecios[[#This Row],[Tipo_Cliente]],POLITICAS_MARGEN!A:A,POLITICAS_MARGEN!B:B,0,0)</f>
        <v>0</v>
      </c>
      <c r="G136" s="3">
        <f t="shared" si="6"/>
        <v>0</v>
      </c>
      <c r="H136" s="3">
        <f t="shared" si="7"/>
        <v>0</v>
      </c>
      <c r="I136" s="3">
        <f t="shared" si="8"/>
        <v>0</v>
      </c>
    </row>
    <row r="137" spans="4:9" x14ac:dyDescent="0.35">
      <c r="D137" s="2">
        <f>_xlfn.XLOOKUP(tblPrecios[[#This Row],[Moneda_Precio]],TIPOS_CAMBIO!A:A,TIPOS_CAMBIO!B:B,"",0)</f>
        <v>0</v>
      </c>
      <c r="E137" s="2">
        <f>_xlfn.XLOOKUP(tblPrecios[[#This Row],[SKU]],LANDED_COST!A:A,LANDED_COST!L:L,"00.00",0)</f>
        <v>0</v>
      </c>
      <c r="F137" s="3">
        <f>_xlfn.XLOOKUP(tblPrecios[[#This Row],[Tipo_Cliente]],POLITICAS_MARGEN!A:A,POLITICAS_MARGEN!B:B,0,0)</f>
        <v>0</v>
      </c>
      <c r="G137" s="3">
        <f t="shared" si="6"/>
        <v>0</v>
      </c>
      <c r="H137" s="3">
        <f t="shared" si="7"/>
        <v>0</v>
      </c>
      <c r="I137" s="3">
        <f t="shared" si="8"/>
        <v>0</v>
      </c>
    </row>
    <row r="138" spans="4:9" x14ac:dyDescent="0.35">
      <c r="D138" s="2">
        <f>_xlfn.XLOOKUP(tblPrecios[[#This Row],[Moneda_Precio]],TIPOS_CAMBIO!A:A,TIPOS_CAMBIO!B:B,"",0)</f>
        <v>0</v>
      </c>
      <c r="E138" s="2">
        <f>_xlfn.XLOOKUP(tblPrecios[[#This Row],[SKU]],LANDED_COST!A:A,LANDED_COST!L:L,"00.00",0)</f>
        <v>0</v>
      </c>
      <c r="F138" s="3">
        <f>_xlfn.XLOOKUP(tblPrecios[[#This Row],[Tipo_Cliente]],POLITICAS_MARGEN!A:A,POLITICAS_MARGEN!B:B,0,0)</f>
        <v>0</v>
      </c>
      <c r="G138" s="3">
        <f t="shared" si="6"/>
        <v>0</v>
      </c>
      <c r="H138" s="3">
        <f t="shared" si="7"/>
        <v>0</v>
      </c>
      <c r="I138" s="3">
        <f t="shared" si="8"/>
        <v>0</v>
      </c>
    </row>
    <row r="139" spans="4:9" x14ac:dyDescent="0.35">
      <c r="D139" s="2">
        <f>_xlfn.XLOOKUP(tblPrecios[[#This Row],[Moneda_Precio]],TIPOS_CAMBIO!A:A,TIPOS_CAMBIO!B:B,"",0)</f>
        <v>0</v>
      </c>
      <c r="E139" s="2">
        <f>_xlfn.XLOOKUP(tblPrecios[[#This Row],[SKU]],LANDED_COST!A:A,LANDED_COST!L:L,"00.00",0)</f>
        <v>0</v>
      </c>
      <c r="F139" s="3">
        <f>_xlfn.XLOOKUP(tblPrecios[[#This Row],[Tipo_Cliente]],POLITICAS_MARGEN!A:A,POLITICAS_MARGEN!B:B,0,0)</f>
        <v>0</v>
      </c>
      <c r="G139" s="3">
        <f t="shared" si="6"/>
        <v>0</v>
      </c>
      <c r="H139" s="3">
        <f t="shared" si="7"/>
        <v>0</v>
      </c>
      <c r="I139" s="3">
        <f t="shared" si="8"/>
        <v>0</v>
      </c>
    </row>
    <row r="140" spans="4:9" x14ac:dyDescent="0.35">
      <c r="D140" s="2">
        <f>_xlfn.XLOOKUP(tblPrecios[[#This Row],[Moneda_Precio]],TIPOS_CAMBIO!A:A,TIPOS_CAMBIO!B:B,"",0)</f>
        <v>0</v>
      </c>
      <c r="E140" s="2">
        <f>_xlfn.XLOOKUP(tblPrecios[[#This Row],[SKU]],LANDED_COST!A:A,LANDED_COST!L:L,"00.00",0)</f>
        <v>0</v>
      </c>
      <c r="F140" s="3">
        <f>_xlfn.XLOOKUP(tblPrecios[[#This Row],[Tipo_Cliente]],POLITICAS_MARGEN!A:A,POLITICAS_MARGEN!B:B,0,0)</f>
        <v>0</v>
      </c>
      <c r="G140" s="3">
        <f t="shared" si="6"/>
        <v>0</v>
      </c>
      <c r="H140" s="3">
        <f t="shared" si="7"/>
        <v>0</v>
      </c>
      <c r="I140" s="3">
        <f t="shared" si="8"/>
        <v>0</v>
      </c>
    </row>
    <row r="141" spans="4:9" x14ac:dyDescent="0.35">
      <c r="D141" s="2">
        <f>_xlfn.XLOOKUP(tblPrecios[[#This Row],[Moneda_Precio]],TIPOS_CAMBIO!A:A,TIPOS_CAMBIO!B:B,"",0)</f>
        <v>0</v>
      </c>
      <c r="E141" s="2">
        <f>_xlfn.XLOOKUP(tblPrecios[[#This Row],[SKU]],LANDED_COST!A:A,LANDED_COST!L:L,"00.00",0)</f>
        <v>0</v>
      </c>
      <c r="F141" s="3">
        <f>_xlfn.XLOOKUP(tblPrecios[[#This Row],[Tipo_Cliente]],POLITICAS_MARGEN!A:A,POLITICAS_MARGEN!B:B,0,0)</f>
        <v>0</v>
      </c>
      <c r="G141" s="3">
        <f t="shared" si="6"/>
        <v>0</v>
      </c>
      <c r="H141" s="3">
        <f t="shared" si="7"/>
        <v>0</v>
      </c>
      <c r="I141" s="3">
        <f t="shared" si="8"/>
        <v>0</v>
      </c>
    </row>
    <row r="142" spans="4:9" x14ac:dyDescent="0.35">
      <c r="D142" s="2">
        <f>_xlfn.XLOOKUP(tblPrecios[[#This Row],[Moneda_Precio]],TIPOS_CAMBIO!A:A,TIPOS_CAMBIO!B:B,"",0)</f>
        <v>0</v>
      </c>
      <c r="E142" s="2">
        <f>_xlfn.XLOOKUP(tblPrecios[[#This Row],[SKU]],LANDED_COST!A:A,LANDED_COST!L:L,"00.00",0)</f>
        <v>0</v>
      </c>
      <c r="F142" s="3">
        <f>_xlfn.XLOOKUP(tblPrecios[[#This Row],[Tipo_Cliente]],POLITICAS_MARGEN!A:A,POLITICAS_MARGEN!B:B,0,0)</f>
        <v>0</v>
      </c>
      <c r="G142" s="3">
        <f t="shared" si="6"/>
        <v>0</v>
      </c>
      <c r="H142" s="3">
        <f t="shared" si="7"/>
        <v>0</v>
      </c>
      <c r="I142" s="3">
        <f t="shared" si="8"/>
        <v>0</v>
      </c>
    </row>
    <row r="143" spans="4:9" x14ac:dyDescent="0.35">
      <c r="D143" s="2">
        <f>_xlfn.XLOOKUP(tblPrecios[[#This Row],[Moneda_Precio]],TIPOS_CAMBIO!A:A,TIPOS_CAMBIO!B:B,"",0)</f>
        <v>0</v>
      </c>
      <c r="E143" s="2">
        <f>_xlfn.XLOOKUP(tblPrecios[[#This Row],[SKU]],LANDED_COST!A:A,LANDED_COST!L:L,"00.00",0)</f>
        <v>0</v>
      </c>
      <c r="F143" s="3">
        <f>_xlfn.XLOOKUP(tblPrecios[[#This Row],[Tipo_Cliente]],POLITICAS_MARGEN!A:A,POLITICAS_MARGEN!B:B,0,0)</f>
        <v>0</v>
      </c>
      <c r="G143" s="3">
        <f t="shared" si="6"/>
        <v>0</v>
      </c>
      <c r="H143" s="3">
        <f t="shared" si="7"/>
        <v>0</v>
      </c>
      <c r="I143" s="3">
        <f t="shared" si="8"/>
        <v>0</v>
      </c>
    </row>
    <row r="144" spans="4:9" x14ac:dyDescent="0.35">
      <c r="D144" s="2">
        <f>_xlfn.XLOOKUP(tblPrecios[[#This Row],[Moneda_Precio]],TIPOS_CAMBIO!A:A,TIPOS_CAMBIO!B:B,"",0)</f>
        <v>0</v>
      </c>
      <c r="E144" s="2">
        <f>_xlfn.XLOOKUP(tblPrecios[[#This Row],[SKU]],LANDED_COST!A:A,LANDED_COST!L:L,"00.00",0)</f>
        <v>0</v>
      </c>
      <c r="F144" s="3">
        <f>_xlfn.XLOOKUP(tblPrecios[[#This Row],[Tipo_Cliente]],POLITICAS_MARGEN!A:A,POLITICAS_MARGEN!B:B,0,0)</f>
        <v>0</v>
      </c>
      <c r="G144" s="3">
        <f t="shared" si="6"/>
        <v>0</v>
      </c>
      <c r="H144" s="3">
        <f t="shared" si="7"/>
        <v>0</v>
      </c>
      <c r="I144" s="3">
        <f t="shared" si="8"/>
        <v>0</v>
      </c>
    </row>
    <row r="145" spans="4:9" x14ac:dyDescent="0.35">
      <c r="D145" s="2">
        <f>_xlfn.XLOOKUP(tblPrecios[[#This Row],[Moneda_Precio]],TIPOS_CAMBIO!A:A,TIPOS_CAMBIO!B:B,"",0)</f>
        <v>0</v>
      </c>
      <c r="E145" s="2">
        <f>_xlfn.XLOOKUP(tblPrecios[[#This Row],[SKU]],LANDED_COST!A:A,LANDED_COST!L:L,"00.00",0)</f>
        <v>0</v>
      </c>
      <c r="F145" s="3">
        <f>_xlfn.XLOOKUP(tblPrecios[[#This Row],[Tipo_Cliente]],POLITICAS_MARGEN!A:A,POLITICAS_MARGEN!B:B,0,0)</f>
        <v>0</v>
      </c>
      <c r="G145" s="3">
        <f t="shared" si="6"/>
        <v>0</v>
      </c>
      <c r="H145" s="3">
        <f t="shared" si="7"/>
        <v>0</v>
      </c>
      <c r="I145" s="3">
        <f t="shared" si="8"/>
        <v>0</v>
      </c>
    </row>
    <row r="146" spans="4:9" x14ac:dyDescent="0.35">
      <c r="D146" s="2">
        <f>_xlfn.XLOOKUP(tblPrecios[[#This Row],[Moneda_Precio]],TIPOS_CAMBIO!A:A,TIPOS_CAMBIO!B:B,"",0)</f>
        <v>0</v>
      </c>
      <c r="E146" s="2">
        <f>_xlfn.XLOOKUP(tblPrecios[[#This Row],[SKU]],LANDED_COST!A:A,LANDED_COST!L:L,"00.00",0)</f>
        <v>0</v>
      </c>
      <c r="F146" s="3">
        <f>_xlfn.XLOOKUP(tblPrecios[[#This Row],[Tipo_Cliente]],POLITICAS_MARGEN!A:A,POLITICAS_MARGEN!B:B,0,0)</f>
        <v>0</v>
      </c>
      <c r="G146" s="3">
        <f t="shared" si="6"/>
        <v>0</v>
      </c>
      <c r="H146" s="3">
        <f t="shared" si="7"/>
        <v>0</v>
      </c>
      <c r="I146" s="3">
        <f t="shared" si="8"/>
        <v>0</v>
      </c>
    </row>
    <row r="147" spans="4:9" x14ac:dyDescent="0.35">
      <c r="D147" s="2">
        <f>_xlfn.XLOOKUP(tblPrecios[[#This Row],[Moneda_Precio]],TIPOS_CAMBIO!A:A,TIPOS_CAMBIO!B:B,"",0)</f>
        <v>0</v>
      </c>
      <c r="E147" s="2">
        <f>_xlfn.XLOOKUP(tblPrecios[[#This Row],[SKU]],LANDED_COST!A:A,LANDED_COST!L:L,"00.00",0)</f>
        <v>0</v>
      </c>
      <c r="F147" s="3">
        <f>_xlfn.XLOOKUP(tblPrecios[[#This Row],[Tipo_Cliente]],POLITICAS_MARGEN!A:A,POLITICAS_MARGEN!B:B,0,0)</f>
        <v>0</v>
      </c>
      <c r="G147" s="3">
        <f t="shared" si="6"/>
        <v>0</v>
      </c>
      <c r="H147" s="3">
        <f t="shared" si="7"/>
        <v>0</v>
      </c>
      <c r="I147" s="3">
        <f t="shared" si="8"/>
        <v>0</v>
      </c>
    </row>
    <row r="148" spans="4:9" x14ac:dyDescent="0.35">
      <c r="D148" s="2">
        <f>_xlfn.XLOOKUP(tblPrecios[[#This Row],[Moneda_Precio]],TIPOS_CAMBIO!A:A,TIPOS_CAMBIO!B:B,"",0)</f>
        <v>0</v>
      </c>
      <c r="E148" s="2">
        <f>_xlfn.XLOOKUP(tblPrecios[[#This Row],[SKU]],LANDED_COST!A:A,LANDED_COST!L:L,"00.00",0)</f>
        <v>0</v>
      </c>
      <c r="F148" s="3">
        <f>_xlfn.XLOOKUP(tblPrecios[[#This Row],[Tipo_Cliente]],POLITICAS_MARGEN!A:A,POLITICAS_MARGEN!B:B,0,0)</f>
        <v>0</v>
      </c>
      <c r="G148" s="3">
        <f t="shared" si="6"/>
        <v>0</v>
      </c>
      <c r="H148" s="3">
        <f t="shared" si="7"/>
        <v>0</v>
      </c>
      <c r="I148" s="3">
        <f t="shared" si="8"/>
        <v>0</v>
      </c>
    </row>
    <row r="149" spans="4:9" x14ac:dyDescent="0.35">
      <c r="D149" s="2">
        <f>_xlfn.XLOOKUP(tblPrecios[[#This Row],[Moneda_Precio]],TIPOS_CAMBIO!A:A,TIPOS_CAMBIO!B:B,"",0)</f>
        <v>0</v>
      </c>
      <c r="E149" s="2">
        <f>_xlfn.XLOOKUP(tblPrecios[[#This Row],[SKU]],LANDED_COST!A:A,LANDED_COST!L:L,"00.00",0)</f>
        <v>0</v>
      </c>
      <c r="F149" s="3">
        <f>_xlfn.XLOOKUP(tblPrecios[[#This Row],[Tipo_Cliente]],POLITICAS_MARGEN!A:A,POLITICAS_MARGEN!B:B,0,0)</f>
        <v>0</v>
      </c>
      <c r="G149" s="3">
        <f t="shared" si="6"/>
        <v>0</v>
      </c>
      <c r="H149" s="3">
        <f t="shared" si="7"/>
        <v>0</v>
      </c>
      <c r="I149" s="3">
        <f t="shared" si="8"/>
        <v>0</v>
      </c>
    </row>
    <row r="150" spans="4:9" x14ac:dyDescent="0.35">
      <c r="D150" s="2">
        <f>_xlfn.XLOOKUP(tblPrecios[[#This Row],[Moneda_Precio]],TIPOS_CAMBIO!A:A,TIPOS_CAMBIO!B:B,"",0)</f>
        <v>0</v>
      </c>
      <c r="E150" s="2">
        <f>_xlfn.XLOOKUP(tblPrecios[[#This Row],[SKU]],LANDED_COST!A:A,LANDED_COST!L:L,"00.00",0)</f>
        <v>0</v>
      </c>
      <c r="F150" s="3">
        <f>_xlfn.XLOOKUP(tblPrecios[[#This Row],[Tipo_Cliente]],POLITICAS_MARGEN!A:A,POLITICAS_MARGEN!B:B,0,0)</f>
        <v>0</v>
      </c>
      <c r="G150" s="3">
        <f t="shared" si="6"/>
        <v>0</v>
      </c>
      <c r="H150" s="3">
        <f t="shared" si="7"/>
        <v>0</v>
      </c>
      <c r="I150" s="3">
        <f t="shared" si="8"/>
        <v>0</v>
      </c>
    </row>
    <row r="151" spans="4:9" x14ac:dyDescent="0.35">
      <c r="D151" s="2">
        <f>_xlfn.XLOOKUP(tblPrecios[[#This Row],[Moneda_Precio]],TIPOS_CAMBIO!A:A,TIPOS_CAMBIO!B:B,"",0)</f>
        <v>0</v>
      </c>
      <c r="E151" s="2">
        <f>_xlfn.XLOOKUP(tblPrecios[[#This Row],[SKU]],LANDED_COST!A:A,LANDED_COST!L:L,"00.00",0)</f>
        <v>0</v>
      </c>
      <c r="F151" s="3">
        <f>_xlfn.XLOOKUP(tblPrecios[[#This Row],[Tipo_Cliente]],POLITICAS_MARGEN!A:A,POLITICAS_MARGEN!B:B,0,0)</f>
        <v>0</v>
      </c>
      <c r="G151" s="3">
        <f t="shared" si="6"/>
        <v>0</v>
      </c>
      <c r="H151" s="3">
        <f t="shared" si="7"/>
        <v>0</v>
      </c>
      <c r="I151" s="3">
        <f t="shared" si="8"/>
        <v>0</v>
      </c>
    </row>
    <row r="152" spans="4:9" x14ac:dyDescent="0.35">
      <c r="D152" s="2">
        <f>_xlfn.XLOOKUP(tblPrecios[[#This Row],[Moneda_Precio]],TIPOS_CAMBIO!A:A,TIPOS_CAMBIO!B:B,"",0)</f>
        <v>0</v>
      </c>
      <c r="E152" s="2">
        <f>_xlfn.XLOOKUP(tblPrecios[[#This Row],[SKU]],LANDED_COST!A:A,LANDED_COST!L:L,"00.00",0)</f>
        <v>0</v>
      </c>
      <c r="F152" s="3">
        <f>_xlfn.XLOOKUP(tblPrecios[[#This Row],[Tipo_Cliente]],POLITICAS_MARGEN!A:A,POLITICAS_MARGEN!B:B,0,0)</f>
        <v>0</v>
      </c>
      <c r="G152" s="3">
        <f t="shared" si="6"/>
        <v>0</v>
      </c>
      <c r="H152" s="3">
        <f t="shared" si="7"/>
        <v>0</v>
      </c>
      <c r="I152" s="3">
        <f t="shared" si="8"/>
        <v>0</v>
      </c>
    </row>
    <row r="153" spans="4:9" x14ac:dyDescent="0.35">
      <c r="D153" s="2">
        <f>_xlfn.XLOOKUP(tblPrecios[[#This Row],[Moneda_Precio]],TIPOS_CAMBIO!A:A,TIPOS_CAMBIO!B:B,"",0)</f>
        <v>0</v>
      </c>
      <c r="E153" s="2">
        <f>_xlfn.XLOOKUP(tblPrecios[[#This Row],[SKU]],LANDED_COST!A:A,LANDED_COST!L:L,"00.00",0)</f>
        <v>0</v>
      </c>
      <c r="F153" s="3">
        <f>_xlfn.XLOOKUP(tblPrecios[[#This Row],[Tipo_Cliente]],POLITICAS_MARGEN!A:A,POLITICAS_MARGEN!B:B,0,0)</f>
        <v>0</v>
      </c>
      <c r="G153" s="3">
        <f t="shared" si="6"/>
        <v>0</v>
      </c>
      <c r="H153" s="3">
        <f t="shared" si="7"/>
        <v>0</v>
      </c>
      <c r="I153" s="3">
        <f t="shared" si="8"/>
        <v>0</v>
      </c>
    </row>
    <row r="154" spans="4:9" x14ac:dyDescent="0.35">
      <c r="D154" s="2">
        <f>_xlfn.XLOOKUP(tblPrecios[[#This Row],[Moneda_Precio]],TIPOS_CAMBIO!A:A,TIPOS_CAMBIO!B:B,"",0)</f>
        <v>0</v>
      </c>
      <c r="E154" s="2">
        <f>_xlfn.XLOOKUP(tblPrecios[[#This Row],[SKU]],LANDED_COST!A:A,LANDED_COST!L:L,"00.00",0)</f>
        <v>0</v>
      </c>
      <c r="F154" s="3">
        <f>_xlfn.XLOOKUP(tblPrecios[[#This Row],[Tipo_Cliente]],POLITICAS_MARGEN!A:A,POLITICAS_MARGEN!B:B,0,0)</f>
        <v>0</v>
      </c>
      <c r="G154" s="3">
        <f t="shared" si="6"/>
        <v>0</v>
      </c>
      <c r="H154" s="3">
        <f t="shared" si="7"/>
        <v>0</v>
      </c>
      <c r="I154" s="3">
        <f t="shared" si="8"/>
        <v>0</v>
      </c>
    </row>
    <row r="155" spans="4:9" x14ac:dyDescent="0.35">
      <c r="D155" s="2">
        <f>_xlfn.XLOOKUP(tblPrecios[[#This Row],[Moneda_Precio]],TIPOS_CAMBIO!A:A,TIPOS_CAMBIO!B:B,"",0)</f>
        <v>0</v>
      </c>
      <c r="E155" s="2">
        <f>_xlfn.XLOOKUP(tblPrecios[[#This Row],[SKU]],LANDED_COST!A:A,LANDED_COST!L:L,"00.00",0)</f>
        <v>0</v>
      </c>
      <c r="F155" s="3">
        <f>_xlfn.XLOOKUP(tblPrecios[[#This Row],[Tipo_Cliente]],POLITICAS_MARGEN!A:A,POLITICAS_MARGEN!B:B,0,0)</f>
        <v>0</v>
      </c>
      <c r="G155" s="3">
        <f t="shared" si="6"/>
        <v>0</v>
      </c>
      <c r="H155" s="3">
        <f t="shared" si="7"/>
        <v>0</v>
      </c>
      <c r="I155" s="3">
        <f t="shared" si="8"/>
        <v>0</v>
      </c>
    </row>
    <row r="156" spans="4:9" x14ac:dyDescent="0.35">
      <c r="D156" s="2">
        <f>_xlfn.XLOOKUP(tblPrecios[[#This Row],[Moneda_Precio]],TIPOS_CAMBIO!A:A,TIPOS_CAMBIO!B:B,"",0)</f>
        <v>0</v>
      </c>
      <c r="E156" s="2">
        <f>_xlfn.XLOOKUP(tblPrecios[[#This Row],[SKU]],LANDED_COST!A:A,LANDED_COST!L:L,"00.00",0)</f>
        <v>0</v>
      </c>
      <c r="F156" s="3">
        <f>_xlfn.XLOOKUP(tblPrecios[[#This Row],[Tipo_Cliente]],POLITICAS_MARGEN!A:A,POLITICAS_MARGEN!B:B,0,0)</f>
        <v>0</v>
      </c>
      <c r="G156" s="3">
        <f t="shared" si="6"/>
        <v>0</v>
      </c>
      <c r="H156" s="3">
        <f t="shared" si="7"/>
        <v>0</v>
      </c>
      <c r="I156" s="3">
        <f t="shared" si="8"/>
        <v>0</v>
      </c>
    </row>
    <row r="157" spans="4:9" x14ac:dyDescent="0.35">
      <c r="D157" s="2">
        <f>_xlfn.XLOOKUP(tblPrecios[[#This Row],[Moneda_Precio]],TIPOS_CAMBIO!A:A,TIPOS_CAMBIO!B:B,"",0)</f>
        <v>0</v>
      </c>
      <c r="E157" s="2">
        <f>_xlfn.XLOOKUP(tblPrecios[[#This Row],[SKU]],LANDED_COST!A:A,LANDED_COST!L:L,"00.00",0)</f>
        <v>0</v>
      </c>
      <c r="F157" s="3">
        <f>_xlfn.XLOOKUP(tblPrecios[[#This Row],[Tipo_Cliente]],POLITICAS_MARGEN!A:A,POLITICAS_MARGEN!B:B,0,0)</f>
        <v>0</v>
      </c>
      <c r="G157" s="3">
        <f t="shared" si="6"/>
        <v>0</v>
      </c>
      <c r="H157" s="3">
        <f t="shared" si="7"/>
        <v>0</v>
      </c>
      <c r="I157" s="3">
        <f t="shared" si="8"/>
        <v>0</v>
      </c>
    </row>
    <row r="158" spans="4:9" x14ac:dyDescent="0.35">
      <c r="D158" s="2">
        <f>_xlfn.XLOOKUP(tblPrecios[[#This Row],[Moneda_Precio]],TIPOS_CAMBIO!A:A,TIPOS_CAMBIO!B:B,"",0)</f>
        <v>0</v>
      </c>
      <c r="E158" s="2">
        <f>_xlfn.XLOOKUP(tblPrecios[[#This Row],[SKU]],LANDED_COST!A:A,LANDED_COST!L:L,"00.00",0)</f>
        <v>0</v>
      </c>
      <c r="F158" s="3">
        <f>_xlfn.XLOOKUP(tblPrecios[[#This Row],[Tipo_Cliente]],POLITICAS_MARGEN!A:A,POLITICAS_MARGEN!B:B,0,0)</f>
        <v>0</v>
      </c>
      <c r="G158" s="3">
        <f t="shared" si="6"/>
        <v>0</v>
      </c>
      <c r="H158" s="3">
        <f t="shared" si="7"/>
        <v>0</v>
      </c>
      <c r="I158" s="3">
        <f t="shared" si="8"/>
        <v>0</v>
      </c>
    </row>
    <row r="159" spans="4:9" x14ac:dyDescent="0.35">
      <c r="D159" s="2">
        <f>_xlfn.XLOOKUP(tblPrecios[[#This Row],[Moneda_Precio]],TIPOS_CAMBIO!A:A,TIPOS_CAMBIO!B:B,"",0)</f>
        <v>0</v>
      </c>
      <c r="E159" s="2">
        <f>_xlfn.XLOOKUP(tblPrecios[[#This Row],[SKU]],LANDED_COST!A:A,LANDED_COST!L:L,"00.00",0)</f>
        <v>0</v>
      </c>
      <c r="F159" s="3">
        <f>_xlfn.XLOOKUP(tblPrecios[[#This Row],[Tipo_Cliente]],POLITICAS_MARGEN!A:A,POLITICAS_MARGEN!B:B,0,0)</f>
        <v>0</v>
      </c>
      <c r="G159" s="3">
        <f t="shared" si="6"/>
        <v>0</v>
      </c>
      <c r="H159" s="3">
        <f t="shared" si="7"/>
        <v>0</v>
      </c>
      <c r="I159" s="3">
        <f t="shared" si="8"/>
        <v>0</v>
      </c>
    </row>
    <row r="160" spans="4:9" x14ac:dyDescent="0.35">
      <c r="D160" s="2">
        <f>_xlfn.XLOOKUP(tblPrecios[[#This Row],[Moneda_Precio]],TIPOS_CAMBIO!A:A,TIPOS_CAMBIO!B:B,"",0)</f>
        <v>0</v>
      </c>
      <c r="E160" s="2">
        <f>_xlfn.XLOOKUP(tblPrecios[[#This Row],[SKU]],LANDED_COST!A:A,LANDED_COST!L:L,"00.00",0)</f>
        <v>0</v>
      </c>
      <c r="F160" s="3">
        <f>_xlfn.XLOOKUP(tblPrecios[[#This Row],[Tipo_Cliente]],POLITICAS_MARGEN!A:A,POLITICAS_MARGEN!B:B,0,0)</f>
        <v>0</v>
      </c>
      <c r="G160" s="3">
        <f t="shared" si="6"/>
        <v>0</v>
      </c>
      <c r="H160" s="3">
        <f t="shared" si="7"/>
        <v>0</v>
      </c>
      <c r="I160" s="3">
        <f t="shared" si="8"/>
        <v>0</v>
      </c>
    </row>
    <row r="161" spans="4:9" x14ac:dyDescent="0.35">
      <c r="D161" s="2">
        <f>_xlfn.XLOOKUP(tblPrecios[[#This Row],[Moneda_Precio]],TIPOS_CAMBIO!A:A,TIPOS_CAMBIO!B:B,"",0)</f>
        <v>0</v>
      </c>
      <c r="E161" s="2">
        <f>_xlfn.XLOOKUP(tblPrecios[[#This Row],[SKU]],LANDED_COST!A:A,LANDED_COST!L:L,"00.00",0)</f>
        <v>0</v>
      </c>
      <c r="F161" s="3">
        <f>_xlfn.XLOOKUP(tblPrecios[[#This Row],[Tipo_Cliente]],POLITICAS_MARGEN!A:A,POLITICAS_MARGEN!B:B,0,0)</f>
        <v>0</v>
      </c>
      <c r="G161" s="3">
        <f t="shared" si="6"/>
        <v>0</v>
      </c>
      <c r="H161" s="3">
        <f t="shared" si="7"/>
        <v>0</v>
      </c>
      <c r="I161" s="3">
        <f t="shared" si="8"/>
        <v>0</v>
      </c>
    </row>
    <row r="162" spans="4:9" x14ac:dyDescent="0.35">
      <c r="D162" s="2">
        <f>_xlfn.XLOOKUP(tblPrecios[[#This Row],[Moneda_Precio]],TIPOS_CAMBIO!A:A,TIPOS_CAMBIO!B:B,"",0)</f>
        <v>0</v>
      </c>
      <c r="E162" s="2">
        <f>_xlfn.XLOOKUP(tblPrecios[[#This Row],[SKU]],LANDED_COST!A:A,LANDED_COST!L:L,"00.00",0)</f>
        <v>0</v>
      </c>
      <c r="F162" s="3">
        <f>_xlfn.XLOOKUP(tblPrecios[[#This Row],[Tipo_Cliente]],POLITICAS_MARGEN!A:A,POLITICAS_MARGEN!B:B,0,0)</f>
        <v>0</v>
      </c>
      <c r="G162" s="3">
        <f t="shared" si="6"/>
        <v>0</v>
      </c>
      <c r="H162" s="3">
        <f t="shared" si="7"/>
        <v>0</v>
      </c>
      <c r="I162" s="3">
        <f t="shared" si="8"/>
        <v>0</v>
      </c>
    </row>
    <row r="163" spans="4:9" x14ac:dyDescent="0.35">
      <c r="D163" s="2">
        <f>_xlfn.XLOOKUP(tblPrecios[[#This Row],[Moneda_Precio]],TIPOS_CAMBIO!A:A,TIPOS_CAMBIO!B:B,"",0)</f>
        <v>0</v>
      </c>
      <c r="E163" s="2">
        <f>_xlfn.XLOOKUP(tblPrecios[[#This Row],[SKU]],LANDED_COST!A:A,LANDED_COST!L:L,"00.00",0)</f>
        <v>0</v>
      </c>
      <c r="F163" s="3">
        <f>_xlfn.XLOOKUP(tblPrecios[[#This Row],[Tipo_Cliente]],POLITICAS_MARGEN!A:A,POLITICAS_MARGEN!B:B,0,0)</f>
        <v>0</v>
      </c>
      <c r="G163" s="3">
        <f t="shared" si="6"/>
        <v>0</v>
      </c>
      <c r="H163" s="3">
        <f t="shared" si="7"/>
        <v>0</v>
      </c>
      <c r="I163" s="3">
        <f t="shared" si="8"/>
        <v>0</v>
      </c>
    </row>
    <row r="164" spans="4:9" x14ac:dyDescent="0.35">
      <c r="D164" s="2">
        <f>_xlfn.XLOOKUP(tblPrecios[[#This Row],[Moneda_Precio]],TIPOS_CAMBIO!A:A,TIPOS_CAMBIO!B:B,"",0)</f>
        <v>0</v>
      </c>
      <c r="E164" s="2">
        <f>_xlfn.XLOOKUP(tblPrecios[[#This Row],[SKU]],LANDED_COST!A:A,LANDED_COST!L:L,"00.00",0)</f>
        <v>0</v>
      </c>
      <c r="F164" s="3">
        <f>_xlfn.XLOOKUP(tblPrecios[[#This Row],[Tipo_Cliente]],POLITICAS_MARGEN!A:A,POLITICAS_MARGEN!B:B,0,0)</f>
        <v>0</v>
      </c>
      <c r="G164" s="3">
        <f t="shared" si="6"/>
        <v>0</v>
      </c>
      <c r="H164" s="3">
        <f t="shared" si="7"/>
        <v>0</v>
      </c>
      <c r="I164" s="3">
        <f t="shared" si="8"/>
        <v>0</v>
      </c>
    </row>
    <row r="165" spans="4:9" x14ac:dyDescent="0.35">
      <c r="D165" s="2">
        <f>_xlfn.XLOOKUP(tblPrecios[[#This Row],[Moneda_Precio]],TIPOS_CAMBIO!A:A,TIPOS_CAMBIO!B:B,"",0)</f>
        <v>0</v>
      </c>
      <c r="E165" s="2">
        <f>_xlfn.XLOOKUP(tblPrecios[[#This Row],[SKU]],LANDED_COST!A:A,LANDED_COST!L:L,"00.00",0)</f>
        <v>0</v>
      </c>
      <c r="F165" s="3">
        <f>_xlfn.XLOOKUP(tblPrecios[[#This Row],[Tipo_Cliente]],POLITICAS_MARGEN!A:A,POLITICAS_MARGEN!B:B,0,0)</f>
        <v>0</v>
      </c>
      <c r="G165" s="3">
        <f t="shared" si="6"/>
        <v>0</v>
      </c>
      <c r="H165" s="3">
        <f t="shared" si="7"/>
        <v>0</v>
      </c>
      <c r="I165" s="3">
        <f t="shared" si="8"/>
        <v>0</v>
      </c>
    </row>
    <row r="166" spans="4:9" x14ac:dyDescent="0.35">
      <c r="D166" s="2">
        <f>_xlfn.XLOOKUP(tblPrecios[[#This Row],[Moneda_Precio]],TIPOS_CAMBIO!A:A,TIPOS_CAMBIO!B:B,"",0)</f>
        <v>0</v>
      </c>
      <c r="E166" s="2">
        <f>_xlfn.XLOOKUP(tblPrecios[[#This Row],[SKU]],LANDED_COST!A:A,LANDED_COST!L:L,"00.00",0)</f>
        <v>0</v>
      </c>
      <c r="F166" s="3">
        <f>_xlfn.XLOOKUP(tblPrecios[[#This Row],[Tipo_Cliente]],POLITICAS_MARGEN!A:A,POLITICAS_MARGEN!B:B,0,0)</f>
        <v>0</v>
      </c>
      <c r="G166" s="3">
        <f t="shared" si="6"/>
        <v>0</v>
      </c>
      <c r="H166" s="3">
        <f t="shared" si="7"/>
        <v>0</v>
      </c>
      <c r="I166" s="3">
        <f t="shared" si="8"/>
        <v>0</v>
      </c>
    </row>
    <row r="167" spans="4:9" x14ac:dyDescent="0.35">
      <c r="D167" s="2">
        <f>_xlfn.XLOOKUP(tblPrecios[[#This Row],[Moneda_Precio]],TIPOS_CAMBIO!A:A,TIPOS_CAMBIO!B:B,"",0)</f>
        <v>0</v>
      </c>
      <c r="E167" s="2">
        <f>_xlfn.XLOOKUP(tblPrecios[[#This Row],[SKU]],LANDED_COST!A:A,LANDED_COST!L:L,"00.00",0)</f>
        <v>0</v>
      </c>
      <c r="F167" s="3">
        <f>_xlfn.XLOOKUP(tblPrecios[[#This Row],[Tipo_Cliente]],POLITICAS_MARGEN!A:A,POLITICAS_MARGEN!B:B,0,0)</f>
        <v>0</v>
      </c>
      <c r="G167" s="3">
        <f t="shared" si="6"/>
        <v>0</v>
      </c>
      <c r="H167" s="3">
        <f t="shared" si="7"/>
        <v>0</v>
      </c>
      <c r="I167" s="3">
        <f t="shared" si="8"/>
        <v>0</v>
      </c>
    </row>
    <row r="168" spans="4:9" x14ac:dyDescent="0.35">
      <c r="D168" s="2">
        <f>_xlfn.XLOOKUP(tblPrecios[[#This Row],[Moneda_Precio]],TIPOS_CAMBIO!A:A,TIPOS_CAMBIO!B:B,"",0)</f>
        <v>0</v>
      </c>
      <c r="E168" s="2">
        <f>_xlfn.XLOOKUP(tblPrecios[[#This Row],[SKU]],LANDED_COST!A:A,LANDED_COST!L:L,"00.00",0)</f>
        <v>0</v>
      </c>
      <c r="F168" s="3">
        <f>_xlfn.XLOOKUP(tblPrecios[[#This Row],[Tipo_Cliente]],POLITICAS_MARGEN!A:A,POLITICAS_MARGEN!B:B,0,0)</f>
        <v>0</v>
      </c>
      <c r="G168" s="3">
        <f t="shared" si="6"/>
        <v>0</v>
      </c>
      <c r="H168" s="3">
        <f t="shared" si="7"/>
        <v>0</v>
      </c>
      <c r="I168" s="3">
        <f t="shared" si="8"/>
        <v>0</v>
      </c>
    </row>
    <row r="169" spans="4:9" x14ac:dyDescent="0.35">
      <c r="D169" s="2">
        <f>_xlfn.XLOOKUP(tblPrecios[[#This Row],[Moneda_Precio]],TIPOS_CAMBIO!A:A,TIPOS_CAMBIO!B:B,"",0)</f>
        <v>0</v>
      </c>
      <c r="E169" s="2">
        <f>_xlfn.XLOOKUP(tblPrecios[[#This Row],[SKU]],LANDED_COST!A:A,LANDED_COST!L:L,"00.00",0)</f>
        <v>0</v>
      </c>
      <c r="F169" s="3">
        <f>_xlfn.XLOOKUP(tblPrecios[[#This Row],[Tipo_Cliente]],POLITICAS_MARGEN!A:A,POLITICAS_MARGEN!B:B,0,0)</f>
        <v>0</v>
      </c>
      <c r="G169" s="3">
        <f t="shared" si="6"/>
        <v>0</v>
      </c>
      <c r="H169" s="3">
        <f t="shared" si="7"/>
        <v>0</v>
      </c>
      <c r="I169" s="3">
        <f t="shared" si="8"/>
        <v>0</v>
      </c>
    </row>
    <row r="170" spans="4:9" x14ac:dyDescent="0.35">
      <c r="D170" s="2">
        <f>_xlfn.XLOOKUP(tblPrecios[[#This Row],[Moneda_Precio]],TIPOS_CAMBIO!A:A,TIPOS_CAMBIO!B:B,"",0)</f>
        <v>0</v>
      </c>
      <c r="E170" s="2">
        <f>_xlfn.XLOOKUP(tblPrecios[[#This Row],[SKU]],LANDED_COST!A:A,LANDED_COST!L:L,"00.00",0)</f>
        <v>0</v>
      </c>
      <c r="F170" s="3">
        <f>_xlfn.XLOOKUP(tblPrecios[[#This Row],[Tipo_Cliente]],POLITICAS_MARGEN!A:A,POLITICAS_MARGEN!B:B,0,0)</f>
        <v>0</v>
      </c>
      <c r="G170" s="3">
        <f t="shared" si="6"/>
        <v>0</v>
      </c>
      <c r="H170" s="3">
        <f t="shared" si="7"/>
        <v>0</v>
      </c>
      <c r="I170" s="3">
        <f t="shared" si="8"/>
        <v>0</v>
      </c>
    </row>
    <row r="171" spans="4:9" x14ac:dyDescent="0.35">
      <c r="D171" s="2">
        <f>_xlfn.XLOOKUP(tblPrecios[[#This Row],[Moneda_Precio]],TIPOS_CAMBIO!A:A,TIPOS_CAMBIO!B:B,"",0)</f>
        <v>0</v>
      </c>
      <c r="E171" s="2">
        <f>_xlfn.XLOOKUP(tblPrecios[[#This Row],[SKU]],LANDED_COST!A:A,LANDED_COST!L:L,"00.00",0)</f>
        <v>0</v>
      </c>
      <c r="F171" s="3">
        <f>_xlfn.XLOOKUP(tblPrecios[[#This Row],[Tipo_Cliente]],POLITICAS_MARGEN!A:A,POLITICAS_MARGEN!B:B,0,0)</f>
        <v>0</v>
      </c>
      <c r="G171" s="3">
        <f t="shared" si="6"/>
        <v>0</v>
      </c>
      <c r="H171" s="3">
        <f t="shared" si="7"/>
        <v>0</v>
      </c>
      <c r="I171" s="3">
        <f t="shared" si="8"/>
        <v>0</v>
      </c>
    </row>
    <row r="172" spans="4:9" x14ac:dyDescent="0.35">
      <c r="D172" s="2">
        <f>_xlfn.XLOOKUP(tblPrecios[[#This Row],[Moneda_Precio]],TIPOS_CAMBIO!A:A,TIPOS_CAMBIO!B:B,"",0)</f>
        <v>0</v>
      </c>
      <c r="E172" s="2">
        <f>_xlfn.XLOOKUP(tblPrecios[[#This Row],[SKU]],LANDED_COST!A:A,LANDED_COST!L:L,"00.00",0)</f>
        <v>0</v>
      </c>
      <c r="F172" s="3">
        <f>_xlfn.XLOOKUP(tblPrecios[[#This Row],[Tipo_Cliente]],POLITICAS_MARGEN!A:A,POLITICAS_MARGEN!B:B,0,0)</f>
        <v>0</v>
      </c>
      <c r="G172" s="3">
        <f t="shared" si="6"/>
        <v>0</v>
      </c>
      <c r="H172" s="3">
        <f t="shared" si="7"/>
        <v>0</v>
      </c>
      <c r="I172" s="3">
        <f t="shared" si="8"/>
        <v>0</v>
      </c>
    </row>
    <row r="173" spans="4:9" x14ac:dyDescent="0.35">
      <c r="D173" s="2">
        <f>_xlfn.XLOOKUP(tblPrecios[[#This Row],[Moneda_Precio]],TIPOS_CAMBIO!A:A,TIPOS_CAMBIO!B:B,"",0)</f>
        <v>0</v>
      </c>
      <c r="E173" s="2">
        <f>_xlfn.XLOOKUP(tblPrecios[[#This Row],[SKU]],LANDED_COST!A:A,LANDED_COST!L:L,"00.00",0)</f>
        <v>0</v>
      </c>
      <c r="F173" s="3">
        <f>_xlfn.XLOOKUP(tblPrecios[[#This Row],[Tipo_Cliente]],POLITICAS_MARGEN!A:A,POLITICAS_MARGEN!B:B,0,0)</f>
        <v>0</v>
      </c>
      <c r="G173" s="3">
        <f t="shared" si="6"/>
        <v>0</v>
      </c>
      <c r="H173" s="3">
        <f t="shared" si="7"/>
        <v>0</v>
      </c>
      <c r="I173" s="3">
        <f t="shared" si="8"/>
        <v>0</v>
      </c>
    </row>
    <row r="174" spans="4:9" x14ac:dyDescent="0.35">
      <c r="D174" s="2">
        <f>_xlfn.XLOOKUP(tblPrecios[[#This Row],[Moneda_Precio]],TIPOS_CAMBIO!A:A,TIPOS_CAMBIO!B:B,"",0)</f>
        <v>0</v>
      </c>
      <c r="E174" s="2">
        <f>_xlfn.XLOOKUP(tblPrecios[[#This Row],[SKU]],LANDED_COST!A:A,LANDED_COST!L:L,"00.00",0)</f>
        <v>0</v>
      </c>
      <c r="F174" s="3">
        <f>_xlfn.XLOOKUP(tblPrecios[[#This Row],[Tipo_Cliente]],POLITICAS_MARGEN!A:A,POLITICAS_MARGEN!B:B,0,0)</f>
        <v>0</v>
      </c>
      <c r="G174" s="3">
        <f t="shared" si="6"/>
        <v>0</v>
      </c>
      <c r="H174" s="3">
        <f t="shared" si="7"/>
        <v>0</v>
      </c>
      <c r="I174" s="3">
        <f t="shared" si="8"/>
        <v>0</v>
      </c>
    </row>
    <row r="175" spans="4:9" x14ac:dyDescent="0.35">
      <c r="D175" s="2">
        <f>_xlfn.XLOOKUP(tblPrecios[[#This Row],[Moneda_Precio]],TIPOS_CAMBIO!A:A,TIPOS_CAMBIO!B:B,"",0)</f>
        <v>0</v>
      </c>
      <c r="E175" s="2">
        <f>_xlfn.XLOOKUP(tblPrecios[[#This Row],[SKU]],LANDED_COST!A:A,LANDED_COST!L:L,"00.00",0)</f>
        <v>0</v>
      </c>
      <c r="F175" s="3">
        <f>_xlfn.XLOOKUP(tblPrecios[[#This Row],[Tipo_Cliente]],POLITICAS_MARGEN!A:A,POLITICAS_MARGEN!B:B,0,0)</f>
        <v>0</v>
      </c>
      <c r="G175" s="3">
        <f t="shared" si="6"/>
        <v>0</v>
      </c>
      <c r="H175" s="3">
        <f t="shared" si="7"/>
        <v>0</v>
      </c>
      <c r="I175" s="3">
        <f t="shared" si="8"/>
        <v>0</v>
      </c>
    </row>
    <row r="176" spans="4:9" x14ac:dyDescent="0.35">
      <c r="D176" s="2">
        <f>_xlfn.XLOOKUP(tblPrecios[[#This Row],[Moneda_Precio]],TIPOS_CAMBIO!A:A,TIPOS_CAMBIO!B:B,"",0)</f>
        <v>0</v>
      </c>
      <c r="E176" s="2">
        <f>_xlfn.XLOOKUP(tblPrecios[[#This Row],[SKU]],LANDED_COST!A:A,LANDED_COST!L:L,"00.00",0)</f>
        <v>0</v>
      </c>
      <c r="F176" s="3">
        <f>_xlfn.XLOOKUP(tblPrecios[[#This Row],[Tipo_Cliente]],POLITICAS_MARGEN!A:A,POLITICAS_MARGEN!B:B,0,0)</f>
        <v>0</v>
      </c>
      <c r="G176" s="3">
        <f t="shared" si="6"/>
        <v>0</v>
      </c>
      <c r="H176" s="3">
        <f t="shared" si="7"/>
        <v>0</v>
      </c>
      <c r="I176" s="3">
        <f t="shared" si="8"/>
        <v>0</v>
      </c>
    </row>
    <row r="177" spans="4:9" x14ac:dyDescent="0.35">
      <c r="D177" s="2">
        <f>_xlfn.XLOOKUP(tblPrecios[[#This Row],[Moneda_Precio]],TIPOS_CAMBIO!A:A,TIPOS_CAMBIO!B:B,"",0)</f>
        <v>0</v>
      </c>
      <c r="E177" s="2">
        <f>_xlfn.XLOOKUP(tblPrecios[[#This Row],[SKU]],LANDED_COST!A:A,LANDED_COST!L:L,"00.00",0)</f>
        <v>0</v>
      </c>
      <c r="F177" s="3">
        <f>_xlfn.XLOOKUP(tblPrecios[[#This Row],[Tipo_Cliente]],POLITICAS_MARGEN!A:A,POLITICAS_MARGEN!B:B,0,0)</f>
        <v>0</v>
      </c>
      <c r="G177" s="3">
        <f t="shared" si="6"/>
        <v>0</v>
      </c>
      <c r="H177" s="3">
        <f t="shared" si="7"/>
        <v>0</v>
      </c>
      <c r="I177" s="3">
        <f t="shared" si="8"/>
        <v>0</v>
      </c>
    </row>
    <row r="178" spans="4:9" x14ac:dyDescent="0.35">
      <c r="D178" s="2">
        <f>_xlfn.XLOOKUP(tblPrecios[[#This Row],[Moneda_Precio]],TIPOS_CAMBIO!A:A,TIPOS_CAMBIO!B:B,"",0)</f>
        <v>0</v>
      </c>
      <c r="E178" s="2">
        <f>_xlfn.XLOOKUP(tblPrecios[[#This Row],[SKU]],LANDED_COST!A:A,LANDED_COST!L:L,"00.00",0)</f>
        <v>0</v>
      </c>
      <c r="F178" s="3">
        <f>_xlfn.XLOOKUP(tblPrecios[[#This Row],[Tipo_Cliente]],POLITICAS_MARGEN!A:A,POLITICAS_MARGEN!B:B,0,0)</f>
        <v>0</v>
      </c>
      <c r="G178" s="3">
        <f t="shared" si="6"/>
        <v>0</v>
      </c>
      <c r="H178" s="3">
        <f t="shared" si="7"/>
        <v>0</v>
      </c>
      <c r="I178" s="3">
        <f t="shared" si="8"/>
        <v>0</v>
      </c>
    </row>
    <row r="179" spans="4:9" x14ac:dyDescent="0.35">
      <c r="D179" s="2">
        <f>_xlfn.XLOOKUP(tblPrecios[[#This Row],[Moneda_Precio]],TIPOS_CAMBIO!A:A,TIPOS_CAMBIO!B:B,"",0)</f>
        <v>0</v>
      </c>
      <c r="E179" s="2">
        <f>_xlfn.XLOOKUP(tblPrecios[[#This Row],[SKU]],LANDED_COST!A:A,LANDED_COST!L:L,"00.00",0)</f>
        <v>0</v>
      </c>
      <c r="F179" s="3">
        <f>_xlfn.XLOOKUP(tblPrecios[[#This Row],[Tipo_Cliente]],POLITICAS_MARGEN!A:A,POLITICAS_MARGEN!B:B,0,0)</f>
        <v>0</v>
      </c>
      <c r="G179" s="3">
        <f t="shared" si="6"/>
        <v>0</v>
      </c>
      <c r="H179" s="3">
        <f t="shared" si="7"/>
        <v>0</v>
      </c>
      <c r="I179" s="3">
        <f t="shared" si="8"/>
        <v>0</v>
      </c>
    </row>
    <row r="180" spans="4:9" x14ac:dyDescent="0.35">
      <c r="D180" s="2">
        <f>_xlfn.XLOOKUP(tblPrecios[[#This Row],[Moneda_Precio]],TIPOS_CAMBIO!A:A,TIPOS_CAMBIO!B:B,"",0)</f>
        <v>0</v>
      </c>
      <c r="E180" s="2">
        <f>_xlfn.XLOOKUP(tblPrecios[[#This Row],[SKU]],LANDED_COST!A:A,LANDED_COST!L:L,"00.00",0)</f>
        <v>0</v>
      </c>
      <c r="F180" s="3">
        <f>_xlfn.XLOOKUP(tblPrecios[[#This Row],[Tipo_Cliente]],POLITICAS_MARGEN!A:A,POLITICAS_MARGEN!B:B,0,0)</f>
        <v>0</v>
      </c>
      <c r="G180" s="3">
        <f t="shared" si="6"/>
        <v>0</v>
      </c>
      <c r="H180" s="3">
        <f t="shared" si="7"/>
        <v>0</v>
      </c>
      <c r="I180" s="3">
        <f t="shared" si="8"/>
        <v>0</v>
      </c>
    </row>
    <row r="181" spans="4:9" x14ac:dyDescent="0.35">
      <c r="D181" s="2">
        <f>_xlfn.XLOOKUP(tblPrecios[[#This Row],[Moneda_Precio]],TIPOS_CAMBIO!A:A,TIPOS_CAMBIO!B:B,"",0)</f>
        <v>0</v>
      </c>
      <c r="E181" s="2">
        <f>_xlfn.XLOOKUP(tblPrecios[[#This Row],[SKU]],LANDED_COST!A:A,LANDED_COST!L:L,"00.00",0)</f>
        <v>0</v>
      </c>
      <c r="F181" s="3">
        <f>_xlfn.XLOOKUP(tblPrecios[[#This Row],[Tipo_Cliente]],POLITICAS_MARGEN!A:A,POLITICAS_MARGEN!B:B,0,0)</f>
        <v>0</v>
      </c>
      <c r="G181" s="3">
        <f t="shared" si="6"/>
        <v>0</v>
      </c>
      <c r="H181" s="3">
        <f t="shared" si="7"/>
        <v>0</v>
      </c>
      <c r="I181" s="3">
        <f t="shared" si="8"/>
        <v>0</v>
      </c>
    </row>
    <row r="182" spans="4:9" x14ac:dyDescent="0.35">
      <c r="D182" s="2">
        <f>_xlfn.XLOOKUP(tblPrecios[[#This Row],[Moneda_Precio]],TIPOS_CAMBIO!A:A,TIPOS_CAMBIO!B:B,"",0)</f>
        <v>0</v>
      </c>
      <c r="E182" s="2">
        <f>_xlfn.XLOOKUP(tblPrecios[[#This Row],[SKU]],LANDED_COST!A:A,LANDED_COST!L:L,"00.00",0)</f>
        <v>0</v>
      </c>
      <c r="F182" s="3">
        <f>_xlfn.XLOOKUP(tblPrecios[[#This Row],[Tipo_Cliente]],POLITICAS_MARGEN!A:A,POLITICAS_MARGEN!B:B,0,0)</f>
        <v>0</v>
      </c>
      <c r="G182" s="3">
        <f t="shared" si="6"/>
        <v>0</v>
      </c>
      <c r="H182" s="3">
        <f t="shared" si="7"/>
        <v>0</v>
      </c>
      <c r="I182" s="3">
        <f t="shared" si="8"/>
        <v>0</v>
      </c>
    </row>
    <row r="183" spans="4:9" x14ac:dyDescent="0.35">
      <c r="D183" s="2">
        <f>_xlfn.XLOOKUP(tblPrecios[[#This Row],[Moneda_Precio]],TIPOS_CAMBIO!A:A,TIPOS_CAMBIO!B:B,"",0)</f>
        <v>0</v>
      </c>
      <c r="E183" s="2">
        <f>_xlfn.XLOOKUP(tblPrecios[[#This Row],[SKU]],LANDED_COST!A:A,LANDED_COST!L:L,"00.00",0)</f>
        <v>0</v>
      </c>
      <c r="F183" s="3">
        <f>_xlfn.XLOOKUP(tblPrecios[[#This Row],[Tipo_Cliente]],POLITICAS_MARGEN!A:A,POLITICAS_MARGEN!B:B,0,0)</f>
        <v>0</v>
      </c>
      <c r="G183" s="3">
        <f t="shared" si="6"/>
        <v>0</v>
      </c>
      <c r="H183" s="3">
        <f t="shared" si="7"/>
        <v>0</v>
      </c>
      <c r="I183" s="3">
        <f t="shared" si="8"/>
        <v>0</v>
      </c>
    </row>
    <row r="184" spans="4:9" x14ac:dyDescent="0.35">
      <c r="D184" s="2">
        <f>_xlfn.XLOOKUP(tblPrecios[[#This Row],[Moneda_Precio]],TIPOS_CAMBIO!A:A,TIPOS_CAMBIO!B:B,"",0)</f>
        <v>0</v>
      </c>
      <c r="E184" s="2">
        <f>_xlfn.XLOOKUP(tblPrecios[[#This Row],[SKU]],LANDED_COST!A:A,LANDED_COST!L:L,"00.00",0)</f>
        <v>0</v>
      </c>
      <c r="F184" s="3">
        <f>_xlfn.XLOOKUP(tblPrecios[[#This Row],[Tipo_Cliente]],POLITICAS_MARGEN!A:A,POLITICAS_MARGEN!B:B,0,0)</f>
        <v>0</v>
      </c>
      <c r="G184" s="3">
        <f t="shared" si="6"/>
        <v>0</v>
      </c>
      <c r="H184" s="3">
        <f t="shared" si="7"/>
        <v>0</v>
      </c>
      <c r="I184" s="3">
        <f t="shared" si="8"/>
        <v>0</v>
      </c>
    </row>
    <row r="185" spans="4:9" x14ac:dyDescent="0.35">
      <c r="D185" s="2">
        <f>_xlfn.XLOOKUP(tblPrecios[[#This Row],[Moneda_Precio]],TIPOS_CAMBIO!A:A,TIPOS_CAMBIO!B:B,"",0)</f>
        <v>0</v>
      </c>
      <c r="E185" s="2">
        <f>_xlfn.XLOOKUP(tblPrecios[[#This Row],[SKU]],LANDED_COST!A:A,LANDED_COST!L:L,"00.00",0)</f>
        <v>0</v>
      </c>
      <c r="F185" s="3">
        <f>_xlfn.XLOOKUP(tblPrecios[[#This Row],[Tipo_Cliente]],POLITICAS_MARGEN!A:A,POLITICAS_MARGEN!B:B,0,0)</f>
        <v>0</v>
      </c>
      <c r="G185" s="3">
        <f t="shared" si="6"/>
        <v>0</v>
      </c>
      <c r="H185" s="3">
        <f t="shared" si="7"/>
        <v>0</v>
      </c>
      <c r="I185" s="3">
        <f t="shared" si="8"/>
        <v>0</v>
      </c>
    </row>
    <row r="186" spans="4:9" x14ac:dyDescent="0.35">
      <c r="D186" s="2">
        <f>_xlfn.XLOOKUP(tblPrecios[[#This Row],[Moneda_Precio]],TIPOS_CAMBIO!A:A,TIPOS_CAMBIO!B:B,"",0)</f>
        <v>0</v>
      </c>
      <c r="E186" s="2">
        <f>_xlfn.XLOOKUP(tblPrecios[[#This Row],[SKU]],LANDED_COST!A:A,LANDED_COST!L:L,"00.00",0)</f>
        <v>0</v>
      </c>
      <c r="F186" s="3">
        <f>_xlfn.XLOOKUP(tblPrecios[[#This Row],[Tipo_Cliente]],POLITICAS_MARGEN!A:A,POLITICAS_MARGEN!B:B,0,0)</f>
        <v>0</v>
      </c>
      <c r="G186" s="3">
        <f t="shared" si="6"/>
        <v>0</v>
      </c>
      <c r="H186" s="3">
        <f t="shared" si="7"/>
        <v>0</v>
      </c>
      <c r="I186" s="3">
        <f t="shared" si="8"/>
        <v>0</v>
      </c>
    </row>
    <row r="187" spans="4:9" x14ac:dyDescent="0.35">
      <c r="D187" s="2">
        <f>_xlfn.XLOOKUP(tblPrecios[[#This Row],[Moneda_Precio]],TIPOS_CAMBIO!A:A,TIPOS_CAMBIO!B:B,"",0)</f>
        <v>0</v>
      </c>
      <c r="E187" s="2">
        <f>_xlfn.XLOOKUP(tblPrecios[[#This Row],[SKU]],LANDED_COST!A:A,LANDED_COST!L:L,"00.00",0)</f>
        <v>0</v>
      </c>
      <c r="F187" s="3">
        <f>_xlfn.XLOOKUP(tblPrecios[[#This Row],[Tipo_Cliente]],POLITICAS_MARGEN!A:A,POLITICAS_MARGEN!B:B,0,0)</f>
        <v>0</v>
      </c>
      <c r="G187" s="3">
        <f t="shared" si="6"/>
        <v>0</v>
      </c>
      <c r="H187" s="3">
        <f t="shared" si="7"/>
        <v>0</v>
      </c>
      <c r="I187" s="3">
        <f t="shared" si="8"/>
        <v>0</v>
      </c>
    </row>
    <row r="188" spans="4:9" x14ac:dyDescent="0.35">
      <c r="D188" s="2">
        <f>_xlfn.XLOOKUP(tblPrecios[[#This Row],[Moneda_Precio]],TIPOS_CAMBIO!A:A,TIPOS_CAMBIO!B:B,"",0)</f>
        <v>0</v>
      </c>
      <c r="E188" s="2">
        <f>_xlfn.XLOOKUP(tblPrecios[[#This Row],[SKU]],LANDED_COST!A:A,LANDED_COST!L:L,"00.00",0)</f>
        <v>0</v>
      </c>
      <c r="F188" s="3">
        <f>_xlfn.XLOOKUP(tblPrecios[[#This Row],[Tipo_Cliente]],POLITICAS_MARGEN!A:A,POLITICAS_MARGEN!B:B,0,0)</f>
        <v>0</v>
      </c>
      <c r="G188" s="3">
        <f t="shared" si="6"/>
        <v>0</v>
      </c>
      <c r="H188" s="3">
        <f t="shared" si="7"/>
        <v>0</v>
      </c>
      <c r="I188" s="3">
        <f t="shared" si="8"/>
        <v>0</v>
      </c>
    </row>
    <row r="189" spans="4:9" x14ac:dyDescent="0.35">
      <c r="D189" s="2">
        <f>_xlfn.XLOOKUP(tblPrecios[[#This Row],[Moneda_Precio]],TIPOS_CAMBIO!A:A,TIPOS_CAMBIO!B:B,"",0)</f>
        <v>0</v>
      </c>
      <c r="E189" s="2">
        <f>_xlfn.XLOOKUP(tblPrecios[[#This Row],[SKU]],LANDED_COST!A:A,LANDED_COST!L:L,"00.00",0)</f>
        <v>0</v>
      </c>
      <c r="F189" s="3">
        <f>_xlfn.XLOOKUP(tblPrecios[[#This Row],[Tipo_Cliente]],POLITICAS_MARGEN!A:A,POLITICAS_MARGEN!B:B,0,0)</f>
        <v>0</v>
      </c>
      <c r="G189" s="3">
        <f t="shared" si="6"/>
        <v>0</v>
      </c>
      <c r="H189" s="3">
        <f t="shared" si="7"/>
        <v>0</v>
      </c>
      <c r="I189" s="3">
        <f t="shared" si="8"/>
        <v>0</v>
      </c>
    </row>
    <row r="190" spans="4:9" x14ac:dyDescent="0.35">
      <c r="D190" s="2">
        <f>_xlfn.XLOOKUP(tblPrecios[[#This Row],[Moneda_Precio]],TIPOS_CAMBIO!A:A,TIPOS_CAMBIO!B:B,"",0)</f>
        <v>0</v>
      </c>
      <c r="E190" s="2">
        <f>_xlfn.XLOOKUP(tblPrecios[[#This Row],[SKU]],LANDED_COST!A:A,LANDED_COST!L:L,"00.00",0)</f>
        <v>0</v>
      </c>
      <c r="F190" s="3">
        <f>_xlfn.XLOOKUP(tblPrecios[[#This Row],[Tipo_Cliente]],POLITICAS_MARGEN!A:A,POLITICAS_MARGEN!B:B,0,0)</f>
        <v>0</v>
      </c>
      <c r="G190" s="3">
        <f t="shared" si="6"/>
        <v>0</v>
      </c>
      <c r="H190" s="3">
        <f t="shared" si="7"/>
        <v>0</v>
      </c>
      <c r="I190" s="3">
        <f t="shared" si="8"/>
        <v>0</v>
      </c>
    </row>
    <row r="191" spans="4:9" x14ac:dyDescent="0.35">
      <c r="D191" s="2">
        <f>_xlfn.XLOOKUP(tblPrecios[[#This Row],[Moneda_Precio]],TIPOS_CAMBIO!A:A,TIPOS_CAMBIO!B:B,"",0)</f>
        <v>0</v>
      </c>
      <c r="E191" s="2">
        <f>_xlfn.XLOOKUP(tblPrecios[[#This Row],[SKU]],LANDED_COST!A:A,LANDED_COST!L:L,"00.00",0)</f>
        <v>0</v>
      </c>
      <c r="F191" s="3">
        <f>_xlfn.XLOOKUP(tblPrecios[[#This Row],[Tipo_Cliente]],POLITICAS_MARGEN!A:A,POLITICAS_MARGEN!B:B,0,0)</f>
        <v>0</v>
      </c>
      <c r="G191" s="3">
        <f t="shared" si="6"/>
        <v>0</v>
      </c>
      <c r="H191" s="3">
        <f t="shared" si="7"/>
        <v>0</v>
      </c>
      <c r="I191" s="3">
        <f t="shared" si="8"/>
        <v>0</v>
      </c>
    </row>
    <row r="192" spans="4:9" x14ac:dyDescent="0.35">
      <c r="D192" s="2">
        <f>_xlfn.XLOOKUP(tblPrecios[[#This Row],[Moneda_Precio]],TIPOS_CAMBIO!A:A,TIPOS_CAMBIO!B:B,"",0)</f>
        <v>0</v>
      </c>
      <c r="E192" s="2">
        <f>_xlfn.XLOOKUP(tblPrecios[[#This Row],[SKU]],LANDED_COST!A:A,LANDED_COST!L:L,"00.00",0)</f>
        <v>0</v>
      </c>
      <c r="F192" s="3">
        <f>_xlfn.XLOOKUP(tblPrecios[[#This Row],[Tipo_Cliente]],POLITICAS_MARGEN!A:A,POLITICAS_MARGEN!B:B,0,0)</f>
        <v>0</v>
      </c>
      <c r="G192" s="3">
        <f t="shared" si="6"/>
        <v>0</v>
      </c>
      <c r="H192" s="3">
        <f t="shared" si="7"/>
        <v>0</v>
      </c>
      <c r="I192" s="3">
        <f t="shared" si="8"/>
        <v>0</v>
      </c>
    </row>
    <row r="193" spans="4:9" x14ac:dyDescent="0.35">
      <c r="D193" s="2">
        <f>_xlfn.XLOOKUP(tblPrecios[[#This Row],[Moneda_Precio]],TIPOS_CAMBIO!A:A,TIPOS_CAMBIO!B:B,"",0)</f>
        <v>0</v>
      </c>
      <c r="E193" s="2">
        <f>_xlfn.XLOOKUP(tblPrecios[[#This Row],[SKU]],LANDED_COST!A:A,LANDED_COST!L:L,"00.00",0)</f>
        <v>0</v>
      </c>
      <c r="F193" s="3">
        <f>_xlfn.XLOOKUP(tblPrecios[[#This Row],[Tipo_Cliente]],POLITICAS_MARGEN!A:A,POLITICAS_MARGEN!B:B,0,0)</f>
        <v>0</v>
      </c>
      <c r="G193" s="3">
        <f t="shared" si="6"/>
        <v>0</v>
      </c>
      <c r="H193" s="3">
        <f t="shared" si="7"/>
        <v>0</v>
      </c>
      <c r="I193" s="3">
        <f t="shared" si="8"/>
        <v>0</v>
      </c>
    </row>
    <row r="194" spans="4:9" x14ac:dyDescent="0.35">
      <c r="D194" s="2">
        <f>_xlfn.XLOOKUP(tblPrecios[[#This Row],[Moneda_Precio]],TIPOS_CAMBIO!A:A,TIPOS_CAMBIO!B:B,"",0)</f>
        <v>0</v>
      </c>
      <c r="E194" s="2">
        <f>_xlfn.XLOOKUP(tblPrecios[[#This Row],[SKU]],LANDED_COST!A:A,LANDED_COST!L:L,"00.00",0)</f>
        <v>0</v>
      </c>
      <c r="F194" s="3">
        <f>_xlfn.XLOOKUP(tblPrecios[[#This Row],[Tipo_Cliente]],POLITICAS_MARGEN!A:A,POLITICAS_MARGEN!B:B,0,0)</f>
        <v>0</v>
      </c>
      <c r="G194" s="3">
        <f t="shared" ref="G194:G257" si="9">IF($F194&gt;0,$E194/(1-$F194),0)</f>
        <v>0</v>
      </c>
      <c r="H194" s="3">
        <f t="shared" ref="H194:H257" si="10">IF($D194&gt;0,$G194/$D194,0)</f>
        <v>0</v>
      </c>
      <c r="I194" s="3">
        <f t="shared" ref="I194:I257" si="11">$E194*1.1</f>
        <v>0</v>
      </c>
    </row>
    <row r="195" spans="4:9" x14ac:dyDescent="0.35">
      <c r="D195" s="2">
        <f>_xlfn.XLOOKUP(tblPrecios[[#This Row],[Moneda_Precio]],TIPOS_CAMBIO!A:A,TIPOS_CAMBIO!B:B,"",0)</f>
        <v>0</v>
      </c>
      <c r="E195" s="2">
        <f>_xlfn.XLOOKUP(tblPrecios[[#This Row],[SKU]],LANDED_COST!A:A,LANDED_COST!L:L,"00.00",0)</f>
        <v>0</v>
      </c>
      <c r="F195" s="3">
        <f>_xlfn.XLOOKUP(tblPrecios[[#This Row],[Tipo_Cliente]],POLITICAS_MARGEN!A:A,POLITICAS_MARGEN!B:B,0,0)</f>
        <v>0</v>
      </c>
      <c r="G195" s="3">
        <f t="shared" si="9"/>
        <v>0</v>
      </c>
      <c r="H195" s="3">
        <f t="shared" si="10"/>
        <v>0</v>
      </c>
      <c r="I195" s="3">
        <f t="shared" si="11"/>
        <v>0</v>
      </c>
    </row>
    <row r="196" spans="4:9" x14ac:dyDescent="0.35">
      <c r="D196" s="2">
        <f>_xlfn.XLOOKUP(tblPrecios[[#This Row],[Moneda_Precio]],TIPOS_CAMBIO!A:A,TIPOS_CAMBIO!B:B,"",0)</f>
        <v>0</v>
      </c>
      <c r="E196" s="2">
        <f>_xlfn.XLOOKUP(tblPrecios[[#This Row],[SKU]],LANDED_COST!A:A,LANDED_COST!L:L,"00.00",0)</f>
        <v>0</v>
      </c>
      <c r="F196" s="3">
        <f>_xlfn.XLOOKUP(tblPrecios[[#This Row],[Tipo_Cliente]],POLITICAS_MARGEN!A:A,POLITICAS_MARGEN!B:B,0,0)</f>
        <v>0</v>
      </c>
      <c r="G196" s="3">
        <f t="shared" si="9"/>
        <v>0</v>
      </c>
      <c r="H196" s="3">
        <f t="shared" si="10"/>
        <v>0</v>
      </c>
      <c r="I196" s="3">
        <f t="shared" si="11"/>
        <v>0</v>
      </c>
    </row>
    <row r="197" spans="4:9" x14ac:dyDescent="0.35">
      <c r="D197" s="2">
        <f>_xlfn.XLOOKUP(tblPrecios[[#This Row],[Moneda_Precio]],TIPOS_CAMBIO!A:A,TIPOS_CAMBIO!B:B,"",0)</f>
        <v>0</v>
      </c>
      <c r="E197" s="2">
        <f>_xlfn.XLOOKUP(tblPrecios[[#This Row],[SKU]],LANDED_COST!A:A,LANDED_COST!L:L,"00.00",0)</f>
        <v>0</v>
      </c>
      <c r="F197" s="3">
        <f>_xlfn.XLOOKUP(tblPrecios[[#This Row],[Tipo_Cliente]],POLITICAS_MARGEN!A:A,POLITICAS_MARGEN!B:B,0,0)</f>
        <v>0</v>
      </c>
      <c r="G197" s="3">
        <f t="shared" si="9"/>
        <v>0</v>
      </c>
      <c r="H197" s="3">
        <f t="shared" si="10"/>
        <v>0</v>
      </c>
      <c r="I197" s="3">
        <f t="shared" si="11"/>
        <v>0</v>
      </c>
    </row>
    <row r="198" spans="4:9" x14ac:dyDescent="0.35">
      <c r="D198" s="2">
        <f>_xlfn.XLOOKUP(tblPrecios[[#This Row],[Moneda_Precio]],TIPOS_CAMBIO!A:A,TIPOS_CAMBIO!B:B,"",0)</f>
        <v>0</v>
      </c>
      <c r="E198" s="2">
        <f>_xlfn.XLOOKUP(tblPrecios[[#This Row],[SKU]],LANDED_COST!A:A,LANDED_COST!L:L,"00.00",0)</f>
        <v>0</v>
      </c>
      <c r="F198" s="3">
        <f>_xlfn.XLOOKUP(tblPrecios[[#This Row],[Tipo_Cliente]],POLITICAS_MARGEN!A:A,POLITICAS_MARGEN!B:B,0,0)</f>
        <v>0</v>
      </c>
      <c r="G198" s="3">
        <f t="shared" si="9"/>
        <v>0</v>
      </c>
      <c r="H198" s="3">
        <f t="shared" si="10"/>
        <v>0</v>
      </c>
      <c r="I198" s="3">
        <f t="shared" si="11"/>
        <v>0</v>
      </c>
    </row>
    <row r="199" spans="4:9" x14ac:dyDescent="0.35">
      <c r="D199" s="2">
        <f>_xlfn.XLOOKUP(tblPrecios[[#This Row],[Moneda_Precio]],TIPOS_CAMBIO!A:A,TIPOS_CAMBIO!B:B,"",0)</f>
        <v>0</v>
      </c>
      <c r="E199" s="2">
        <f>_xlfn.XLOOKUP(tblPrecios[[#This Row],[SKU]],LANDED_COST!A:A,LANDED_COST!L:L,"00.00",0)</f>
        <v>0</v>
      </c>
      <c r="F199" s="3">
        <f>_xlfn.XLOOKUP(tblPrecios[[#This Row],[Tipo_Cliente]],POLITICAS_MARGEN!A:A,POLITICAS_MARGEN!B:B,0,0)</f>
        <v>0</v>
      </c>
      <c r="G199" s="3">
        <f t="shared" si="9"/>
        <v>0</v>
      </c>
      <c r="H199" s="3">
        <f t="shared" si="10"/>
        <v>0</v>
      </c>
      <c r="I199" s="3">
        <f t="shared" si="11"/>
        <v>0</v>
      </c>
    </row>
    <row r="200" spans="4:9" x14ac:dyDescent="0.35">
      <c r="D200" s="2">
        <f>_xlfn.XLOOKUP(tblPrecios[[#This Row],[Moneda_Precio]],TIPOS_CAMBIO!A:A,TIPOS_CAMBIO!B:B,"",0)</f>
        <v>0</v>
      </c>
      <c r="E200" s="2">
        <f>_xlfn.XLOOKUP(tblPrecios[[#This Row],[SKU]],LANDED_COST!A:A,LANDED_COST!L:L,"00.00",0)</f>
        <v>0</v>
      </c>
      <c r="F200" s="3">
        <f>_xlfn.XLOOKUP(tblPrecios[[#This Row],[Tipo_Cliente]],POLITICAS_MARGEN!A:A,POLITICAS_MARGEN!B:B,0,0)</f>
        <v>0</v>
      </c>
      <c r="G200" s="3">
        <f t="shared" si="9"/>
        <v>0</v>
      </c>
      <c r="H200" s="3">
        <f t="shared" si="10"/>
        <v>0</v>
      </c>
      <c r="I200" s="3">
        <f t="shared" si="11"/>
        <v>0</v>
      </c>
    </row>
    <row r="201" spans="4:9" x14ac:dyDescent="0.35">
      <c r="D201" s="2"/>
      <c r="E201" s="2"/>
      <c r="F201" s="3"/>
      <c r="G201" s="3">
        <f t="shared" si="9"/>
        <v>0</v>
      </c>
      <c r="H201" s="3">
        <f t="shared" si="10"/>
        <v>0</v>
      </c>
      <c r="I201" s="3">
        <f t="shared" si="11"/>
        <v>0</v>
      </c>
    </row>
    <row r="202" spans="4:9" x14ac:dyDescent="0.35">
      <c r="D202" s="2"/>
      <c r="E202" s="2"/>
      <c r="F202" s="3"/>
      <c r="G202" s="3">
        <f t="shared" si="9"/>
        <v>0</v>
      </c>
      <c r="H202" s="3">
        <f t="shared" si="10"/>
        <v>0</v>
      </c>
      <c r="I202" s="3">
        <f t="shared" si="11"/>
        <v>0</v>
      </c>
    </row>
    <row r="203" spans="4:9" x14ac:dyDescent="0.35">
      <c r="D203" s="2"/>
      <c r="E203" s="2"/>
      <c r="F203" s="3"/>
      <c r="G203" s="3">
        <f t="shared" si="9"/>
        <v>0</v>
      </c>
      <c r="H203" s="3">
        <f t="shared" si="10"/>
        <v>0</v>
      </c>
      <c r="I203" s="3">
        <f t="shared" si="11"/>
        <v>0</v>
      </c>
    </row>
    <row r="204" spans="4:9" x14ac:dyDescent="0.35">
      <c r="D204" s="2"/>
      <c r="E204" s="2"/>
      <c r="F204" s="3"/>
      <c r="G204" s="3">
        <f t="shared" si="9"/>
        <v>0</v>
      </c>
      <c r="H204" s="3">
        <f t="shared" si="10"/>
        <v>0</v>
      </c>
      <c r="I204" s="3">
        <f t="shared" si="11"/>
        <v>0</v>
      </c>
    </row>
    <row r="205" spans="4:9" x14ac:dyDescent="0.35">
      <c r="D205" s="2"/>
      <c r="E205" s="2"/>
      <c r="F205" s="3"/>
      <c r="G205" s="3">
        <f t="shared" si="9"/>
        <v>0</v>
      </c>
      <c r="H205" s="3">
        <f t="shared" si="10"/>
        <v>0</v>
      </c>
      <c r="I205" s="3">
        <f t="shared" si="11"/>
        <v>0</v>
      </c>
    </row>
    <row r="206" spans="4:9" x14ac:dyDescent="0.35">
      <c r="D206" s="2"/>
      <c r="E206" s="2"/>
      <c r="F206" s="3"/>
      <c r="G206" s="3">
        <f t="shared" si="9"/>
        <v>0</v>
      </c>
      <c r="H206" s="3">
        <f t="shared" si="10"/>
        <v>0</v>
      </c>
      <c r="I206" s="3">
        <f t="shared" si="11"/>
        <v>0</v>
      </c>
    </row>
    <row r="207" spans="4:9" x14ac:dyDescent="0.35">
      <c r="D207" s="2"/>
      <c r="E207" s="2"/>
      <c r="F207" s="3"/>
      <c r="G207" s="3">
        <f t="shared" si="9"/>
        <v>0</v>
      </c>
      <c r="H207" s="3">
        <f t="shared" si="10"/>
        <v>0</v>
      </c>
      <c r="I207" s="3">
        <f t="shared" si="11"/>
        <v>0</v>
      </c>
    </row>
    <row r="208" spans="4:9" x14ac:dyDescent="0.35">
      <c r="D208" s="2"/>
      <c r="E208" s="2"/>
      <c r="F208" s="3"/>
      <c r="G208" s="3">
        <f t="shared" si="9"/>
        <v>0</v>
      </c>
      <c r="H208" s="3">
        <f t="shared" si="10"/>
        <v>0</v>
      </c>
      <c r="I208" s="3">
        <f t="shared" si="11"/>
        <v>0</v>
      </c>
    </row>
    <row r="209" spans="4:9" x14ac:dyDescent="0.35">
      <c r="D209" s="2"/>
      <c r="E209" s="2"/>
      <c r="F209" s="3"/>
      <c r="G209" s="3">
        <f t="shared" si="9"/>
        <v>0</v>
      </c>
      <c r="H209" s="3">
        <f t="shared" si="10"/>
        <v>0</v>
      </c>
      <c r="I209" s="3">
        <f t="shared" si="11"/>
        <v>0</v>
      </c>
    </row>
    <row r="210" spans="4:9" x14ac:dyDescent="0.35">
      <c r="D210" s="2"/>
      <c r="E210" s="2"/>
      <c r="F210" s="3"/>
      <c r="G210" s="3">
        <f t="shared" si="9"/>
        <v>0</v>
      </c>
      <c r="H210" s="3">
        <f t="shared" si="10"/>
        <v>0</v>
      </c>
      <c r="I210" s="3">
        <f t="shared" si="11"/>
        <v>0</v>
      </c>
    </row>
    <row r="211" spans="4:9" x14ac:dyDescent="0.35">
      <c r="D211" s="2"/>
      <c r="E211" s="2"/>
      <c r="F211" s="3"/>
      <c r="G211" s="3">
        <f t="shared" si="9"/>
        <v>0</v>
      </c>
      <c r="H211" s="3">
        <f t="shared" si="10"/>
        <v>0</v>
      </c>
      <c r="I211" s="3">
        <f t="shared" si="11"/>
        <v>0</v>
      </c>
    </row>
    <row r="212" spans="4:9" x14ac:dyDescent="0.35">
      <c r="D212" s="2"/>
      <c r="E212" s="2"/>
      <c r="F212" s="3"/>
      <c r="G212" s="3">
        <f t="shared" si="9"/>
        <v>0</v>
      </c>
      <c r="H212" s="3">
        <f t="shared" si="10"/>
        <v>0</v>
      </c>
      <c r="I212" s="3">
        <f t="shared" si="11"/>
        <v>0</v>
      </c>
    </row>
    <row r="213" spans="4:9" x14ac:dyDescent="0.35">
      <c r="D213" s="2"/>
      <c r="E213" s="2"/>
      <c r="F213" s="3"/>
      <c r="G213" s="3">
        <f t="shared" si="9"/>
        <v>0</v>
      </c>
      <c r="H213" s="3">
        <f t="shared" si="10"/>
        <v>0</v>
      </c>
      <c r="I213" s="3">
        <f t="shared" si="11"/>
        <v>0</v>
      </c>
    </row>
    <row r="214" spans="4:9" x14ac:dyDescent="0.35">
      <c r="D214" s="2"/>
      <c r="E214" s="2"/>
      <c r="F214" s="3"/>
      <c r="G214" s="3">
        <f t="shared" si="9"/>
        <v>0</v>
      </c>
      <c r="H214" s="3">
        <f t="shared" si="10"/>
        <v>0</v>
      </c>
      <c r="I214" s="3">
        <f t="shared" si="11"/>
        <v>0</v>
      </c>
    </row>
    <row r="215" spans="4:9" x14ac:dyDescent="0.35">
      <c r="D215" s="2"/>
      <c r="E215" s="2"/>
      <c r="F215" s="3"/>
      <c r="G215" s="3">
        <f t="shared" si="9"/>
        <v>0</v>
      </c>
      <c r="H215" s="3">
        <f t="shared" si="10"/>
        <v>0</v>
      </c>
      <c r="I215" s="3">
        <f t="shared" si="11"/>
        <v>0</v>
      </c>
    </row>
    <row r="216" spans="4:9" x14ac:dyDescent="0.35">
      <c r="D216" s="2"/>
      <c r="E216" s="2"/>
      <c r="F216" s="3"/>
      <c r="G216" s="3">
        <f t="shared" si="9"/>
        <v>0</v>
      </c>
      <c r="H216" s="3">
        <f t="shared" si="10"/>
        <v>0</v>
      </c>
      <c r="I216" s="3">
        <f t="shared" si="11"/>
        <v>0</v>
      </c>
    </row>
    <row r="217" spans="4:9" x14ac:dyDescent="0.35">
      <c r="D217" s="2"/>
      <c r="E217" s="2"/>
      <c r="F217" s="3"/>
      <c r="G217" s="3">
        <f t="shared" si="9"/>
        <v>0</v>
      </c>
      <c r="H217" s="3">
        <f t="shared" si="10"/>
        <v>0</v>
      </c>
      <c r="I217" s="3">
        <f t="shared" si="11"/>
        <v>0</v>
      </c>
    </row>
    <row r="218" spans="4:9" x14ac:dyDescent="0.35">
      <c r="D218" s="2"/>
      <c r="E218" s="2"/>
      <c r="F218" s="3"/>
      <c r="G218" s="3">
        <f t="shared" si="9"/>
        <v>0</v>
      </c>
      <c r="H218" s="3">
        <f t="shared" si="10"/>
        <v>0</v>
      </c>
      <c r="I218" s="3">
        <f t="shared" si="11"/>
        <v>0</v>
      </c>
    </row>
    <row r="219" spans="4:9" x14ac:dyDescent="0.35">
      <c r="D219" s="2"/>
      <c r="E219" s="2"/>
      <c r="F219" s="3"/>
      <c r="G219" s="3">
        <f t="shared" si="9"/>
        <v>0</v>
      </c>
      <c r="H219" s="3">
        <f t="shared" si="10"/>
        <v>0</v>
      </c>
      <c r="I219" s="3">
        <f t="shared" si="11"/>
        <v>0</v>
      </c>
    </row>
    <row r="220" spans="4:9" x14ac:dyDescent="0.35">
      <c r="D220" s="2"/>
      <c r="E220" s="2"/>
      <c r="F220" s="3"/>
      <c r="G220" s="3">
        <f t="shared" si="9"/>
        <v>0</v>
      </c>
      <c r="H220" s="3">
        <f t="shared" si="10"/>
        <v>0</v>
      </c>
      <c r="I220" s="3">
        <f t="shared" si="11"/>
        <v>0</v>
      </c>
    </row>
    <row r="221" spans="4:9" x14ac:dyDescent="0.35">
      <c r="D221" s="2"/>
      <c r="E221" s="2"/>
      <c r="F221" s="3"/>
      <c r="G221" s="3">
        <f t="shared" si="9"/>
        <v>0</v>
      </c>
      <c r="H221" s="3">
        <f t="shared" si="10"/>
        <v>0</v>
      </c>
      <c r="I221" s="3">
        <f t="shared" si="11"/>
        <v>0</v>
      </c>
    </row>
    <row r="222" spans="4:9" x14ac:dyDescent="0.35">
      <c r="D222" s="2"/>
      <c r="E222" s="2"/>
      <c r="F222" s="3"/>
      <c r="G222" s="3">
        <f t="shared" si="9"/>
        <v>0</v>
      </c>
      <c r="H222" s="3">
        <f t="shared" si="10"/>
        <v>0</v>
      </c>
      <c r="I222" s="3">
        <f t="shared" si="11"/>
        <v>0</v>
      </c>
    </row>
    <row r="223" spans="4:9" x14ac:dyDescent="0.35">
      <c r="D223" s="2"/>
      <c r="E223" s="2"/>
      <c r="F223" s="3"/>
      <c r="G223" s="3">
        <f t="shared" si="9"/>
        <v>0</v>
      </c>
      <c r="H223" s="3">
        <f t="shared" si="10"/>
        <v>0</v>
      </c>
      <c r="I223" s="3">
        <f t="shared" si="11"/>
        <v>0</v>
      </c>
    </row>
    <row r="224" spans="4:9" x14ac:dyDescent="0.35">
      <c r="D224" s="2"/>
      <c r="E224" s="2"/>
      <c r="F224" s="3"/>
      <c r="G224" s="3">
        <f t="shared" si="9"/>
        <v>0</v>
      </c>
      <c r="H224" s="3">
        <f t="shared" si="10"/>
        <v>0</v>
      </c>
      <c r="I224" s="3">
        <f t="shared" si="11"/>
        <v>0</v>
      </c>
    </row>
    <row r="225" spans="4:9" x14ac:dyDescent="0.35">
      <c r="D225" s="2"/>
      <c r="E225" s="2"/>
      <c r="F225" s="3"/>
      <c r="G225" s="3">
        <f t="shared" si="9"/>
        <v>0</v>
      </c>
      <c r="H225" s="3">
        <f t="shared" si="10"/>
        <v>0</v>
      </c>
      <c r="I225" s="3">
        <f t="shared" si="11"/>
        <v>0</v>
      </c>
    </row>
    <row r="226" spans="4:9" x14ac:dyDescent="0.35">
      <c r="D226" s="2"/>
      <c r="E226" s="2"/>
      <c r="F226" s="3"/>
      <c r="G226" s="3">
        <f t="shared" si="9"/>
        <v>0</v>
      </c>
      <c r="H226" s="3">
        <f t="shared" si="10"/>
        <v>0</v>
      </c>
      <c r="I226" s="3">
        <f t="shared" si="11"/>
        <v>0</v>
      </c>
    </row>
    <row r="227" spans="4:9" x14ac:dyDescent="0.35">
      <c r="D227" s="2"/>
      <c r="E227" s="2"/>
      <c r="F227" s="3"/>
      <c r="G227" s="3">
        <f t="shared" si="9"/>
        <v>0</v>
      </c>
      <c r="H227" s="3">
        <f t="shared" si="10"/>
        <v>0</v>
      </c>
      <c r="I227" s="3">
        <f t="shared" si="11"/>
        <v>0</v>
      </c>
    </row>
    <row r="228" spans="4:9" x14ac:dyDescent="0.35">
      <c r="D228" s="2"/>
      <c r="E228" s="2"/>
      <c r="F228" s="3"/>
      <c r="G228" s="3">
        <f t="shared" si="9"/>
        <v>0</v>
      </c>
      <c r="H228" s="3">
        <f t="shared" si="10"/>
        <v>0</v>
      </c>
      <c r="I228" s="3">
        <f t="shared" si="11"/>
        <v>0</v>
      </c>
    </row>
    <row r="229" spans="4:9" x14ac:dyDescent="0.35">
      <c r="D229" s="2"/>
      <c r="E229" s="2"/>
      <c r="F229" s="3"/>
      <c r="G229" s="3">
        <f t="shared" si="9"/>
        <v>0</v>
      </c>
      <c r="H229" s="3">
        <f t="shared" si="10"/>
        <v>0</v>
      </c>
      <c r="I229" s="3">
        <f t="shared" si="11"/>
        <v>0</v>
      </c>
    </row>
    <row r="230" spans="4:9" x14ac:dyDescent="0.35">
      <c r="D230" s="2"/>
      <c r="E230" s="2"/>
      <c r="F230" s="3"/>
      <c r="G230" s="3">
        <f t="shared" si="9"/>
        <v>0</v>
      </c>
      <c r="H230" s="3">
        <f t="shared" si="10"/>
        <v>0</v>
      </c>
      <c r="I230" s="3">
        <f t="shared" si="11"/>
        <v>0</v>
      </c>
    </row>
    <row r="231" spans="4:9" x14ac:dyDescent="0.35">
      <c r="D231" s="2"/>
      <c r="E231" s="2"/>
      <c r="F231" s="3"/>
      <c r="G231" s="3">
        <f t="shared" si="9"/>
        <v>0</v>
      </c>
      <c r="H231" s="3">
        <f t="shared" si="10"/>
        <v>0</v>
      </c>
      <c r="I231" s="3">
        <f t="shared" si="11"/>
        <v>0</v>
      </c>
    </row>
    <row r="232" spans="4:9" x14ac:dyDescent="0.35">
      <c r="D232" s="2"/>
      <c r="E232" s="2"/>
      <c r="F232" s="3"/>
      <c r="G232" s="3">
        <f t="shared" si="9"/>
        <v>0</v>
      </c>
      <c r="H232" s="3">
        <f t="shared" si="10"/>
        <v>0</v>
      </c>
      <c r="I232" s="3">
        <f t="shared" si="11"/>
        <v>0</v>
      </c>
    </row>
    <row r="233" spans="4:9" x14ac:dyDescent="0.35">
      <c r="D233" s="2"/>
      <c r="E233" s="2"/>
      <c r="F233" s="3"/>
      <c r="G233" s="3">
        <f t="shared" si="9"/>
        <v>0</v>
      </c>
      <c r="H233" s="3">
        <f t="shared" si="10"/>
        <v>0</v>
      </c>
      <c r="I233" s="3">
        <f t="shared" si="11"/>
        <v>0</v>
      </c>
    </row>
    <row r="234" spans="4:9" x14ac:dyDescent="0.35">
      <c r="D234" s="2"/>
      <c r="E234" s="2"/>
      <c r="F234" s="3"/>
      <c r="G234" s="3">
        <f t="shared" si="9"/>
        <v>0</v>
      </c>
      <c r="H234" s="3">
        <f t="shared" si="10"/>
        <v>0</v>
      </c>
      <c r="I234" s="3">
        <f t="shared" si="11"/>
        <v>0</v>
      </c>
    </row>
    <row r="235" spans="4:9" x14ac:dyDescent="0.35">
      <c r="D235" s="2"/>
      <c r="E235" s="2"/>
      <c r="F235" s="3"/>
      <c r="G235" s="3">
        <f t="shared" si="9"/>
        <v>0</v>
      </c>
      <c r="H235" s="3">
        <f t="shared" si="10"/>
        <v>0</v>
      </c>
      <c r="I235" s="3">
        <f t="shared" si="11"/>
        <v>0</v>
      </c>
    </row>
    <row r="236" spans="4:9" x14ac:dyDescent="0.35">
      <c r="D236" s="2"/>
      <c r="E236" s="2"/>
      <c r="F236" s="3"/>
      <c r="G236" s="3">
        <f t="shared" si="9"/>
        <v>0</v>
      </c>
      <c r="H236" s="3">
        <f t="shared" si="10"/>
        <v>0</v>
      </c>
      <c r="I236" s="3">
        <f t="shared" si="11"/>
        <v>0</v>
      </c>
    </row>
    <row r="237" spans="4:9" x14ac:dyDescent="0.35">
      <c r="D237" s="2"/>
      <c r="E237" s="2"/>
      <c r="F237" s="3"/>
      <c r="G237" s="3">
        <f t="shared" si="9"/>
        <v>0</v>
      </c>
      <c r="H237" s="3">
        <f t="shared" si="10"/>
        <v>0</v>
      </c>
      <c r="I237" s="3">
        <f t="shared" si="11"/>
        <v>0</v>
      </c>
    </row>
    <row r="238" spans="4:9" x14ac:dyDescent="0.35">
      <c r="D238" s="2"/>
      <c r="E238" s="2"/>
      <c r="F238" s="3"/>
      <c r="G238" s="3">
        <f t="shared" si="9"/>
        <v>0</v>
      </c>
      <c r="H238" s="3">
        <f t="shared" si="10"/>
        <v>0</v>
      </c>
      <c r="I238" s="3">
        <f t="shared" si="11"/>
        <v>0</v>
      </c>
    </row>
    <row r="239" spans="4:9" x14ac:dyDescent="0.35">
      <c r="D239" s="2"/>
      <c r="E239" s="2"/>
      <c r="F239" s="3"/>
      <c r="G239" s="3">
        <f t="shared" si="9"/>
        <v>0</v>
      </c>
      <c r="H239" s="3">
        <f t="shared" si="10"/>
        <v>0</v>
      </c>
      <c r="I239" s="3">
        <f t="shared" si="11"/>
        <v>0</v>
      </c>
    </row>
    <row r="240" spans="4:9" x14ac:dyDescent="0.35">
      <c r="D240" s="2"/>
      <c r="E240" s="2"/>
      <c r="F240" s="3"/>
      <c r="G240" s="3">
        <f t="shared" si="9"/>
        <v>0</v>
      </c>
      <c r="H240" s="3">
        <f t="shared" si="10"/>
        <v>0</v>
      </c>
      <c r="I240" s="3">
        <f t="shared" si="11"/>
        <v>0</v>
      </c>
    </row>
    <row r="241" spans="4:9" x14ac:dyDescent="0.35">
      <c r="D241" s="2"/>
      <c r="E241" s="2"/>
      <c r="F241" s="3"/>
      <c r="G241" s="3">
        <f t="shared" si="9"/>
        <v>0</v>
      </c>
      <c r="H241" s="3">
        <f t="shared" si="10"/>
        <v>0</v>
      </c>
      <c r="I241" s="3">
        <f t="shared" si="11"/>
        <v>0</v>
      </c>
    </row>
    <row r="242" spans="4:9" x14ac:dyDescent="0.35">
      <c r="D242" s="2"/>
      <c r="E242" s="2"/>
      <c r="F242" s="3"/>
      <c r="G242" s="3">
        <f t="shared" si="9"/>
        <v>0</v>
      </c>
      <c r="H242" s="3">
        <f t="shared" si="10"/>
        <v>0</v>
      </c>
      <c r="I242" s="3">
        <f t="shared" si="11"/>
        <v>0</v>
      </c>
    </row>
    <row r="243" spans="4:9" x14ac:dyDescent="0.35">
      <c r="D243" s="2"/>
      <c r="E243" s="2"/>
      <c r="F243" s="3"/>
      <c r="G243" s="3">
        <f t="shared" si="9"/>
        <v>0</v>
      </c>
      <c r="H243" s="3">
        <f t="shared" si="10"/>
        <v>0</v>
      </c>
      <c r="I243" s="3">
        <f t="shared" si="11"/>
        <v>0</v>
      </c>
    </row>
    <row r="244" spans="4:9" x14ac:dyDescent="0.35">
      <c r="D244" s="2"/>
      <c r="E244" s="2"/>
      <c r="F244" s="3"/>
      <c r="G244" s="3">
        <f t="shared" si="9"/>
        <v>0</v>
      </c>
      <c r="H244" s="3">
        <f t="shared" si="10"/>
        <v>0</v>
      </c>
      <c r="I244" s="3">
        <f t="shared" si="11"/>
        <v>0</v>
      </c>
    </row>
    <row r="245" spans="4:9" x14ac:dyDescent="0.35">
      <c r="D245" s="2"/>
      <c r="E245" s="2"/>
      <c r="F245" s="3"/>
      <c r="G245" s="3">
        <f t="shared" si="9"/>
        <v>0</v>
      </c>
      <c r="H245" s="3">
        <f t="shared" si="10"/>
        <v>0</v>
      </c>
      <c r="I245" s="3">
        <f t="shared" si="11"/>
        <v>0</v>
      </c>
    </row>
    <row r="246" spans="4:9" x14ac:dyDescent="0.35">
      <c r="D246" s="2"/>
      <c r="E246" s="2"/>
      <c r="F246" s="3"/>
      <c r="G246" s="3">
        <f t="shared" si="9"/>
        <v>0</v>
      </c>
      <c r="H246" s="3">
        <f t="shared" si="10"/>
        <v>0</v>
      </c>
      <c r="I246" s="3">
        <f t="shared" si="11"/>
        <v>0</v>
      </c>
    </row>
    <row r="247" spans="4:9" x14ac:dyDescent="0.35">
      <c r="D247" s="2"/>
      <c r="E247" s="2"/>
      <c r="F247" s="3"/>
      <c r="G247" s="3">
        <f t="shared" si="9"/>
        <v>0</v>
      </c>
      <c r="H247" s="3">
        <f t="shared" si="10"/>
        <v>0</v>
      </c>
      <c r="I247" s="3">
        <f t="shared" si="11"/>
        <v>0</v>
      </c>
    </row>
    <row r="248" spans="4:9" x14ac:dyDescent="0.35">
      <c r="D248" s="2"/>
      <c r="E248" s="2"/>
      <c r="F248" s="3"/>
      <c r="G248" s="3">
        <f t="shared" si="9"/>
        <v>0</v>
      </c>
      <c r="H248" s="3">
        <f t="shared" si="10"/>
        <v>0</v>
      </c>
      <c r="I248" s="3">
        <f t="shared" si="11"/>
        <v>0</v>
      </c>
    </row>
    <row r="249" spans="4:9" x14ac:dyDescent="0.35">
      <c r="D249" s="2"/>
      <c r="E249" s="2"/>
      <c r="F249" s="3"/>
      <c r="G249" s="3">
        <f t="shared" si="9"/>
        <v>0</v>
      </c>
      <c r="H249" s="3">
        <f t="shared" si="10"/>
        <v>0</v>
      </c>
      <c r="I249" s="3">
        <f t="shared" si="11"/>
        <v>0</v>
      </c>
    </row>
    <row r="250" spans="4:9" x14ac:dyDescent="0.35">
      <c r="D250" s="2"/>
      <c r="E250" s="2"/>
      <c r="F250" s="3"/>
      <c r="G250" s="3">
        <f t="shared" si="9"/>
        <v>0</v>
      </c>
      <c r="H250" s="3">
        <f t="shared" si="10"/>
        <v>0</v>
      </c>
      <c r="I250" s="3">
        <f t="shared" si="11"/>
        <v>0</v>
      </c>
    </row>
    <row r="251" spans="4:9" x14ac:dyDescent="0.35">
      <c r="D251" s="2"/>
      <c r="E251" s="2"/>
      <c r="F251" s="3"/>
      <c r="G251" s="3">
        <f t="shared" si="9"/>
        <v>0</v>
      </c>
      <c r="H251" s="3">
        <f t="shared" si="10"/>
        <v>0</v>
      </c>
      <c r="I251" s="3">
        <f t="shared" si="11"/>
        <v>0</v>
      </c>
    </row>
    <row r="252" spans="4:9" x14ac:dyDescent="0.35">
      <c r="D252" s="2"/>
      <c r="E252" s="2"/>
      <c r="F252" s="3"/>
      <c r="G252" s="3">
        <f t="shared" si="9"/>
        <v>0</v>
      </c>
      <c r="H252" s="3">
        <f t="shared" si="10"/>
        <v>0</v>
      </c>
      <c r="I252" s="3">
        <f t="shared" si="11"/>
        <v>0</v>
      </c>
    </row>
    <row r="253" spans="4:9" x14ac:dyDescent="0.35">
      <c r="D253" s="2"/>
      <c r="E253" s="2"/>
      <c r="F253" s="3"/>
      <c r="G253" s="3">
        <f t="shared" si="9"/>
        <v>0</v>
      </c>
      <c r="H253" s="3">
        <f t="shared" si="10"/>
        <v>0</v>
      </c>
      <c r="I253" s="3">
        <f t="shared" si="11"/>
        <v>0</v>
      </c>
    </row>
    <row r="254" spans="4:9" x14ac:dyDescent="0.35">
      <c r="D254" s="2"/>
      <c r="E254" s="2"/>
      <c r="F254" s="3"/>
      <c r="G254" s="3">
        <f t="shared" si="9"/>
        <v>0</v>
      </c>
      <c r="H254" s="3">
        <f t="shared" si="10"/>
        <v>0</v>
      </c>
      <c r="I254" s="3">
        <f t="shared" si="11"/>
        <v>0</v>
      </c>
    </row>
    <row r="255" spans="4:9" x14ac:dyDescent="0.35">
      <c r="D255" s="2"/>
      <c r="E255" s="2"/>
      <c r="F255" s="3"/>
      <c r="G255" s="3">
        <f t="shared" si="9"/>
        <v>0</v>
      </c>
      <c r="H255" s="3">
        <f t="shared" si="10"/>
        <v>0</v>
      </c>
      <c r="I255" s="3">
        <f t="shared" si="11"/>
        <v>0</v>
      </c>
    </row>
    <row r="256" spans="4:9" x14ac:dyDescent="0.35">
      <c r="D256" s="2"/>
      <c r="E256" s="2"/>
      <c r="F256" s="3"/>
      <c r="G256" s="3">
        <f t="shared" si="9"/>
        <v>0</v>
      </c>
      <c r="H256" s="3">
        <f t="shared" si="10"/>
        <v>0</v>
      </c>
      <c r="I256" s="3">
        <f t="shared" si="11"/>
        <v>0</v>
      </c>
    </row>
    <row r="257" spans="4:9" x14ac:dyDescent="0.35">
      <c r="D257" s="2"/>
      <c r="E257" s="2"/>
      <c r="F257" s="3"/>
      <c r="G257" s="3">
        <f t="shared" si="9"/>
        <v>0</v>
      </c>
      <c r="H257" s="3">
        <f t="shared" si="10"/>
        <v>0</v>
      </c>
      <c r="I257" s="3">
        <f t="shared" si="11"/>
        <v>0</v>
      </c>
    </row>
    <row r="258" spans="4:9" x14ac:dyDescent="0.35">
      <c r="D258" s="2"/>
      <c r="E258" s="2"/>
      <c r="F258" s="3"/>
      <c r="G258" s="3">
        <f t="shared" ref="G258:G321" si="12">IF($F258&gt;0,$E258/(1-$F258),0)</f>
        <v>0</v>
      </c>
      <c r="H258" s="3">
        <f t="shared" ref="H258:H321" si="13">IF($D258&gt;0,$G258/$D258,0)</f>
        <v>0</v>
      </c>
      <c r="I258" s="3">
        <f t="shared" ref="I258:I321" si="14">$E258*1.1</f>
        <v>0</v>
      </c>
    </row>
    <row r="259" spans="4:9" x14ac:dyDescent="0.35">
      <c r="D259" s="2"/>
      <c r="E259" s="2"/>
      <c r="F259" s="3"/>
      <c r="G259" s="3">
        <f t="shared" si="12"/>
        <v>0</v>
      </c>
      <c r="H259" s="3">
        <f t="shared" si="13"/>
        <v>0</v>
      </c>
      <c r="I259" s="3">
        <f t="shared" si="14"/>
        <v>0</v>
      </c>
    </row>
    <row r="260" spans="4:9" x14ac:dyDescent="0.35">
      <c r="D260" s="2"/>
      <c r="E260" s="2"/>
      <c r="F260" s="3"/>
      <c r="G260" s="3">
        <f t="shared" si="12"/>
        <v>0</v>
      </c>
      <c r="H260" s="3">
        <f t="shared" si="13"/>
        <v>0</v>
      </c>
      <c r="I260" s="3">
        <f t="shared" si="14"/>
        <v>0</v>
      </c>
    </row>
    <row r="261" spans="4:9" x14ac:dyDescent="0.35">
      <c r="D261" s="2"/>
      <c r="E261" s="2"/>
      <c r="F261" s="3"/>
      <c r="G261" s="3">
        <f t="shared" si="12"/>
        <v>0</v>
      </c>
      <c r="H261" s="3">
        <f t="shared" si="13"/>
        <v>0</v>
      </c>
      <c r="I261" s="3">
        <f t="shared" si="14"/>
        <v>0</v>
      </c>
    </row>
    <row r="262" spans="4:9" x14ac:dyDescent="0.35">
      <c r="D262" s="2"/>
      <c r="E262" s="2"/>
      <c r="F262" s="3"/>
      <c r="G262" s="3">
        <f t="shared" si="12"/>
        <v>0</v>
      </c>
      <c r="H262" s="3">
        <f t="shared" si="13"/>
        <v>0</v>
      </c>
      <c r="I262" s="3">
        <f t="shared" si="14"/>
        <v>0</v>
      </c>
    </row>
    <row r="263" spans="4:9" x14ac:dyDescent="0.35">
      <c r="D263" s="2"/>
      <c r="E263" s="2"/>
      <c r="F263" s="3"/>
      <c r="G263" s="3">
        <f t="shared" si="12"/>
        <v>0</v>
      </c>
      <c r="H263" s="3">
        <f t="shared" si="13"/>
        <v>0</v>
      </c>
      <c r="I263" s="3">
        <f t="shared" si="14"/>
        <v>0</v>
      </c>
    </row>
    <row r="264" spans="4:9" x14ac:dyDescent="0.35">
      <c r="D264" s="2"/>
      <c r="E264" s="2"/>
      <c r="F264" s="3"/>
      <c r="G264" s="3">
        <f t="shared" si="12"/>
        <v>0</v>
      </c>
      <c r="H264" s="3">
        <f t="shared" si="13"/>
        <v>0</v>
      </c>
      <c r="I264" s="3">
        <f t="shared" si="14"/>
        <v>0</v>
      </c>
    </row>
    <row r="265" spans="4:9" x14ac:dyDescent="0.35">
      <c r="D265" s="2"/>
      <c r="E265" s="2"/>
      <c r="F265" s="3"/>
      <c r="G265" s="3">
        <f t="shared" si="12"/>
        <v>0</v>
      </c>
      <c r="H265" s="3">
        <f t="shared" si="13"/>
        <v>0</v>
      </c>
      <c r="I265" s="3">
        <f t="shared" si="14"/>
        <v>0</v>
      </c>
    </row>
    <row r="266" spans="4:9" x14ac:dyDescent="0.35">
      <c r="D266" s="2"/>
      <c r="E266" s="2"/>
      <c r="F266" s="3"/>
      <c r="G266" s="3">
        <f t="shared" si="12"/>
        <v>0</v>
      </c>
      <c r="H266" s="3">
        <f t="shared" si="13"/>
        <v>0</v>
      </c>
      <c r="I266" s="3">
        <f t="shared" si="14"/>
        <v>0</v>
      </c>
    </row>
    <row r="267" spans="4:9" x14ac:dyDescent="0.35">
      <c r="D267" s="2"/>
      <c r="E267" s="2"/>
      <c r="F267" s="3"/>
      <c r="G267" s="3">
        <f t="shared" si="12"/>
        <v>0</v>
      </c>
      <c r="H267" s="3">
        <f t="shared" si="13"/>
        <v>0</v>
      </c>
      <c r="I267" s="3">
        <f t="shared" si="14"/>
        <v>0</v>
      </c>
    </row>
    <row r="268" spans="4:9" x14ac:dyDescent="0.35">
      <c r="D268" s="2"/>
      <c r="E268" s="2"/>
      <c r="F268" s="3"/>
      <c r="G268" s="3">
        <f t="shared" si="12"/>
        <v>0</v>
      </c>
      <c r="H268" s="3">
        <f t="shared" si="13"/>
        <v>0</v>
      </c>
      <c r="I268" s="3">
        <f t="shared" si="14"/>
        <v>0</v>
      </c>
    </row>
    <row r="269" spans="4:9" x14ac:dyDescent="0.35">
      <c r="D269" s="2"/>
      <c r="E269" s="2"/>
      <c r="F269" s="3"/>
      <c r="G269" s="3">
        <f t="shared" si="12"/>
        <v>0</v>
      </c>
      <c r="H269" s="3">
        <f t="shared" si="13"/>
        <v>0</v>
      </c>
      <c r="I269" s="3">
        <f t="shared" si="14"/>
        <v>0</v>
      </c>
    </row>
    <row r="270" spans="4:9" x14ac:dyDescent="0.35">
      <c r="D270" s="2"/>
      <c r="E270" s="2"/>
      <c r="F270" s="3"/>
      <c r="G270" s="3">
        <f t="shared" si="12"/>
        <v>0</v>
      </c>
      <c r="H270" s="3">
        <f t="shared" si="13"/>
        <v>0</v>
      </c>
      <c r="I270" s="3">
        <f t="shared" si="14"/>
        <v>0</v>
      </c>
    </row>
    <row r="271" spans="4:9" x14ac:dyDescent="0.35">
      <c r="D271" s="2"/>
      <c r="E271" s="2"/>
      <c r="F271" s="3"/>
      <c r="G271" s="3">
        <f t="shared" si="12"/>
        <v>0</v>
      </c>
      <c r="H271" s="3">
        <f t="shared" si="13"/>
        <v>0</v>
      </c>
      <c r="I271" s="3">
        <f t="shared" si="14"/>
        <v>0</v>
      </c>
    </row>
    <row r="272" spans="4:9" x14ac:dyDescent="0.35">
      <c r="D272" s="2"/>
      <c r="E272" s="2"/>
      <c r="F272" s="3"/>
      <c r="G272" s="3">
        <f t="shared" si="12"/>
        <v>0</v>
      </c>
      <c r="H272" s="3">
        <f t="shared" si="13"/>
        <v>0</v>
      </c>
      <c r="I272" s="3">
        <f t="shared" si="14"/>
        <v>0</v>
      </c>
    </row>
    <row r="273" spans="4:9" x14ac:dyDescent="0.35">
      <c r="D273" s="2"/>
      <c r="E273" s="2"/>
      <c r="F273" s="3"/>
      <c r="G273" s="3">
        <f t="shared" si="12"/>
        <v>0</v>
      </c>
      <c r="H273" s="3">
        <f t="shared" si="13"/>
        <v>0</v>
      </c>
      <c r="I273" s="3">
        <f t="shared" si="14"/>
        <v>0</v>
      </c>
    </row>
    <row r="274" spans="4:9" x14ac:dyDescent="0.35">
      <c r="D274" s="2"/>
      <c r="E274" s="2"/>
      <c r="F274" s="3"/>
      <c r="G274" s="3">
        <f t="shared" si="12"/>
        <v>0</v>
      </c>
      <c r="H274" s="3">
        <f t="shared" si="13"/>
        <v>0</v>
      </c>
      <c r="I274" s="3">
        <f t="shared" si="14"/>
        <v>0</v>
      </c>
    </row>
    <row r="275" spans="4:9" x14ac:dyDescent="0.35">
      <c r="D275" s="2"/>
      <c r="E275" s="2"/>
      <c r="F275" s="3"/>
      <c r="G275" s="3">
        <f t="shared" si="12"/>
        <v>0</v>
      </c>
      <c r="H275" s="3">
        <f t="shared" si="13"/>
        <v>0</v>
      </c>
      <c r="I275" s="3">
        <f t="shared" si="14"/>
        <v>0</v>
      </c>
    </row>
    <row r="276" spans="4:9" x14ac:dyDescent="0.35">
      <c r="D276" s="2"/>
      <c r="E276" s="2"/>
      <c r="F276" s="3"/>
      <c r="G276" s="3">
        <f t="shared" si="12"/>
        <v>0</v>
      </c>
      <c r="H276" s="3">
        <f t="shared" si="13"/>
        <v>0</v>
      </c>
      <c r="I276" s="3">
        <f t="shared" si="14"/>
        <v>0</v>
      </c>
    </row>
    <row r="277" spans="4:9" x14ac:dyDescent="0.35">
      <c r="D277" s="2"/>
      <c r="E277" s="2"/>
      <c r="F277" s="3"/>
      <c r="G277" s="3">
        <f t="shared" si="12"/>
        <v>0</v>
      </c>
      <c r="H277" s="3">
        <f t="shared" si="13"/>
        <v>0</v>
      </c>
      <c r="I277" s="3">
        <f t="shared" si="14"/>
        <v>0</v>
      </c>
    </row>
    <row r="278" spans="4:9" x14ac:dyDescent="0.35">
      <c r="D278" s="2"/>
      <c r="E278" s="2"/>
      <c r="F278" s="3"/>
      <c r="G278" s="3">
        <f t="shared" si="12"/>
        <v>0</v>
      </c>
      <c r="H278" s="3">
        <f t="shared" si="13"/>
        <v>0</v>
      </c>
      <c r="I278" s="3">
        <f t="shared" si="14"/>
        <v>0</v>
      </c>
    </row>
    <row r="279" spans="4:9" x14ac:dyDescent="0.35">
      <c r="D279" s="2"/>
      <c r="E279" s="2"/>
      <c r="F279" s="3"/>
      <c r="G279" s="3">
        <f t="shared" si="12"/>
        <v>0</v>
      </c>
      <c r="H279" s="3">
        <f t="shared" si="13"/>
        <v>0</v>
      </c>
      <c r="I279" s="3">
        <f t="shared" si="14"/>
        <v>0</v>
      </c>
    </row>
    <row r="280" spans="4:9" x14ac:dyDescent="0.35">
      <c r="D280" s="2"/>
      <c r="E280" s="2"/>
      <c r="F280" s="3"/>
      <c r="G280" s="3">
        <f t="shared" si="12"/>
        <v>0</v>
      </c>
      <c r="H280" s="3">
        <f t="shared" si="13"/>
        <v>0</v>
      </c>
      <c r="I280" s="3">
        <f t="shared" si="14"/>
        <v>0</v>
      </c>
    </row>
    <row r="281" spans="4:9" x14ac:dyDescent="0.35">
      <c r="D281" s="2"/>
      <c r="E281" s="2"/>
      <c r="F281" s="3"/>
      <c r="G281" s="3">
        <f t="shared" si="12"/>
        <v>0</v>
      </c>
      <c r="H281" s="3">
        <f t="shared" si="13"/>
        <v>0</v>
      </c>
      <c r="I281" s="3">
        <f t="shared" si="14"/>
        <v>0</v>
      </c>
    </row>
    <row r="282" spans="4:9" x14ac:dyDescent="0.35">
      <c r="D282" s="2"/>
      <c r="E282" s="2"/>
      <c r="F282" s="3"/>
      <c r="G282" s="3">
        <f t="shared" si="12"/>
        <v>0</v>
      </c>
      <c r="H282" s="3">
        <f t="shared" si="13"/>
        <v>0</v>
      </c>
      <c r="I282" s="3">
        <f t="shared" si="14"/>
        <v>0</v>
      </c>
    </row>
    <row r="283" spans="4:9" x14ac:dyDescent="0.35">
      <c r="D283" s="2"/>
      <c r="E283" s="2"/>
      <c r="F283" s="3"/>
      <c r="G283" s="3">
        <f t="shared" si="12"/>
        <v>0</v>
      </c>
      <c r="H283" s="3">
        <f t="shared" si="13"/>
        <v>0</v>
      </c>
      <c r="I283" s="3">
        <f t="shared" si="14"/>
        <v>0</v>
      </c>
    </row>
    <row r="284" spans="4:9" x14ac:dyDescent="0.35">
      <c r="D284" s="2"/>
      <c r="E284" s="2"/>
      <c r="F284" s="3"/>
      <c r="G284" s="3">
        <f t="shared" si="12"/>
        <v>0</v>
      </c>
      <c r="H284" s="3">
        <f t="shared" si="13"/>
        <v>0</v>
      </c>
      <c r="I284" s="3">
        <f t="shared" si="14"/>
        <v>0</v>
      </c>
    </row>
    <row r="285" spans="4:9" x14ac:dyDescent="0.35">
      <c r="D285" s="2"/>
      <c r="E285" s="2"/>
      <c r="F285" s="3"/>
      <c r="G285" s="3">
        <f t="shared" si="12"/>
        <v>0</v>
      </c>
      <c r="H285" s="3">
        <f t="shared" si="13"/>
        <v>0</v>
      </c>
      <c r="I285" s="3">
        <f t="shared" si="14"/>
        <v>0</v>
      </c>
    </row>
    <row r="286" spans="4:9" x14ac:dyDescent="0.35">
      <c r="D286" s="2"/>
      <c r="E286" s="2"/>
      <c r="F286" s="3"/>
      <c r="G286" s="3">
        <f t="shared" si="12"/>
        <v>0</v>
      </c>
      <c r="H286" s="3">
        <f t="shared" si="13"/>
        <v>0</v>
      </c>
      <c r="I286" s="3">
        <f t="shared" si="14"/>
        <v>0</v>
      </c>
    </row>
    <row r="287" spans="4:9" x14ac:dyDescent="0.35">
      <c r="D287" s="2"/>
      <c r="E287" s="2"/>
      <c r="F287" s="3"/>
      <c r="G287" s="3">
        <f t="shared" si="12"/>
        <v>0</v>
      </c>
      <c r="H287" s="3">
        <f t="shared" si="13"/>
        <v>0</v>
      </c>
      <c r="I287" s="3">
        <f t="shared" si="14"/>
        <v>0</v>
      </c>
    </row>
    <row r="288" spans="4:9" x14ac:dyDescent="0.35">
      <c r="D288" s="2"/>
      <c r="E288" s="2"/>
      <c r="F288" s="3"/>
      <c r="G288" s="3">
        <f t="shared" si="12"/>
        <v>0</v>
      </c>
      <c r="H288" s="3">
        <f t="shared" si="13"/>
        <v>0</v>
      </c>
      <c r="I288" s="3">
        <f t="shared" si="14"/>
        <v>0</v>
      </c>
    </row>
    <row r="289" spans="4:9" x14ac:dyDescent="0.35">
      <c r="D289" s="2"/>
      <c r="E289" s="2"/>
      <c r="F289" s="3"/>
      <c r="G289" s="3">
        <f t="shared" si="12"/>
        <v>0</v>
      </c>
      <c r="H289" s="3">
        <f t="shared" si="13"/>
        <v>0</v>
      </c>
      <c r="I289" s="3">
        <f t="shared" si="14"/>
        <v>0</v>
      </c>
    </row>
    <row r="290" spans="4:9" x14ac:dyDescent="0.35">
      <c r="D290" s="2"/>
      <c r="E290" s="2"/>
      <c r="F290" s="3"/>
      <c r="G290" s="3">
        <f t="shared" si="12"/>
        <v>0</v>
      </c>
      <c r="H290" s="3">
        <f t="shared" si="13"/>
        <v>0</v>
      </c>
      <c r="I290" s="3">
        <f t="shared" si="14"/>
        <v>0</v>
      </c>
    </row>
    <row r="291" spans="4:9" x14ac:dyDescent="0.35">
      <c r="D291" s="2"/>
      <c r="E291" s="2"/>
      <c r="F291" s="3"/>
      <c r="G291" s="3">
        <f t="shared" si="12"/>
        <v>0</v>
      </c>
      <c r="H291" s="3">
        <f t="shared" si="13"/>
        <v>0</v>
      </c>
      <c r="I291" s="3">
        <f t="shared" si="14"/>
        <v>0</v>
      </c>
    </row>
    <row r="292" spans="4:9" x14ac:dyDescent="0.35">
      <c r="D292" s="2"/>
      <c r="E292" s="2"/>
      <c r="F292" s="3"/>
      <c r="G292" s="3">
        <f t="shared" si="12"/>
        <v>0</v>
      </c>
      <c r="H292" s="3">
        <f t="shared" si="13"/>
        <v>0</v>
      </c>
      <c r="I292" s="3">
        <f t="shared" si="14"/>
        <v>0</v>
      </c>
    </row>
    <row r="293" spans="4:9" x14ac:dyDescent="0.35">
      <c r="D293" s="2"/>
      <c r="E293" s="2"/>
      <c r="F293" s="3"/>
      <c r="G293" s="3">
        <f t="shared" si="12"/>
        <v>0</v>
      </c>
      <c r="H293" s="3">
        <f t="shared" si="13"/>
        <v>0</v>
      </c>
      <c r="I293" s="3">
        <f t="shared" si="14"/>
        <v>0</v>
      </c>
    </row>
    <row r="294" spans="4:9" x14ac:dyDescent="0.35">
      <c r="D294" s="2"/>
      <c r="E294" s="2"/>
      <c r="F294" s="3"/>
      <c r="G294" s="3">
        <f t="shared" si="12"/>
        <v>0</v>
      </c>
      <c r="H294" s="3">
        <f t="shared" si="13"/>
        <v>0</v>
      </c>
      <c r="I294" s="3">
        <f t="shared" si="14"/>
        <v>0</v>
      </c>
    </row>
    <row r="295" spans="4:9" x14ac:dyDescent="0.35">
      <c r="D295" s="2"/>
      <c r="E295" s="2"/>
      <c r="F295" s="3"/>
      <c r="G295" s="3">
        <f t="shared" si="12"/>
        <v>0</v>
      </c>
      <c r="H295" s="3">
        <f t="shared" si="13"/>
        <v>0</v>
      </c>
      <c r="I295" s="3">
        <f t="shared" si="14"/>
        <v>0</v>
      </c>
    </row>
    <row r="296" spans="4:9" x14ac:dyDescent="0.35">
      <c r="D296" s="2"/>
      <c r="E296" s="2"/>
      <c r="F296" s="3"/>
      <c r="G296" s="3">
        <f t="shared" si="12"/>
        <v>0</v>
      </c>
      <c r="H296" s="3">
        <f t="shared" si="13"/>
        <v>0</v>
      </c>
      <c r="I296" s="3">
        <f t="shared" si="14"/>
        <v>0</v>
      </c>
    </row>
    <row r="297" spans="4:9" x14ac:dyDescent="0.35">
      <c r="D297" s="2"/>
      <c r="E297" s="2"/>
      <c r="F297" s="3"/>
      <c r="G297" s="3">
        <f t="shared" si="12"/>
        <v>0</v>
      </c>
      <c r="H297" s="3">
        <f t="shared" si="13"/>
        <v>0</v>
      </c>
      <c r="I297" s="3">
        <f t="shared" si="14"/>
        <v>0</v>
      </c>
    </row>
    <row r="298" spans="4:9" x14ac:dyDescent="0.35">
      <c r="D298" s="2"/>
      <c r="E298" s="2"/>
      <c r="F298" s="3"/>
      <c r="G298" s="3">
        <f t="shared" si="12"/>
        <v>0</v>
      </c>
      <c r="H298" s="3">
        <f t="shared" si="13"/>
        <v>0</v>
      </c>
      <c r="I298" s="3">
        <f t="shared" si="14"/>
        <v>0</v>
      </c>
    </row>
    <row r="299" spans="4:9" x14ac:dyDescent="0.35">
      <c r="D299" s="2"/>
      <c r="E299" s="2"/>
      <c r="F299" s="3"/>
      <c r="G299" s="3">
        <f t="shared" si="12"/>
        <v>0</v>
      </c>
      <c r="H299" s="3">
        <f t="shared" si="13"/>
        <v>0</v>
      </c>
      <c r="I299" s="3">
        <f t="shared" si="14"/>
        <v>0</v>
      </c>
    </row>
    <row r="300" spans="4:9" x14ac:dyDescent="0.35">
      <c r="D300" s="2"/>
      <c r="E300" s="2"/>
      <c r="F300" s="3"/>
      <c r="G300" s="3">
        <f t="shared" si="12"/>
        <v>0</v>
      </c>
      <c r="H300" s="3">
        <f t="shared" si="13"/>
        <v>0</v>
      </c>
      <c r="I300" s="3">
        <f t="shared" si="14"/>
        <v>0</v>
      </c>
    </row>
    <row r="301" spans="4:9" x14ac:dyDescent="0.35">
      <c r="D301" s="2"/>
      <c r="E301" s="2"/>
      <c r="F301" s="3"/>
      <c r="G301" s="3">
        <f t="shared" si="12"/>
        <v>0</v>
      </c>
      <c r="H301" s="3">
        <f t="shared" si="13"/>
        <v>0</v>
      </c>
      <c r="I301" s="3">
        <f t="shared" si="14"/>
        <v>0</v>
      </c>
    </row>
    <row r="302" spans="4:9" x14ac:dyDescent="0.35">
      <c r="D302" s="2"/>
      <c r="E302" s="2"/>
      <c r="F302" s="3"/>
      <c r="G302" s="3">
        <f t="shared" si="12"/>
        <v>0</v>
      </c>
      <c r="H302" s="3">
        <f t="shared" si="13"/>
        <v>0</v>
      </c>
      <c r="I302" s="3">
        <f t="shared" si="14"/>
        <v>0</v>
      </c>
    </row>
    <row r="303" spans="4:9" x14ac:dyDescent="0.35">
      <c r="D303" s="2"/>
      <c r="E303" s="2"/>
      <c r="F303" s="3"/>
      <c r="G303" s="3">
        <f t="shared" si="12"/>
        <v>0</v>
      </c>
      <c r="H303" s="3">
        <f t="shared" si="13"/>
        <v>0</v>
      </c>
      <c r="I303" s="3">
        <f t="shared" si="14"/>
        <v>0</v>
      </c>
    </row>
    <row r="304" spans="4:9" x14ac:dyDescent="0.35">
      <c r="D304" s="2"/>
      <c r="E304" s="2"/>
      <c r="F304" s="3"/>
      <c r="G304" s="3">
        <f t="shared" si="12"/>
        <v>0</v>
      </c>
      <c r="H304" s="3">
        <f t="shared" si="13"/>
        <v>0</v>
      </c>
      <c r="I304" s="3">
        <f t="shared" si="14"/>
        <v>0</v>
      </c>
    </row>
    <row r="305" spans="4:9" x14ac:dyDescent="0.35">
      <c r="D305" s="2"/>
      <c r="E305" s="2"/>
      <c r="F305" s="3"/>
      <c r="G305" s="3">
        <f t="shared" si="12"/>
        <v>0</v>
      </c>
      <c r="H305" s="3">
        <f t="shared" si="13"/>
        <v>0</v>
      </c>
      <c r="I305" s="3">
        <f t="shared" si="14"/>
        <v>0</v>
      </c>
    </row>
    <row r="306" spans="4:9" x14ac:dyDescent="0.35">
      <c r="D306" s="2"/>
      <c r="E306" s="2"/>
      <c r="F306" s="3"/>
      <c r="G306" s="3">
        <f t="shared" si="12"/>
        <v>0</v>
      </c>
      <c r="H306" s="3">
        <f t="shared" si="13"/>
        <v>0</v>
      </c>
      <c r="I306" s="3">
        <f t="shared" si="14"/>
        <v>0</v>
      </c>
    </row>
    <row r="307" spans="4:9" x14ac:dyDescent="0.35">
      <c r="D307" s="2"/>
      <c r="E307" s="2"/>
      <c r="F307" s="3"/>
      <c r="G307" s="3">
        <f t="shared" si="12"/>
        <v>0</v>
      </c>
      <c r="H307" s="3">
        <f t="shared" si="13"/>
        <v>0</v>
      </c>
      <c r="I307" s="3">
        <f t="shared" si="14"/>
        <v>0</v>
      </c>
    </row>
    <row r="308" spans="4:9" x14ac:dyDescent="0.35">
      <c r="D308" s="2"/>
      <c r="E308" s="2"/>
      <c r="F308" s="3"/>
      <c r="G308" s="3">
        <f t="shared" si="12"/>
        <v>0</v>
      </c>
      <c r="H308" s="3">
        <f t="shared" si="13"/>
        <v>0</v>
      </c>
      <c r="I308" s="3">
        <f t="shared" si="14"/>
        <v>0</v>
      </c>
    </row>
    <row r="309" spans="4:9" x14ac:dyDescent="0.35">
      <c r="D309" s="2"/>
      <c r="E309" s="2"/>
      <c r="F309" s="3"/>
      <c r="G309" s="3">
        <f t="shared" si="12"/>
        <v>0</v>
      </c>
      <c r="H309" s="3">
        <f t="shared" si="13"/>
        <v>0</v>
      </c>
      <c r="I309" s="3">
        <f t="shared" si="14"/>
        <v>0</v>
      </c>
    </row>
    <row r="310" spans="4:9" x14ac:dyDescent="0.35">
      <c r="D310" s="2"/>
      <c r="E310" s="2"/>
      <c r="F310" s="3"/>
      <c r="G310" s="3">
        <f t="shared" si="12"/>
        <v>0</v>
      </c>
      <c r="H310" s="3">
        <f t="shared" si="13"/>
        <v>0</v>
      </c>
      <c r="I310" s="3">
        <f t="shared" si="14"/>
        <v>0</v>
      </c>
    </row>
    <row r="311" spans="4:9" x14ac:dyDescent="0.35">
      <c r="D311" s="2"/>
      <c r="E311" s="2"/>
      <c r="F311" s="3"/>
      <c r="G311" s="3">
        <f t="shared" si="12"/>
        <v>0</v>
      </c>
      <c r="H311" s="3">
        <f t="shared" si="13"/>
        <v>0</v>
      </c>
      <c r="I311" s="3">
        <f t="shared" si="14"/>
        <v>0</v>
      </c>
    </row>
    <row r="312" spans="4:9" x14ac:dyDescent="0.35">
      <c r="D312" s="2"/>
      <c r="E312" s="2"/>
      <c r="F312" s="3"/>
      <c r="G312" s="3">
        <f t="shared" si="12"/>
        <v>0</v>
      </c>
      <c r="H312" s="3">
        <f t="shared" si="13"/>
        <v>0</v>
      </c>
      <c r="I312" s="3">
        <f t="shared" si="14"/>
        <v>0</v>
      </c>
    </row>
    <row r="313" spans="4:9" x14ac:dyDescent="0.35">
      <c r="D313" s="2"/>
      <c r="E313" s="2"/>
      <c r="F313" s="3"/>
      <c r="G313" s="3">
        <f t="shared" si="12"/>
        <v>0</v>
      </c>
      <c r="H313" s="3">
        <f t="shared" si="13"/>
        <v>0</v>
      </c>
      <c r="I313" s="3">
        <f t="shared" si="14"/>
        <v>0</v>
      </c>
    </row>
    <row r="314" spans="4:9" x14ac:dyDescent="0.35">
      <c r="D314" s="2"/>
      <c r="E314" s="2"/>
      <c r="F314" s="3"/>
      <c r="G314" s="3">
        <f t="shared" si="12"/>
        <v>0</v>
      </c>
      <c r="H314" s="3">
        <f t="shared" si="13"/>
        <v>0</v>
      </c>
      <c r="I314" s="3">
        <f t="shared" si="14"/>
        <v>0</v>
      </c>
    </row>
    <row r="315" spans="4:9" x14ac:dyDescent="0.35">
      <c r="D315" s="2"/>
      <c r="E315" s="2"/>
      <c r="F315" s="3"/>
      <c r="G315" s="3">
        <f t="shared" si="12"/>
        <v>0</v>
      </c>
      <c r="H315" s="3">
        <f t="shared" si="13"/>
        <v>0</v>
      </c>
      <c r="I315" s="3">
        <f t="shared" si="14"/>
        <v>0</v>
      </c>
    </row>
    <row r="316" spans="4:9" x14ac:dyDescent="0.35">
      <c r="D316" s="2"/>
      <c r="E316" s="2"/>
      <c r="F316" s="3"/>
      <c r="G316" s="3">
        <f t="shared" si="12"/>
        <v>0</v>
      </c>
      <c r="H316" s="3">
        <f t="shared" si="13"/>
        <v>0</v>
      </c>
      <c r="I316" s="3">
        <f t="shared" si="14"/>
        <v>0</v>
      </c>
    </row>
    <row r="317" spans="4:9" x14ac:dyDescent="0.35">
      <c r="D317" s="2"/>
      <c r="E317" s="2"/>
      <c r="F317" s="3"/>
      <c r="G317" s="3">
        <f t="shared" si="12"/>
        <v>0</v>
      </c>
      <c r="H317" s="3">
        <f t="shared" si="13"/>
        <v>0</v>
      </c>
      <c r="I317" s="3">
        <f t="shared" si="14"/>
        <v>0</v>
      </c>
    </row>
    <row r="318" spans="4:9" x14ac:dyDescent="0.35">
      <c r="D318" s="2"/>
      <c r="E318" s="2"/>
      <c r="F318" s="3"/>
      <c r="G318" s="3">
        <f t="shared" si="12"/>
        <v>0</v>
      </c>
      <c r="H318" s="3">
        <f t="shared" si="13"/>
        <v>0</v>
      </c>
      <c r="I318" s="3">
        <f t="shared" si="14"/>
        <v>0</v>
      </c>
    </row>
    <row r="319" spans="4:9" x14ac:dyDescent="0.35">
      <c r="D319" s="2"/>
      <c r="E319" s="2"/>
      <c r="F319" s="3"/>
      <c r="G319" s="3">
        <f t="shared" si="12"/>
        <v>0</v>
      </c>
      <c r="H319" s="3">
        <f t="shared" si="13"/>
        <v>0</v>
      </c>
      <c r="I319" s="3">
        <f t="shared" si="14"/>
        <v>0</v>
      </c>
    </row>
    <row r="320" spans="4:9" x14ac:dyDescent="0.35">
      <c r="D320" s="2"/>
      <c r="E320" s="2"/>
      <c r="F320" s="3"/>
      <c r="G320" s="3">
        <f t="shared" si="12"/>
        <v>0</v>
      </c>
      <c r="H320" s="3">
        <f t="shared" si="13"/>
        <v>0</v>
      </c>
      <c r="I320" s="3">
        <f t="shared" si="14"/>
        <v>0</v>
      </c>
    </row>
    <row r="321" spans="4:9" x14ac:dyDescent="0.35">
      <c r="D321" s="2"/>
      <c r="E321" s="2"/>
      <c r="F321" s="3"/>
      <c r="G321" s="3">
        <f t="shared" si="12"/>
        <v>0</v>
      </c>
      <c r="H321" s="3">
        <f t="shared" si="13"/>
        <v>0</v>
      </c>
      <c r="I321" s="3">
        <f t="shared" si="14"/>
        <v>0</v>
      </c>
    </row>
    <row r="322" spans="4:9" x14ac:dyDescent="0.35">
      <c r="D322" s="2"/>
      <c r="E322" s="2"/>
      <c r="F322" s="3"/>
      <c r="G322" s="3">
        <f t="shared" ref="G322:G385" si="15">IF($F322&gt;0,$E322/(1-$F322),0)</f>
        <v>0</v>
      </c>
      <c r="H322" s="3">
        <f t="shared" ref="H322:H385" si="16">IF($D322&gt;0,$G322/$D322,0)</f>
        <v>0</v>
      </c>
      <c r="I322" s="3">
        <f t="shared" ref="I322:I385" si="17">$E322*1.1</f>
        <v>0</v>
      </c>
    </row>
    <row r="323" spans="4:9" x14ac:dyDescent="0.35">
      <c r="D323" s="2"/>
      <c r="E323" s="2"/>
      <c r="F323" s="3"/>
      <c r="G323" s="3">
        <f t="shared" si="15"/>
        <v>0</v>
      </c>
      <c r="H323" s="3">
        <f t="shared" si="16"/>
        <v>0</v>
      </c>
      <c r="I323" s="3">
        <f t="shared" si="17"/>
        <v>0</v>
      </c>
    </row>
    <row r="324" spans="4:9" x14ac:dyDescent="0.35">
      <c r="D324" s="2"/>
      <c r="E324" s="2"/>
      <c r="F324" s="3"/>
      <c r="G324" s="3">
        <f t="shared" si="15"/>
        <v>0</v>
      </c>
      <c r="H324" s="3">
        <f t="shared" si="16"/>
        <v>0</v>
      </c>
      <c r="I324" s="3">
        <f t="shared" si="17"/>
        <v>0</v>
      </c>
    </row>
    <row r="325" spans="4:9" x14ac:dyDescent="0.35">
      <c r="D325" s="2"/>
      <c r="E325" s="2"/>
      <c r="F325" s="3"/>
      <c r="G325" s="3">
        <f t="shared" si="15"/>
        <v>0</v>
      </c>
      <c r="H325" s="3">
        <f t="shared" si="16"/>
        <v>0</v>
      </c>
      <c r="I325" s="3">
        <f t="shared" si="17"/>
        <v>0</v>
      </c>
    </row>
    <row r="326" spans="4:9" x14ac:dyDescent="0.35">
      <c r="D326" s="2"/>
      <c r="E326" s="2"/>
      <c r="F326" s="3"/>
      <c r="G326" s="3">
        <f t="shared" si="15"/>
        <v>0</v>
      </c>
      <c r="H326" s="3">
        <f t="shared" si="16"/>
        <v>0</v>
      </c>
      <c r="I326" s="3">
        <f t="shared" si="17"/>
        <v>0</v>
      </c>
    </row>
    <row r="327" spans="4:9" x14ac:dyDescent="0.35">
      <c r="D327" s="2"/>
      <c r="E327" s="2"/>
      <c r="F327" s="3"/>
      <c r="G327" s="3">
        <f t="shared" si="15"/>
        <v>0</v>
      </c>
      <c r="H327" s="3">
        <f t="shared" si="16"/>
        <v>0</v>
      </c>
      <c r="I327" s="3">
        <f t="shared" si="17"/>
        <v>0</v>
      </c>
    </row>
    <row r="328" spans="4:9" x14ac:dyDescent="0.35">
      <c r="D328" s="2"/>
      <c r="E328" s="2"/>
      <c r="F328" s="3"/>
      <c r="G328" s="3">
        <f t="shared" si="15"/>
        <v>0</v>
      </c>
      <c r="H328" s="3">
        <f t="shared" si="16"/>
        <v>0</v>
      </c>
      <c r="I328" s="3">
        <f t="shared" si="17"/>
        <v>0</v>
      </c>
    </row>
    <row r="329" spans="4:9" x14ac:dyDescent="0.35">
      <c r="D329" s="2"/>
      <c r="E329" s="2"/>
      <c r="F329" s="3"/>
      <c r="G329" s="3">
        <f t="shared" si="15"/>
        <v>0</v>
      </c>
      <c r="H329" s="3">
        <f t="shared" si="16"/>
        <v>0</v>
      </c>
      <c r="I329" s="3">
        <f t="shared" si="17"/>
        <v>0</v>
      </c>
    </row>
    <row r="330" spans="4:9" x14ac:dyDescent="0.35">
      <c r="D330" s="2"/>
      <c r="E330" s="2"/>
      <c r="F330" s="3"/>
      <c r="G330" s="3">
        <f t="shared" si="15"/>
        <v>0</v>
      </c>
      <c r="H330" s="3">
        <f t="shared" si="16"/>
        <v>0</v>
      </c>
      <c r="I330" s="3">
        <f t="shared" si="17"/>
        <v>0</v>
      </c>
    </row>
    <row r="331" spans="4:9" x14ac:dyDescent="0.35">
      <c r="D331" s="2"/>
      <c r="E331" s="2"/>
      <c r="F331" s="3"/>
      <c r="G331" s="3">
        <f t="shared" si="15"/>
        <v>0</v>
      </c>
      <c r="H331" s="3">
        <f t="shared" si="16"/>
        <v>0</v>
      </c>
      <c r="I331" s="3">
        <f t="shared" si="17"/>
        <v>0</v>
      </c>
    </row>
    <row r="332" spans="4:9" x14ac:dyDescent="0.35">
      <c r="D332" s="2"/>
      <c r="E332" s="2"/>
      <c r="F332" s="3"/>
      <c r="G332" s="3">
        <f t="shared" si="15"/>
        <v>0</v>
      </c>
      <c r="H332" s="3">
        <f t="shared" si="16"/>
        <v>0</v>
      </c>
      <c r="I332" s="3">
        <f t="shared" si="17"/>
        <v>0</v>
      </c>
    </row>
    <row r="333" spans="4:9" x14ac:dyDescent="0.35">
      <c r="D333" s="2"/>
      <c r="E333" s="2"/>
      <c r="F333" s="3"/>
      <c r="G333" s="3">
        <f t="shared" si="15"/>
        <v>0</v>
      </c>
      <c r="H333" s="3">
        <f t="shared" si="16"/>
        <v>0</v>
      </c>
      <c r="I333" s="3">
        <f t="shared" si="17"/>
        <v>0</v>
      </c>
    </row>
    <row r="334" spans="4:9" x14ac:dyDescent="0.35">
      <c r="D334" s="2"/>
      <c r="E334" s="2"/>
      <c r="F334" s="3"/>
      <c r="G334" s="3">
        <f t="shared" si="15"/>
        <v>0</v>
      </c>
      <c r="H334" s="3">
        <f t="shared" si="16"/>
        <v>0</v>
      </c>
      <c r="I334" s="3">
        <f t="shared" si="17"/>
        <v>0</v>
      </c>
    </row>
    <row r="335" spans="4:9" x14ac:dyDescent="0.35">
      <c r="D335" s="2"/>
      <c r="E335" s="2"/>
      <c r="F335" s="3"/>
      <c r="G335" s="3">
        <f t="shared" si="15"/>
        <v>0</v>
      </c>
      <c r="H335" s="3">
        <f t="shared" si="16"/>
        <v>0</v>
      </c>
      <c r="I335" s="3">
        <f t="shared" si="17"/>
        <v>0</v>
      </c>
    </row>
    <row r="336" spans="4:9" x14ac:dyDescent="0.35">
      <c r="D336" s="2"/>
      <c r="E336" s="2"/>
      <c r="F336" s="3"/>
      <c r="G336" s="3">
        <f t="shared" si="15"/>
        <v>0</v>
      </c>
      <c r="H336" s="3">
        <f t="shared" si="16"/>
        <v>0</v>
      </c>
      <c r="I336" s="3">
        <f t="shared" si="17"/>
        <v>0</v>
      </c>
    </row>
    <row r="337" spans="4:9" x14ac:dyDescent="0.35">
      <c r="D337" s="2"/>
      <c r="E337" s="2"/>
      <c r="F337" s="3"/>
      <c r="G337" s="3">
        <f t="shared" si="15"/>
        <v>0</v>
      </c>
      <c r="H337" s="3">
        <f t="shared" si="16"/>
        <v>0</v>
      </c>
      <c r="I337" s="3">
        <f t="shared" si="17"/>
        <v>0</v>
      </c>
    </row>
    <row r="338" spans="4:9" x14ac:dyDescent="0.35">
      <c r="D338" s="2"/>
      <c r="E338" s="2"/>
      <c r="F338" s="3"/>
      <c r="G338" s="3">
        <f t="shared" si="15"/>
        <v>0</v>
      </c>
      <c r="H338" s="3">
        <f t="shared" si="16"/>
        <v>0</v>
      </c>
      <c r="I338" s="3">
        <f t="shared" si="17"/>
        <v>0</v>
      </c>
    </row>
    <row r="339" spans="4:9" x14ac:dyDescent="0.35">
      <c r="D339" s="2"/>
      <c r="E339" s="2"/>
      <c r="F339" s="3"/>
      <c r="G339" s="3">
        <f t="shared" si="15"/>
        <v>0</v>
      </c>
      <c r="H339" s="3">
        <f t="shared" si="16"/>
        <v>0</v>
      </c>
      <c r="I339" s="3">
        <f t="shared" si="17"/>
        <v>0</v>
      </c>
    </row>
    <row r="340" spans="4:9" x14ac:dyDescent="0.35">
      <c r="D340" s="2"/>
      <c r="E340" s="2"/>
      <c r="F340" s="3"/>
      <c r="G340" s="3">
        <f t="shared" si="15"/>
        <v>0</v>
      </c>
      <c r="H340" s="3">
        <f t="shared" si="16"/>
        <v>0</v>
      </c>
      <c r="I340" s="3">
        <f t="shared" si="17"/>
        <v>0</v>
      </c>
    </row>
    <row r="341" spans="4:9" x14ac:dyDescent="0.35">
      <c r="D341" s="2"/>
      <c r="E341" s="2"/>
      <c r="F341" s="3"/>
      <c r="G341" s="3">
        <f t="shared" si="15"/>
        <v>0</v>
      </c>
      <c r="H341" s="3">
        <f t="shared" si="16"/>
        <v>0</v>
      </c>
      <c r="I341" s="3">
        <f t="shared" si="17"/>
        <v>0</v>
      </c>
    </row>
    <row r="342" spans="4:9" x14ac:dyDescent="0.35">
      <c r="D342" s="2"/>
      <c r="E342" s="2"/>
      <c r="F342" s="3"/>
      <c r="G342" s="3">
        <f t="shared" si="15"/>
        <v>0</v>
      </c>
      <c r="H342" s="3">
        <f t="shared" si="16"/>
        <v>0</v>
      </c>
      <c r="I342" s="3">
        <f t="shared" si="17"/>
        <v>0</v>
      </c>
    </row>
    <row r="343" spans="4:9" x14ac:dyDescent="0.35">
      <c r="D343" s="2"/>
      <c r="E343" s="2"/>
      <c r="F343" s="3"/>
      <c r="G343" s="3">
        <f t="shared" si="15"/>
        <v>0</v>
      </c>
      <c r="H343" s="3">
        <f t="shared" si="16"/>
        <v>0</v>
      </c>
      <c r="I343" s="3">
        <f t="shared" si="17"/>
        <v>0</v>
      </c>
    </row>
    <row r="344" spans="4:9" x14ac:dyDescent="0.35">
      <c r="D344" s="2"/>
      <c r="E344" s="2"/>
      <c r="F344" s="3"/>
      <c r="G344" s="3">
        <f t="shared" si="15"/>
        <v>0</v>
      </c>
      <c r="H344" s="3">
        <f t="shared" si="16"/>
        <v>0</v>
      </c>
      <c r="I344" s="3">
        <f t="shared" si="17"/>
        <v>0</v>
      </c>
    </row>
    <row r="345" spans="4:9" x14ac:dyDescent="0.35">
      <c r="D345" s="2"/>
      <c r="E345" s="2"/>
      <c r="F345" s="3"/>
      <c r="G345" s="3">
        <f t="shared" si="15"/>
        <v>0</v>
      </c>
      <c r="H345" s="3">
        <f t="shared" si="16"/>
        <v>0</v>
      </c>
      <c r="I345" s="3">
        <f t="shared" si="17"/>
        <v>0</v>
      </c>
    </row>
    <row r="346" spans="4:9" x14ac:dyDescent="0.35">
      <c r="D346" s="2"/>
      <c r="E346" s="2"/>
      <c r="F346" s="3"/>
      <c r="G346" s="3">
        <f t="shared" si="15"/>
        <v>0</v>
      </c>
      <c r="H346" s="3">
        <f t="shared" si="16"/>
        <v>0</v>
      </c>
      <c r="I346" s="3">
        <f t="shared" si="17"/>
        <v>0</v>
      </c>
    </row>
    <row r="347" spans="4:9" x14ac:dyDescent="0.35">
      <c r="D347" s="2"/>
      <c r="E347" s="2"/>
      <c r="F347" s="3"/>
      <c r="G347" s="3">
        <f t="shared" si="15"/>
        <v>0</v>
      </c>
      <c r="H347" s="3">
        <f t="shared" si="16"/>
        <v>0</v>
      </c>
      <c r="I347" s="3">
        <f t="shared" si="17"/>
        <v>0</v>
      </c>
    </row>
    <row r="348" spans="4:9" x14ac:dyDescent="0.35">
      <c r="D348" s="2"/>
      <c r="E348" s="2"/>
      <c r="F348" s="3"/>
      <c r="G348" s="3">
        <f t="shared" si="15"/>
        <v>0</v>
      </c>
      <c r="H348" s="3">
        <f t="shared" si="16"/>
        <v>0</v>
      </c>
      <c r="I348" s="3">
        <f t="shared" si="17"/>
        <v>0</v>
      </c>
    </row>
    <row r="349" spans="4:9" x14ac:dyDescent="0.35">
      <c r="D349" s="2"/>
      <c r="E349" s="2"/>
      <c r="F349" s="3"/>
      <c r="G349" s="3">
        <f t="shared" si="15"/>
        <v>0</v>
      </c>
      <c r="H349" s="3">
        <f t="shared" si="16"/>
        <v>0</v>
      </c>
      <c r="I349" s="3">
        <f t="shared" si="17"/>
        <v>0</v>
      </c>
    </row>
    <row r="350" spans="4:9" x14ac:dyDescent="0.35">
      <c r="D350" s="2"/>
      <c r="E350" s="2"/>
      <c r="F350" s="3"/>
      <c r="G350" s="3">
        <f t="shared" si="15"/>
        <v>0</v>
      </c>
      <c r="H350" s="3">
        <f t="shared" si="16"/>
        <v>0</v>
      </c>
      <c r="I350" s="3">
        <f t="shared" si="17"/>
        <v>0</v>
      </c>
    </row>
    <row r="351" spans="4:9" x14ac:dyDescent="0.35">
      <c r="D351" s="2"/>
      <c r="E351" s="2"/>
      <c r="F351" s="3"/>
      <c r="G351" s="3">
        <f t="shared" si="15"/>
        <v>0</v>
      </c>
      <c r="H351" s="3">
        <f t="shared" si="16"/>
        <v>0</v>
      </c>
      <c r="I351" s="3">
        <f t="shared" si="17"/>
        <v>0</v>
      </c>
    </row>
    <row r="352" spans="4:9" x14ac:dyDescent="0.35">
      <c r="D352" s="2"/>
      <c r="E352" s="2"/>
      <c r="F352" s="3"/>
      <c r="G352" s="3">
        <f t="shared" si="15"/>
        <v>0</v>
      </c>
      <c r="H352" s="3">
        <f t="shared" si="16"/>
        <v>0</v>
      </c>
      <c r="I352" s="3">
        <f t="shared" si="17"/>
        <v>0</v>
      </c>
    </row>
    <row r="353" spans="4:9" x14ac:dyDescent="0.35">
      <c r="D353" s="2"/>
      <c r="E353" s="2"/>
      <c r="F353" s="3"/>
      <c r="G353" s="3">
        <f t="shared" si="15"/>
        <v>0</v>
      </c>
      <c r="H353" s="3">
        <f t="shared" si="16"/>
        <v>0</v>
      </c>
      <c r="I353" s="3">
        <f t="shared" si="17"/>
        <v>0</v>
      </c>
    </row>
    <row r="354" spans="4:9" x14ac:dyDescent="0.35">
      <c r="D354" s="2"/>
      <c r="E354" s="2"/>
      <c r="F354" s="3"/>
      <c r="G354" s="3">
        <f t="shared" si="15"/>
        <v>0</v>
      </c>
      <c r="H354" s="3">
        <f t="shared" si="16"/>
        <v>0</v>
      </c>
      <c r="I354" s="3">
        <f t="shared" si="17"/>
        <v>0</v>
      </c>
    </row>
    <row r="355" spans="4:9" x14ac:dyDescent="0.35">
      <c r="D355" s="2"/>
      <c r="E355" s="2"/>
      <c r="F355" s="3"/>
      <c r="G355" s="3">
        <f t="shared" si="15"/>
        <v>0</v>
      </c>
      <c r="H355" s="3">
        <f t="shared" si="16"/>
        <v>0</v>
      </c>
      <c r="I355" s="3">
        <f t="shared" si="17"/>
        <v>0</v>
      </c>
    </row>
    <row r="356" spans="4:9" x14ac:dyDescent="0.35">
      <c r="D356" s="2"/>
      <c r="E356" s="2"/>
      <c r="F356" s="3"/>
      <c r="G356" s="3">
        <f t="shared" si="15"/>
        <v>0</v>
      </c>
      <c r="H356" s="3">
        <f t="shared" si="16"/>
        <v>0</v>
      </c>
      <c r="I356" s="3">
        <f t="shared" si="17"/>
        <v>0</v>
      </c>
    </row>
    <row r="357" spans="4:9" x14ac:dyDescent="0.35">
      <c r="D357" s="2"/>
      <c r="E357" s="2"/>
      <c r="F357" s="3"/>
      <c r="G357" s="3">
        <f t="shared" si="15"/>
        <v>0</v>
      </c>
      <c r="H357" s="3">
        <f t="shared" si="16"/>
        <v>0</v>
      </c>
      <c r="I357" s="3">
        <f t="shared" si="17"/>
        <v>0</v>
      </c>
    </row>
    <row r="358" spans="4:9" x14ac:dyDescent="0.35">
      <c r="D358" s="2"/>
      <c r="E358" s="2"/>
      <c r="F358" s="3"/>
      <c r="G358" s="3">
        <f t="shared" si="15"/>
        <v>0</v>
      </c>
      <c r="H358" s="3">
        <f t="shared" si="16"/>
        <v>0</v>
      </c>
      <c r="I358" s="3">
        <f t="shared" si="17"/>
        <v>0</v>
      </c>
    </row>
    <row r="359" spans="4:9" x14ac:dyDescent="0.35">
      <c r="D359" s="2"/>
      <c r="E359" s="2"/>
      <c r="F359" s="3"/>
      <c r="G359" s="3">
        <f t="shared" si="15"/>
        <v>0</v>
      </c>
      <c r="H359" s="3">
        <f t="shared" si="16"/>
        <v>0</v>
      </c>
      <c r="I359" s="3">
        <f t="shared" si="17"/>
        <v>0</v>
      </c>
    </row>
    <row r="360" spans="4:9" x14ac:dyDescent="0.35">
      <c r="D360" s="2"/>
      <c r="E360" s="2"/>
      <c r="F360" s="3"/>
      <c r="G360" s="3">
        <f t="shared" si="15"/>
        <v>0</v>
      </c>
      <c r="H360" s="3">
        <f t="shared" si="16"/>
        <v>0</v>
      </c>
      <c r="I360" s="3">
        <f t="shared" si="17"/>
        <v>0</v>
      </c>
    </row>
    <row r="361" spans="4:9" x14ac:dyDescent="0.35">
      <c r="D361" s="2"/>
      <c r="E361" s="2"/>
      <c r="F361" s="3"/>
      <c r="G361" s="3">
        <f t="shared" si="15"/>
        <v>0</v>
      </c>
      <c r="H361" s="3">
        <f t="shared" si="16"/>
        <v>0</v>
      </c>
      <c r="I361" s="3">
        <f t="shared" si="17"/>
        <v>0</v>
      </c>
    </row>
    <row r="362" spans="4:9" x14ac:dyDescent="0.35">
      <c r="D362" s="2"/>
      <c r="E362" s="2"/>
      <c r="F362" s="3"/>
      <c r="G362" s="3">
        <f t="shared" si="15"/>
        <v>0</v>
      </c>
      <c r="H362" s="3">
        <f t="shared" si="16"/>
        <v>0</v>
      </c>
      <c r="I362" s="3">
        <f t="shared" si="17"/>
        <v>0</v>
      </c>
    </row>
    <row r="363" spans="4:9" x14ac:dyDescent="0.35">
      <c r="D363" s="2"/>
      <c r="E363" s="2"/>
      <c r="F363" s="3"/>
      <c r="G363" s="3">
        <f t="shared" si="15"/>
        <v>0</v>
      </c>
      <c r="H363" s="3">
        <f t="shared" si="16"/>
        <v>0</v>
      </c>
      <c r="I363" s="3">
        <f t="shared" si="17"/>
        <v>0</v>
      </c>
    </row>
    <row r="364" spans="4:9" x14ac:dyDescent="0.35">
      <c r="D364" s="2"/>
      <c r="E364" s="2"/>
      <c r="F364" s="3"/>
      <c r="G364" s="3">
        <f t="shared" si="15"/>
        <v>0</v>
      </c>
      <c r="H364" s="3">
        <f t="shared" si="16"/>
        <v>0</v>
      </c>
      <c r="I364" s="3">
        <f t="shared" si="17"/>
        <v>0</v>
      </c>
    </row>
    <row r="365" spans="4:9" x14ac:dyDescent="0.35">
      <c r="D365" s="2"/>
      <c r="E365" s="2"/>
      <c r="F365" s="3"/>
      <c r="G365" s="3">
        <f t="shared" si="15"/>
        <v>0</v>
      </c>
      <c r="H365" s="3">
        <f t="shared" si="16"/>
        <v>0</v>
      </c>
      <c r="I365" s="3">
        <f t="shared" si="17"/>
        <v>0</v>
      </c>
    </row>
    <row r="366" spans="4:9" x14ac:dyDescent="0.35">
      <c r="D366" s="2"/>
      <c r="E366" s="2"/>
      <c r="F366" s="3"/>
      <c r="G366" s="3">
        <f t="shared" si="15"/>
        <v>0</v>
      </c>
      <c r="H366" s="3">
        <f t="shared" si="16"/>
        <v>0</v>
      </c>
      <c r="I366" s="3">
        <f t="shared" si="17"/>
        <v>0</v>
      </c>
    </row>
    <row r="367" spans="4:9" x14ac:dyDescent="0.35">
      <c r="D367" s="2"/>
      <c r="E367" s="2"/>
      <c r="F367" s="3"/>
      <c r="G367" s="3">
        <f t="shared" si="15"/>
        <v>0</v>
      </c>
      <c r="H367" s="3">
        <f t="shared" si="16"/>
        <v>0</v>
      </c>
      <c r="I367" s="3">
        <f t="shared" si="17"/>
        <v>0</v>
      </c>
    </row>
    <row r="368" spans="4:9" x14ac:dyDescent="0.35">
      <c r="D368" s="2"/>
      <c r="E368" s="2"/>
      <c r="F368" s="3"/>
      <c r="G368" s="3">
        <f t="shared" si="15"/>
        <v>0</v>
      </c>
      <c r="H368" s="3">
        <f t="shared" si="16"/>
        <v>0</v>
      </c>
      <c r="I368" s="3">
        <f t="shared" si="17"/>
        <v>0</v>
      </c>
    </row>
    <row r="369" spans="4:9" x14ac:dyDescent="0.35">
      <c r="D369" s="2"/>
      <c r="E369" s="2"/>
      <c r="F369" s="3"/>
      <c r="G369" s="3">
        <f t="shared" si="15"/>
        <v>0</v>
      </c>
      <c r="H369" s="3">
        <f t="shared" si="16"/>
        <v>0</v>
      </c>
      <c r="I369" s="3">
        <f t="shared" si="17"/>
        <v>0</v>
      </c>
    </row>
    <row r="370" spans="4:9" x14ac:dyDescent="0.35">
      <c r="D370" s="2"/>
      <c r="E370" s="2"/>
      <c r="F370" s="3"/>
      <c r="G370" s="3">
        <f t="shared" si="15"/>
        <v>0</v>
      </c>
      <c r="H370" s="3">
        <f t="shared" si="16"/>
        <v>0</v>
      </c>
      <c r="I370" s="3">
        <f t="shared" si="17"/>
        <v>0</v>
      </c>
    </row>
    <row r="371" spans="4:9" x14ac:dyDescent="0.35">
      <c r="D371" s="2"/>
      <c r="E371" s="2"/>
      <c r="F371" s="3"/>
      <c r="G371" s="3">
        <f t="shared" si="15"/>
        <v>0</v>
      </c>
      <c r="H371" s="3">
        <f t="shared" si="16"/>
        <v>0</v>
      </c>
      <c r="I371" s="3">
        <f t="shared" si="17"/>
        <v>0</v>
      </c>
    </row>
    <row r="372" spans="4:9" x14ac:dyDescent="0.35">
      <c r="D372" s="2"/>
      <c r="E372" s="2"/>
      <c r="F372" s="3"/>
      <c r="G372" s="3">
        <f t="shared" si="15"/>
        <v>0</v>
      </c>
      <c r="H372" s="3">
        <f t="shared" si="16"/>
        <v>0</v>
      </c>
      <c r="I372" s="3">
        <f t="shared" si="17"/>
        <v>0</v>
      </c>
    </row>
    <row r="373" spans="4:9" x14ac:dyDescent="0.35">
      <c r="D373" s="2"/>
      <c r="E373" s="2"/>
      <c r="F373" s="3"/>
      <c r="G373" s="3">
        <f t="shared" si="15"/>
        <v>0</v>
      </c>
      <c r="H373" s="3">
        <f t="shared" si="16"/>
        <v>0</v>
      </c>
      <c r="I373" s="3">
        <f t="shared" si="17"/>
        <v>0</v>
      </c>
    </row>
    <row r="374" spans="4:9" x14ac:dyDescent="0.35">
      <c r="D374" s="2"/>
      <c r="E374" s="2"/>
      <c r="F374" s="3"/>
      <c r="G374" s="3">
        <f t="shared" si="15"/>
        <v>0</v>
      </c>
      <c r="H374" s="3">
        <f t="shared" si="16"/>
        <v>0</v>
      </c>
      <c r="I374" s="3">
        <f t="shared" si="17"/>
        <v>0</v>
      </c>
    </row>
    <row r="375" spans="4:9" x14ac:dyDescent="0.35">
      <c r="D375" s="2"/>
      <c r="E375" s="2"/>
      <c r="F375" s="3"/>
      <c r="G375" s="3">
        <f t="shared" si="15"/>
        <v>0</v>
      </c>
      <c r="H375" s="3">
        <f t="shared" si="16"/>
        <v>0</v>
      </c>
      <c r="I375" s="3">
        <f t="shared" si="17"/>
        <v>0</v>
      </c>
    </row>
    <row r="376" spans="4:9" x14ac:dyDescent="0.35">
      <c r="D376" s="2"/>
      <c r="E376" s="2"/>
      <c r="F376" s="3"/>
      <c r="G376" s="3">
        <f t="shared" si="15"/>
        <v>0</v>
      </c>
      <c r="H376" s="3">
        <f t="shared" si="16"/>
        <v>0</v>
      </c>
      <c r="I376" s="3">
        <f t="shared" si="17"/>
        <v>0</v>
      </c>
    </row>
    <row r="377" spans="4:9" x14ac:dyDescent="0.35">
      <c r="D377" s="2"/>
      <c r="E377" s="2"/>
      <c r="F377" s="3"/>
      <c r="G377" s="3">
        <f t="shared" si="15"/>
        <v>0</v>
      </c>
      <c r="H377" s="3">
        <f t="shared" si="16"/>
        <v>0</v>
      </c>
      <c r="I377" s="3">
        <f t="shared" si="17"/>
        <v>0</v>
      </c>
    </row>
    <row r="378" spans="4:9" x14ac:dyDescent="0.35">
      <c r="D378" s="2"/>
      <c r="E378" s="2"/>
      <c r="F378" s="3"/>
      <c r="G378" s="3">
        <f t="shared" si="15"/>
        <v>0</v>
      </c>
      <c r="H378" s="3">
        <f t="shared" si="16"/>
        <v>0</v>
      </c>
      <c r="I378" s="3">
        <f t="shared" si="17"/>
        <v>0</v>
      </c>
    </row>
    <row r="379" spans="4:9" x14ac:dyDescent="0.35">
      <c r="D379" s="2"/>
      <c r="E379" s="2"/>
      <c r="F379" s="3"/>
      <c r="G379" s="3">
        <f t="shared" si="15"/>
        <v>0</v>
      </c>
      <c r="H379" s="3">
        <f t="shared" si="16"/>
        <v>0</v>
      </c>
      <c r="I379" s="3">
        <f t="shared" si="17"/>
        <v>0</v>
      </c>
    </row>
    <row r="380" spans="4:9" x14ac:dyDescent="0.35">
      <c r="D380" s="2"/>
      <c r="E380" s="2"/>
      <c r="F380" s="3"/>
      <c r="G380" s="3">
        <f t="shared" si="15"/>
        <v>0</v>
      </c>
      <c r="H380" s="3">
        <f t="shared" si="16"/>
        <v>0</v>
      </c>
      <c r="I380" s="3">
        <f t="shared" si="17"/>
        <v>0</v>
      </c>
    </row>
    <row r="381" spans="4:9" x14ac:dyDescent="0.35">
      <c r="D381" s="2"/>
      <c r="E381" s="2"/>
      <c r="F381" s="3"/>
      <c r="G381" s="3">
        <f t="shared" si="15"/>
        <v>0</v>
      </c>
      <c r="H381" s="3">
        <f t="shared" si="16"/>
        <v>0</v>
      </c>
      <c r="I381" s="3">
        <f t="shared" si="17"/>
        <v>0</v>
      </c>
    </row>
    <row r="382" spans="4:9" x14ac:dyDescent="0.35">
      <c r="D382" s="2"/>
      <c r="E382" s="2"/>
      <c r="F382" s="3"/>
      <c r="G382" s="3">
        <f t="shared" si="15"/>
        <v>0</v>
      </c>
      <c r="H382" s="3">
        <f t="shared" si="16"/>
        <v>0</v>
      </c>
      <c r="I382" s="3">
        <f t="shared" si="17"/>
        <v>0</v>
      </c>
    </row>
    <row r="383" spans="4:9" x14ac:dyDescent="0.35">
      <c r="D383" s="2"/>
      <c r="E383" s="2"/>
      <c r="F383" s="3"/>
      <c r="G383" s="3">
        <f t="shared" si="15"/>
        <v>0</v>
      </c>
      <c r="H383" s="3">
        <f t="shared" si="16"/>
        <v>0</v>
      </c>
      <c r="I383" s="3">
        <f t="shared" si="17"/>
        <v>0</v>
      </c>
    </row>
    <row r="384" spans="4:9" x14ac:dyDescent="0.35">
      <c r="D384" s="2"/>
      <c r="E384" s="2"/>
      <c r="F384" s="3"/>
      <c r="G384" s="3">
        <f t="shared" si="15"/>
        <v>0</v>
      </c>
      <c r="H384" s="3">
        <f t="shared" si="16"/>
        <v>0</v>
      </c>
      <c r="I384" s="3">
        <f t="shared" si="17"/>
        <v>0</v>
      </c>
    </row>
    <row r="385" spans="4:9" x14ac:dyDescent="0.35">
      <c r="D385" s="2"/>
      <c r="E385" s="2"/>
      <c r="F385" s="3"/>
      <c r="G385" s="3">
        <f t="shared" si="15"/>
        <v>0</v>
      </c>
      <c r="H385" s="3">
        <f t="shared" si="16"/>
        <v>0</v>
      </c>
      <c r="I385" s="3">
        <f t="shared" si="17"/>
        <v>0</v>
      </c>
    </row>
    <row r="386" spans="4:9" x14ac:dyDescent="0.35">
      <c r="D386" s="2"/>
      <c r="E386" s="2"/>
      <c r="F386" s="3"/>
      <c r="G386" s="3">
        <f t="shared" ref="G386:G449" si="18">IF($F386&gt;0,$E386/(1-$F386),0)</f>
        <v>0</v>
      </c>
      <c r="H386" s="3">
        <f t="shared" ref="H386:H449" si="19">IF($D386&gt;0,$G386/$D386,0)</f>
        <v>0</v>
      </c>
      <c r="I386" s="3">
        <f t="shared" ref="I386:I449" si="20">$E386*1.1</f>
        <v>0</v>
      </c>
    </row>
    <row r="387" spans="4:9" x14ac:dyDescent="0.35">
      <c r="D387" s="2"/>
      <c r="E387" s="2"/>
      <c r="F387" s="3"/>
      <c r="G387" s="3">
        <f t="shared" si="18"/>
        <v>0</v>
      </c>
      <c r="H387" s="3">
        <f t="shared" si="19"/>
        <v>0</v>
      </c>
      <c r="I387" s="3">
        <f t="shared" si="20"/>
        <v>0</v>
      </c>
    </row>
    <row r="388" spans="4:9" x14ac:dyDescent="0.35">
      <c r="D388" s="2"/>
      <c r="E388" s="2"/>
      <c r="F388" s="3"/>
      <c r="G388" s="3">
        <f t="shared" si="18"/>
        <v>0</v>
      </c>
      <c r="H388" s="3">
        <f t="shared" si="19"/>
        <v>0</v>
      </c>
      <c r="I388" s="3">
        <f t="shared" si="20"/>
        <v>0</v>
      </c>
    </row>
    <row r="389" spans="4:9" x14ac:dyDescent="0.35">
      <c r="D389" s="2"/>
      <c r="E389" s="2"/>
      <c r="F389" s="3"/>
      <c r="G389" s="3">
        <f t="shared" si="18"/>
        <v>0</v>
      </c>
      <c r="H389" s="3">
        <f t="shared" si="19"/>
        <v>0</v>
      </c>
      <c r="I389" s="3">
        <f t="shared" si="20"/>
        <v>0</v>
      </c>
    </row>
    <row r="390" spans="4:9" x14ac:dyDescent="0.35">
      <c r="D390" s="2"/>
      <c r="E390" s="2"/>
      <c r="F390" s="3"/>
      <c r="G390" s="3">
        <f t="shared" si="18"/>
        <v>0</v>
      </c>
      <c r="H390" s="3">
        <f t="shared" si="19"/>
        <v>0</v>
      </c>
      <c r="I390" s="3">
        <f t="shared" si="20"/>
        <v>0</v>
      </c>
    </row>
    <row r="391" spans="4:9" x14ac:dyDescent="0.35">
      <c r="D391" s="2"/>
      <c r="E391" s="2"/>
      <c r="F391" s="3"/>
      <c r="G391" s="3">
        <f t="shared" si="18"/>
        <v>0</v>
      </c>
      <c r="H391" s="3">
        <f t="shared" si="19"/>
        <v>0</v>
      </c>
      <c r="I391" s="3">
        <f t="shared" si="20"/>
        <v>0</v>
      </c>
    </row>
    <row r="392" spans="4:9" x14ac:dyDescent="0.35">
      <c r="D392" s="2"/>
      <c r="E392" s="2"/>
      <c r="F392" s="3"/>
      <c r="G392" s="3">
        <f t="shared" si="18"/>
        <v>0</v>
      </c>
      <c r="H392" s="3">
        <f t="shared" si="19"/>
        <v>0</v>
      </c>
      <c r="I392" s="3">
        <f t="shared" si="20"/>
        <v>0</v>
      </c>
    </row>
    <row r="393" spans="4:9" x14ac:dyDescent="0.35">
      <c r="D393" s="2"/>
      <c r="E393" s="2"/>
      <c r="F393" s="3"/>
      <c r="G393" s="3">
        <f t="shared" si="18"/>
        <v>0</v>
      </c>
      <c r="H393" s="3">
        <f t="shared" si="19"/>
        <v>0</v>
      </c>
      <c r="I393" s="3">
        <f t="shared" si="20"/>
        <v>0</v>
      </c>
    </row>
    <row r="394" spans="4:9" x14ac:dyDescent="0.35">
      <c r="D394" s="2"/>
      <c r="E394" s="2"/>
      <c r="F394" s="3"/>
      <c r="G394" s="3">
        <f t="shared" si="18"/>
        <v>0</v>
      </c>
      <c r="H394" s="3">
        <f t="shared" si="19"/>
        <v>0</v>
      </c>
      <c r="I394" s="3">
        <f t="shared" si="20"/>
        <v>0</v>
      </c>
    </row>
    <row r="395" spans="4:9" x14ac:dyDescent="0.35">
      <c r="D395" s="2"/>
      <c r="E395" s="2"/>
      <c r="F395" s="3"/>
      <c r="G395" s="3">
        <f t="shared" si="18"/>
        <v>0</v>
      </c>
      <c r="H395" s="3">
        <f t="shared" si="19"/>
        <v>0</v>
      </c>
      <c r="I395" s="3">
        <f t="shared" si="20"/>
        <v>0</v>
      </c>
    </row>
    <row r="396" spans="4:9" x14ac:dyDescent="0.35">
      <c r="D396" s="2"/>
      <c r="E396" s="2"/>
      <c r="F396" s="3"/>
      <c r="G396" s="3">
        <f t="shared" si="18"/>
        <v>0</v>
      </c>
      <c r="H396" s="3">
        <f t="shared" si="19"/>
        <v>0</v>
      </c>
      <c r="I396" s="3">
        <f t="shared" si="20"/>
        <v>0</v>
      </c>
    </row>
    <row r="397" spans="4:9" x14ac:dyDescent="0.35">
      <c r="D397" s="2"/>
      <c r="E397" s="2"/>
      <c r="F397" s="3"/>
      <c r="G397" s="3">
        <f t="shared" si="18"/>
        <v>0</v>
      </c>
      <c r="H397" s="3">
        <f t="shared" si="19"/>
        <v>0</v>
      </c>
      <c r="I397" s="3">
        <f t="shared" si="20"/>
        <v>0</v>
      </c>
    </row>
    <row r="398" spans="4:9" x14ac:dyDescent="0.35">
      <c r="D398" s="2"/>
      <c r="E398" s="2"/>
      <c r="F398" s="3"/>
      <c r="G398" s="3">
        <f t="shared" si="18"/>
        <v>0</v>
      </c>
      <c r="H398" s="3">
        <f t="shared" si="19"/>
        <v>0</v>
      </c>
      <c r="I398" s="3">
        <f t="shared" si="20"/>
        <v>0</v>
      </c>
    </row>
    <row r="399" spans="4:9" x14ac:dyDescent="0.35">
      <c r="D399" s="2"/>
      <c r="E399" s="2"/>
      <c r="F399" s="3"/>
      <c r="G399" s="3">
        <f t="shared" si="18"/>
        <v>0</v>
      </c>
      <c r="H399" s="3">
        <f t="shared" si="19"/>
        <v>0</v>
      </c>
      <c r="I399" s="3">
        <f t="shared" si="20"/>
        <v>0</v>
      </c>
    </row>
    <row r="400" spans="4:9" x14ac:dyDescent="0.35">
      <c r="D400" s="2"/>
      <c r="E400" s="2"/>
      <c r="F400" s="3"/>
      <c r="G400" s="3">
        <f t="shared" si="18"/>
        <v>0</v>
      </c>
      <c r="H400" s="3">
        <f t="shared" si="19"/>
        <v>0</v>
      </c>
      <c r="I400" s="3">
        <f t="shared" si="20"/>
        <v>0</v>
      </c>
    </row>
    <row r="401" spans="4:9" x14ac:dyDescent="0.35">
      <c r="D401" s="2"/>
      <c r="E401" s="2"/>
      <c r="F401" s="3"/>
      <c r="G401" s="3">
        <f t="shared" si="18"/>
        <v>0</v>
      </c>
      <c r="H401" s="3">
        <f t="shared" si="19"/>
        <v>0</v>
      </c>
      <c r="I401" s="3">
        <f t="shared" si="20"/>
        <v>0</v>
      </c>
    </row>
    <row r="402" spans="4:9" x14ac:dyDescent="0.35">
      <c r="D402" s="2"/>
      <c r="E402" s="2"/>
      <c r="F402" s="3"/>
      <c r="G402" s="3">
        <f t="shared" si="18"/>
        <v>0</v>
      </c>
      <c r="H402" s="3">
        <f t="shared" si="19"/>
        <v>0</v>
      </c>
      <c r="I402" s="3">
        <f t="shared" si="20"/>
        <v>0</v>
      </c>
    </row>
    <row r="403" spans="4:9" x14ac:dyDescent="0.35">
      <c r="D403" s="2"/>
      <c r="E403" s="2"/>
      <c r="F403" s="3"/>
      <c r="G403" s="3">
        <f t="shared" si="18"/>
        <v>0</v>
      </c>
      <c r="H403" s="3">
        <f t="shared" si="19"/>
        <v>0</v>
      </c>
      <c r="I403" s="3">
        <f t="shared" si="20"/>
        <v>0</v>
      </c>
    </row>
    <row r="404" spans="4:9" x14ac:dyDescent="0.35">
      <c r="D404" s="2"/>
      <c r="E404" s="2"/>
      <c r="F404" s="3"/>
      <c r="G404" s="3">
        <f t="shared" si="18"/>
        <v>0</v>
      </c>
      <c r="H404" s="3">
        <f t="shared" si="19"/>
        <v>0</v>
      </c>
      <c r="I404" s="3">
        <f t="shared" si="20"/>
        <v>0</v>
      </c>
    </row>
    <row r="405" spans="4:9" x14ac:dyDescent="0.35">
      <c r="D405" s="2"/>
      <c r="E405" s="2"/>
      <c r="F405" s="3"/>
      <c r="G405" s="3">
        <f t="shared" si="18"/>
        <v>0</v>
      </c>
      <c r="H405" s="3">
        <f t="shared" si="19"/>
        <v>0</v>
      </c>
      <c r="I405" s="3">
        <f t="shared" si="20"/>
        <v>0</v>
      </c>
    </row>
    <row r="406" spans="4:9" x14ac:dyDescent="0.35">
      <c r="D406" s="2"/>
      <c r="E406" s="2"/>
      <c r="F406" s="3"/>
      <c r="G406" s="3">
        <f t="shared" si="18"/>
        <v>0</v>
      </c>
      <c r="H406" s="3">
        <f t="shared" si="19"/>
        <v>0</v>
      </c>
      <c r="I406" s="3">
        <f t="shared" si="20"/>
        <v>0</v>
      </c>
    </row>
    <row r="407" spans="4:9" x14ac:dyDescent="0.35">
      <c r="D407" s="2"/>
      <c r="E407" s="2"/>
      <c r="F407" s="3"/>
      <c r="G407" s="3">
        <f t="shared" si="18"/>
        <v>0</v>
      </c>
      <c r="H407" s="3">
        <f t="shared" si="19"/>
        <v>0</v>
      </c>
      <c r="I407" s="3">
        <f t="shared" si="20"/>
        <v>0</v>
      </c>
    </row>
    <row r="408" spans="4:9" x14ac:dyDescent="0.35">
      <c r="D408" s="2"/>
      <c r="E408" s="2"/>
      <c r="F408" s="3"/>
      <c r="G408" s="3">
        <f t="shared" si="18"/>
        <v>0</v>
      </c>
      <c r="H408" s="3">
        <f t="shared" si="19"/>
        <v>0</v>
      </c>
      <c r="I408" s="3">
        <f t="shared" si="20"/>
        <v>0</v>
      </c>
    </row>
    <row r="409" spans="4:9" x14ac:dyDescent="0.35">
      <c r="D409" s="2"/>
      <c r="E409" s="2"/>
      <c r="F409" s="3"/>
      <c r="G409" s="3">
        <f t="shared" si="18"/>
        <v>0</v>
      </c>
      <c r="H409" s="3">
        <f t="shared" si="19"/>
        <v>0</v>
      </c>
      <c r="I409" s="3">
        <f t="shared" si="20"/>
        <v>0</v>
      </c>
    </row>
    <row r="410" spans="4:9" x14ac:dyDescent="0.35">
      <c r="D410" s="2"/>
      <c r="E410" s="2"/>
      <c r="F410" s="3"/>
      <c r="G410" s="3">
        <f t="shared" si="18"/>
        <v>0</v>
      </c>
      <c r="H410" s="3">
        <f t="shared" si="19"/>
        <v>0</v>
      </c>
      <c r="I410" s="3">
        <f t="shared" si="20"/>
        <v>0</v>
      </c>
    </row>
    <row r="411" spans="4:9" x14ac:dyDescent="0.35">
      <c r="D411" s="2"/>
      <c r="E411" s="2"/>
      <c r="F411" s="3"/>
      <c r="G411" s="3">
        <f t="shared" si="18"/>
        <v>0</v>
      </c>
      <c r="H411" s="3">
        <f t="shared" si="19"/>
        <v>0</v>
      </c>
      <c r="I411" s="3">
        <f t="shared" si="20"/>
        <v>0</v>
      </c>
    </row>
    <row r="412" spans="4:9" x14ac:dyDescent="0.35">
      <c r="D412" s="2"/>
      <c r="E412" s="2"/>
      <c r="F412" s="3"/>
      <c r="G412" s="3">
        <f t="shared" si="18"/>
        <v>0</v>
      </c>
      <c r="H412" s="3">
        <f t="shared" si="19"/>
        <v>0</v>
      </c>
      <c r="I412" s="3">
        <f t="shared" si="20"/>
        <v>0</v>
      </c>
    </row>
    <row r="413" spans="4:9" x14ac:dyDescent="0.35">
      <c r="D413" s="2"/>
      <c r="E413" s="2"/>
      <c r="F413" s="3"/>
      <c r="G413" s="3">
        <f t="shared" si="18"/>
        <v>0</v>
      </c>
      <c r="H413" s="3">
        <f t="shared" si="19"/>
        <v>0</v>
      </c>
      <c r="I413" s="3">
        <f t="shared" si="20"/>
        <v>0</v>
      </c>
    </row>
    <row r="414" spans="4:9" x14ac:dyDescent="0.35">
      <c r="D414" s="2"/>
      <c r="E414" s="2"/>
      <c r="F414" s="3"/>
      <c r="G414" s="3">
        <f t="shared" si="18"/>
        <v>0</v>
      </c>
      <c r="H414" s="3">
        <f t="shared" si="19"/>
        <v>0</v>
      </c>
      <c r="I414" s="3">
        <f t="shared" si="20"/>
        <v>0</v>
      </c>
    </row>
    <row r="415" spans="4:9" x14ac:dyDescent="0.35">
      <c r="D415" s="2"/>
      <c r="E415" s="2"/>
      <c r="F415" s="3"/>
      <c r="G415" s="3">
        <f t="shared" si="18"/>
        <v>0</v>
      </c>
      <c r="H415" s="3">
        <f t="shared" si="19"/>
        <v>0</v>
      </c>
      <c r="I415" s="3">
        <f t="shared" si="20"/>
        <v>0</v>
      </c>
    </row>
    <row r="416" spans="4:9" x14ac:dyDescent="0.35">
      <c r="D416" s="2"/>
      <c r="E416" s="2"/>
      <c r="F416" s="3"/>
      <c r="G416" s="3">
        <f t="shared" si="18"/>
        <v>0</v>
      </c>
      <c r="H416" s="3">
        <f t="shared" si="19"/>
        <v>0</v>
      </c>
      <c r="I416" s="3">
        <f t="shared" si="20"/>
        <v>0</v>
      </c>
    </row>
    <row r="417" spans="4:9" x14ac:dyDescent="0.35">
      <c r="D417" s="2"/>
      <c r="E417" s="2"/>
      <c r="F417" s="3"/>
      <c r="G417" s="3">
        <f t="shared" si="18"/>
        <v>0</v>
      </c>
      <c r="H417" s="3">
        <f t="shared" si="19"/>
        <v>0</v>
      </c>
      <c r="I417" s="3">
        <f t="shared" si="20"/>
        <v>0</v>
      </c>
    </row>
    <row r="418" spans="4:9" x14ac:dyDescent="0.35">
      <c r="D418" s="2"/>
      <c r="E418" s="2"/>
      <c r="F418" s="3"/>
      <c r="G418" s="3">
        <f t="shared" si="18"/>
        <v>0</v>
      </c>
      <c r="H418" s="3">
        <f t="shared" si="19"/>
        <v>0</v>
      </c>
      <c r="I418" s="3">
        <f t="shared" si="20"/>
        <v>0</v>
      </c>
    </row>
    <row r="419" spans="4:9" x14ac:dyDescent="0.35">
      <c r="D419" s="2"/>
      <c r="E419" s="2"/>
      <c r="F419" s="3"/>
      <c r="G419" s="3">
        <f t="shared" si="18"/>
        <v>0</v>
      </c>
      <c r="H419" s="3">
        <f t="shared" si="19"/>
        <v>0</v>
      </c>
      <c r="I419" s="3">
        <f t="shared" si="20"/>
        <v>0</v>
      </c>
    </row>
    <row r="420" spans="4:9" x14ac:dyDescent="0.35">
      <c r="D420" s="2"/>
      <c r="E420" s="2"/>
      <c r="F420" s="3"/>
      <c r="G420" s="3">
        <f t="shared" si="18"/>
        <v>0</v>
      </c>
      <c r="H420" s="3">
        <f t="shared" si="19"/>
        <v>0</v>
      </c>
      <c r="I420" s="3">
        <f t="shared" si="20"/>
        <v>0</v>
      </c>
    </row>
    <row r="421" spans="4:9" x14ac:dyDescent="0.35">
      <c r="D421" s="2"/>
      <c r="E421" s="2"/>
      <c r="F421" s="3"/>
      <c r="G421" s="3">
        <f t="shared" si="18"/>
        <v>0</v>
      </c>
      <c r="H421" s="3">
        <f t="shared" si="19"/>
        <v>0</v>
      </c>
      <c r="I421" s="3">
        <f t="shared" si="20"/>
        <v>0</v>
      </c>
    </row>
    <row r="422" spans="4:9" x14ac:dyDescent="0.35">
      <c r="D422" s="2"/>
      <c r="E422" s="2"/>
      <c r="F422" s="3"/>
      <c r="G422" s="3">
        <f t="shared" si="18"/>
        <v>0</v>
      </c>
      <c r="H422" s="3">
        <f t="shared" si="19"/>
        <v>0</v>
      </c>
      <c r="I422" s="3">
        <f t="shared" si="20"/>
        <v>0</v>
      </c>
    </row>
    <row r="423" spans="4:9" x14ac:dyDescent="0.35">
      <c r="D423" s="2"/>
      <c r="E423" s="2"/>
      <c r="F423" s="3"/>
      <c r="G423" s="3">
        <f t="shared" si="18"/>
        <v>0</v>
      </c>
      <c r="H423" s="3">
        <f t="shared" si="19"/>
        <v>0</v>
      </c>
      <c r="I423" s="3">
        <f t="shared" si="20"/>
        <v>0</v>
      </c>
    </row>
    <row r="424" spans="4:9" x14ac:dyDescent="0.35">
      <c r="D424" s="2"/>
      <c r="E424" s="2"/>
      <c r="F424" s="3"/>
      <c r="G424" s="3">
        <f t="shared" si="18"/>
        <v>0</v>
      </c>
      <c r="H424" s="3">
        <f t="shared" si="19"/>
        <v>0</v>
      </c>
      <c r="I424" s="3">
        <f t="shared" si="20"/>
        <v>0</v>
      </c>
    </row>
    <row r="425" spans="4:9" x14ac:dyDescent="0.35">
      <c r="D425" s="2"/>
      <c r="E425" s="2"/>
      <c r="F425" s="3"/>
      <c r="G425" s="3">
        <f t="shared" si="18"/>
        <v>0</v>
      </c>
      <c r="H425" s="3">
        <f t="shared" si="19"/>
        <v>0</v>
      </c>
      <c r="I425" s="3">
        <f t="shared" si="20"/>
        <v>0</v>
      </c>
    </row>
    <row r="426" spans="4:9" x14ac:dyDescent="0.35">
      <c r="D426" s="2"/>
      <c r="E426" s="2"/>
      <c r="F426" s="3"/>
      <c r="G426" s="3">
        <f t="shared" si="18"/>
        <v>0</v>
      </c>
      <c r="H426" s="3">
        <f t="shared" si="19"/>
        <v>0</v>
      </c>
      <c r="I426" s="3">
        <f t="shared" si="20"/>
        <v>0</v>
      </c>
    </row>
    <row r="427" spans="4:9" x14ac:dyDescent="0.35">
      <c r="D427" s="2"/>
      <c r="E427" s="2"/>
      <c r="F427" s="3"/>
      <c r="G427" s="3">
        <f t="shared" si="18"/>
        <v>0</v>
      </c>
      <c r="H427" s="3">
        <f t="shared" si="19"/>
        <v>0</v>
      </c>
      <c r="I427" s="3">
        <f t="shared" si="20"/>
        <v>0</v>
      </c>
    </row>
    <row r="428" spans="4:9" x14ac:dyDescent="0.35">
      <c r="D428" s="2"/>
      <c r="E428" s="2"/>
      <c r="F428" s="3"/>
      <c r="G428" s="3">
        <f t="shared" si="18"/>
        <v>0</v>
      </c>
      <c r="H428" s="3">
        <f t="shared" si="19"/>
        <v>0</v>
      </c>
      <c r="I428" s="3">
        <f t="shared" si="20"/>
        <v>0</v>
      </c>
    </row>
    <row r="429" spans="4:9" x14ac:dyDescent="0.35">
      <c r="D429" s="2"/>
      <c r="E429" s="2"/>
      <c r="F429" s="3"/>
      <c r="G429" s="3">
        <f t="shared" si="18"/>
        <v>0</v>
      </c>
      <c r="H429" s="3">
        <f t="shared" si="19"/>
        <v>0</v>
      </c>
      <c r="I429" s="3">
        <f t="shared" si="20"/>
        <v>0</v>
      </c>
    </row>
    <row r="430" spans="4:9" x14ac:dyDescent="0.35">
      <c r="D430" s="2"/>
      <c r="E430" s="2"/>
      <c r="F430" s="3"/>
      <c r="G430" s="3">
        <f t="shared" si="18"/>
        <v>0</v>
      </c>
      <c r="H430" s="3">
        <f t="shared" si="19"/>
        <v>0</v>
      </c>
      <c r="I430" s="3">
        <f t="shared" si="20"/>
        <v>0</v>
      </c>
    </row>
    <row r="431" spans="4:9" x14ac:dyDescent="0.35">
      <c r="D431" s="2"/>
      <c r="E431" s="2"/>
      <c r="F431" s="3"/>
      <c r="G431" s="3">
        <f t="shared" si="18"/>
        <v>0</v>
      </c>
      <c r="H431" s="3">
        <f t="shared" si="19"/>
        <v>0</v>
      </c>
      <c r="I431" s="3">
        <f t="shared" si="20"/>
        <v>0</v>
      </c>
    </row>
    <row r="432" spans="4:9" x14ac:dyDescent="0.35">
      <c r="D432" s="2"/>
      <c r="E432" s="2"/>
      <c r="F432" s="3"/>
      <c r="G432" s="3">
        <f t="shared" si="18"/>
        <v>0</v>
      </c>
      <c r="H432" s="3">
        <f t="shared" si="19"/>
        <v>0</v>
      </c>
      <c r="I432" s="3">
        <f t="shared" si="20"/>
        <v>0</v>
      </c>
    </row>
    <row r="433" spans="4:9" x14ac:dyDescent="0.35">
      <c r="D433" s="2"/>
      <c r="E433" s="2"/>
      <c r="F433" s="3"/>
      <c r="G433" s="3">
        <f t="shared" si="18"/>
        <v>0</v>
      </c>
      <c r="H433" s="3">
        <f t="shared" si="19"/>
        <v>0</v>
      </c>
      <c r="I433" s="3">
        <f t="shared" si="20"/>
        <v>0</v>
      </c>
    </row>
    <row r="434" spans="4:9" x14ac:dyDescent="0.35">
      <c r="D434" s="2"/>
      <c r="E434" s="2"/>
      <c r="F434" s="3"/>
      <c r="G434" s="3">
        <f t="shared" si="18"/>
        <v>0</v>
      </c>
      <c r="H434" s="3">
        <f t="shared" si="19"/>
        <v>0</v>
      </c>
      <c r="I434" s="3">
        <f t="shared" si="20"/>
        <v>0</v>
      </c>
    </row>
    <row r="435" spans="4:9" x14ac:dyDescent="0.35">
      <c r="D435" s="2"/>
      <c r="E435" s="2"/>
      <c r="F435" s="3"/>
      <c r="G435" s="3">
        <f t="shared" si="18"/>
        <v>0</v>
      </c>
      <c r="H435" s="3">
        <f t="shared" si="19"/>
        <v>0</v>
      </c>
      <c r="I435" s="3">
        <f t="shared" si="20"/>
        <v>0</v>
      </c>
    </row>
    <row r="436" spans="4:9" x14ac:dyDescent="0.35">
      <c r="D436" s="2"/>
      <c r="E436" s="2"/>
      <c r="F436" s="3"/>
      <c r="G436" s="3">
        <f t="shared" si="18"/>
        <v>0</v>
      </c>
      <c r="H436" s="3">
        <f t="shared" si="19"/>
        <v>0</v>
      </c>
      <c r="I436" s="3">
        <f t="shared" si="20"/>
        <v>0</v>
      </c>
    </row>
    <row r="437" spans="4:9" x14ac:dyDescent="0.35">
      <c r="D437" s="2"/>
      <c r="E437" s="2"/>
      <c r="F437" s="3"/>
      <c r="G437" s="3">
        <f t="shared" si="18"/>
        <v>0</v>
      </c>
      <c r="H437" s="3">
        <f t="shared" si="19"/>
        <v>0</v>
      </c>
      <c r="I437" s="3">
        <f t="shared" si="20"/>
        <v>0</v>
      </c>
    </row>
    <row r="438" spans="4:9" x14ac:dyDescent="0.35">
      <c r="D438" s="2"/>
      <c r="E438" s="2"/>
      <c r="F438" s="3"/>
      <c r="G438" s="3">
        <f t="shared" si="18"/>
        <v>0</v>
      </c>
      <c r="H438" s="3">
        <f t="shared" si="19"/>
        <v>0</v>
      </c>
      <c r="I438" s="3">
        <f t="shared" si="20"/>
        <v>0</v>
      </c>
    </row>
    <row r="439" spans="4:9" x14ac:dyDescent="0.35">
      <c r="D439" s="2"/>
      <c r="E439" s="2"/>
      <c r="F439" s="3"/>
      <c r="G439" s="3">
        <f t="shared" si="18"/>
        <v>0</v>
      </c>
      <c r="H439" s="3">
        <f t="shared" si="19"/>
        <v>0</v>
      </c>
      <c r="I439" s="3">
        <f t="shared" si="20"/>
        <v>0</v>
      </c>
    </row>
    <row r="440" spans="4:9" x14ac:dyDescent="0.35">
      <c r="D440" s="2"/>
      <c r="E440" s="2"/>
      <c r="F440" s="3"/>
      <c r="G440" s="3">
        <f t="shared" si="18"/>
        <v>0</v>
      </c>
      <c r="H440" s="3">
        <f t="shared" si="19"/>
        <v>0</v>
      </c>
      <c r="I440" s="3">
        <f t="shared" si="20"/>
        <v>0</v>
      </c>
    </row>
    <row r="441" spans="4:9" x14ac:dyDescent="0.35">
      <c r="D441" s="2"/>
      <c r="E441" s="2"/>
      <c r="F441" s="3"/>
      <c r="G441" s="3">
        <f t="shared" si="18"/>
        <v>0</v>
      </c>
      <c r="H441" s="3">
        <f t="shared" si="19"/>
        <v>0</v>
      </c>
      <c r="I441" s="3">
        <f t="shared" si="20"/>
        <v>0</v>
      </c>
    </row>
    <row r="442" spans="4:9" x14ac:dyDescent="0.35">
      <c r="D442" s="2"/>
      <c r="E442" s="2"/>
      <c r="F442" s="3"/>
      <c r="G442" s="3">
        <f t="shared" si="18"/>
        <v>0</v>
      </c>
      <c r="H442" s="3">
        <f t="shared" si="19"/>
        <v>0</v>
      </c>
      <c r="I442" s="3">
        <f t="shared" si="20"/>
        <v>0</v>
      </c>
    </row>
    <row r="443" spans="4:9" x14ac:dyDescent="0.35">
      <c r="D443" s="2"/>
      <c r="E443" s="2"/>
      <c r="F443" s="3"/>
      <c r="G443" s="3">
        <f t="shared" si="18"/>
        <v>0</v>
      </c>
      <c r="H443" s="3">
        <f t="shared" si="19"/>
        <v>0</v>
      </c>
      <c r="I443" s="3">
        <f t="shared" si="20"/>
        <v>0</v>
      </c>
    </row>
    <row r="444" spans="4:9" x14ac:dyDescent="0.35">
      <c r="D444" s="2"/>
      <c r="E444" s="2"/>
      <c r="F444" s="3"/>
      <c r="G444" s="3">
        <f t="shared" si="18"/>
        <v>0</v>
      </c>
      <c r="H444" s="3">
        <f t="shared" si="19"/>
        <v>0</v>
      </c>
      <c r="I444" s="3">
        <f t="shared" si="20"/>
        <v>0</v>
      </c>
    </row>
    <row r="445" spans="4:9" x14ac:dyDescent="0.35">
      <c r="D445" s="2"/>
      <c r="E445" s="2"/>
      <c r="F445" s="3"/>
      <c r="G445" s="3">
        <f t="shared" si="18"/>
        <v>0</v>
      </c>
      <c r="H445" s="3">
        <f t="shared" si="19"/>
        <v>0</v>
      </c>
      <c r="I445" s="3">
        <f t="shared" si="20"/>
        <v>0</v>
      </c>
    </row>
    <row r="446" spans="4:9" x14ac:dyDescent="0.35">
      <c r="D446" s="2"/>
      <c r="E446" s="2"/>
      <c r="F446" s="3"/>
      <c r="G446" s="3">
        <f t="shared" si="18"/>
        <v>0</v>
      </c>
      <c r="H446" s="3">
        <f t="shared" si="19"/>
        <v>0</v>
      </c>
      <c r="I446" s="3">
        <f t="shared" si="20"/>
        <v>0</v>
      </c>
    </row>
    <row r="447" spans="4:9" x14ac:dyDescent="0.35">
      <c r="D447" s="2"/>
      <c r="E447" s="2"/>
      <c r="F447" s="3"/>
      <c r="G447" s="3">
        <f t="shared" si="18"/>
        <v>0</v>
      </c>
      <c r="H447" s="3">
        <f t="shared" si="19"/>
        <v>0</v>
      </c>
      <c r="I447" s="3">
        <f t="shared" si="20"/>
        <v>0</v>
      </c>
    </row>
    <row r="448" spans="4:9" x14ac:dyDescent="0.35">
      <c r="D448" s="2"/>
      <c r="E448" s="2"/>
      <c r="F448" s="3"/>
      <c r="G448" s="3">
        <f t="shared" si="18"/>
        <v>0</v>
      </c>
      <c r="H448" s="3">
        <f t="shared" si="19"/>
        <v>0</v>
      </c>
      <c r="I448" s="3">
        <f t="shared" si="20"/>
        <v>0</v>
      </c>
    </row>
    <row r="449" spans="4:9" x14ac:dyDescent="0.35">
      <c r="D449" s="2"/>
      <c r="E449" s="2"/>
      <c r="F449" s="3"/>
      <c r="G449" s="3">
        <f t="shared" si="18"/>
        <v>0</v>
      </c>
      <c r="H449" s="3">
        <f t="shared" si="19"/>
        <v>0</v>
      </c>
      <c r="I449" s="3">
        <f t="shared" si="20"/>
        <v>0</v>
      </c>
    </row>
    <row r="450" spans="4:9" x14ac:dyDescent="0.35">
      <c r="D450" s="2"/>
      <c r="E450" s="2"/>
      <c r="F450" s="3"/>
      <c r="G450" s="3">
        <f t="shared" ref="G450:G513" si="21">IF($F450&gt;0,$E450/(1-$F450),0)</f>
        <v>0</v>
      </c>
      <c r="H450" s="3">
        <f t="shared" ref="H450:H513" si="22">IF($D450&gt;0,$G450/$D450,0)</f>
        <v>0</v>
      </c>
      <c r="I450" s="3">
        <f t="shared" ref="I450:I513" si="23">$E450*1.1</f>
        <v>0</v>
      </c>
    </row>
    <row r="451" spans="4:9" x14ac:dyDescent="0.35">
      <c r="D451" s="2"/>
      <c r="E451" s="2"/>
      <c r="F451" s="3"/>
      <c r="G451" s="3">
        <f t="shared" si="21"/>
        <v>0</v>
      </c>
      <c r="H451" s="3">
        <f t="shared" si="22"/>
        <v>0</v>
      </c>
      <c r="I451" s="3">
        <f t="shared" si="23"/>
        <v>0</v>
      </c>
    </row>
    <row r="452" spans="4:9" x14ac:dyDescent="0.35">
      <c r="D452" s="2"/>
      <c r="E452" s="2"/>
      <c r="F452" s="3"/>
      <c r="G452" s="3">
        <f t="shared" si="21"/>
        <v>0</v>
      </c>
      <c r="H452" s="3">
        <f t="shared" si="22"/>
        <v>0</v>
      </c>
      <c r="I452" s="3">
        <f t="shared" si="23"/>
        <v>0</v>
      </c>
    </row>
    <row r="453" spans="4:9" x14ac:dyDescent="0.35">
      <c r="D453" s="2"/>
      <c r="E453" s="2"/>
      <c r="F453" s="3"/>
      <c r="G453" s="3">
        <f t="shared" si="21"/>
        <v>0</v>
      </c>
      <c r="H453" s="3">
        <f t="shared" si="22"/>
        <v>0</v>
      </c>
      <c r="I453" s="3">
        <f t="shared" si="23"/>
        <v>0</v>
      </c>
    </row>
    <row r="454" spans="4:9" x14ac:dyDescent="0.35">
      <c r="D454" s="2"/>
      <c r="E454" s="2"/>
      <c r="F454" s="3"/>
      <c r="G454" s="3">
        <f t="shared" si="21"/>
        <v>0</v>
      </c>
      <c r="H454" s="3">
        <f t="shared" si="22"/>
        <v>0</v>
      </c>
      <c r="I454" s="3">
        <f t="shared" si="23"/>
        <v>0</v>
      </c>
    </row>
    <row r="455" spans="4:9" x14ac:dyDescent="0.35">
      <c r="D455" s="2"/>
      <c r="E455" s="2"/>
      <c r="F455" s="3"/>
      <c r="G455" s="3">
        <f t="shared" si="21"/>
        <v>0</v>
      </c>
      <c r="H455" s="3">
        <f t="shared" si="22"/>
        <v>0</v>
      </c>
      <c r="I455" s="3">
        <f t="shared" si="23"/>
        <v>0</v>
      </c>
    </row>
    <row r="456" spans="4:9" x14ac:dyDescent="0.35">
      <c r="D456" s="2"/>
      <c r="E456" s="2"/>
      <c r="F456" s="3"/>
      <c r="G456" s="3">
        <f t="shared" si="21"/>
        <v>0</v>
      </c>
      <c r="H456" s="3">
        <f t="shared" si="22"/>
        <v>0</v>
      </c>
      <c r="I456" s="3">
        <f t="shared" si="23"/>
        <v>0</v>
      </c>
    </row>
    <row r="457" spans="4:9" x14ac:dyDescent="0.35">
      <c r="D457" s="2"/>
      <c r="E457" s="2"/>
      <c r="F457" s="3"/>
      <c r="G457" s="3">
        <f t="shared" si="21"/>
        <v>0</v>
      </c>
      <c r="H457" s="3">
        <f t="shared" si="22"/>
        <v>0</v>
      </c>
      <c r="I457" s="3">
        <f t="shared" si="23"/>
        <v>0</v>
      </c>
    </row>
    <row r="458" spans="4:9" x14ac:dyDescent="0.35">
      <c r="D458" s="2"/>
      <c r="E458" s="2"/>
      <c r="F458" s="3"/>
      <c r="G458" s="3">
        <f t="shared" si="21"/>
        <v>0</v>
      </c>
      <c r="H458" s="3">
        <f t="shared" si="22"/>
        <v>0</v>
      </c>
      <c r="I458" s="3">
        <f t="shared" si="23"/>
        <v>0</v>
      </c>
    </row>
    <row r="459" spans="4:9" x14ac:dyDescent="0.35">
      <c r="D459" s="2"/>
      <c r="E459" s="2"/>
      <c r="F459" s="3"/>
      <c r="G459" s="3">
        <f t="shared" si="21"/>
        <v>0</v>
      </c>
      <c r="H459" s="3">
        <f t="shared" si="22"/>
        <v>0</v>
      </c>
      <c r="I459" s="3">
        <f t="shared" si="23"/>
        <v>0</v>
      </c>
    </row>
    <row r="460" spans="4:9" x14ac:dyDescent="0.35">
      <c r="D460" s="2"/>
      <c r="E460" s="2"/>
      <c r="F460" s="3"/>
      <c r="G460" s="3">
        <f t="shared" si="21"/>
        <v>0</v>
      </c>
      <c r="H460" s="3">
        <f t="shared" si="22"/>
        <v>0</v>
      </c>
      <c r="I460" s="3">
        <f t="shared" si="23"/>
        <v>0</v>
      </c>
    </row>
    <row r="461" spans="4:9" x14ac:dyDescent="0.35">
      <c r="D461" s="2"/>
      <c r="E461" s="2"/>
      <c r="F461" s="3"/>
      <c r="G461" s="3">
        <f t="shared" si="21"/>
        <v>0</v>
      </c>
      <c r="H461" s="3">
        <f t="shared" si="22"/>
        <v>0</v>
      </c>
      <c r="I461" s="3">
        <f t="shared" si="23"/>
        <v>0</v>
      </c>
    </row>
    <row r="462" spans="4:9" x14ac:dyDescent="0.35">
      <c r="D462" s="2"/>
      <c r="E462" s="2"/>
      <c r="F462" s="3"/>
      <c r="G462" s="3">
        <f t="shared" si="21"/>
        <v>0</v>
      </c>
      <c r="H462" s="3">
        <f t="shared" si="22"/>
        <v>0</v>
      </c>
      <c r="I462" s="3">
        <f t="shared" si="23"/>
        <v>0</v>
      </c>
    </row>
    <row r="463" spans="4:9" x14ac:dyDescent="0.35">
      <c r="D463" s="2"/>
      <c r="E463" s="2"/>
      <c r="F463" s="3"/>
      <c r="G463" s="3">
        <f t="shared" si="21"/>
        <v>0</v>
      </c>
      <c r="H463" s="3">
        <f t="shared" si="22"/>
        <v>0</v>
      </c>
      <c r="I463" s="3">
        <f t="shared" si="23"/>
        <v>0</v>
      </c>
    </row>
    <row r="464" spans="4:9" x14ac:dyDescent="0.35">
      <c r="D464" s="2"/>
      <c r="E464" s="2"/>
      <c r="F464" s="3"/>
      <c r="G464" s="3">
        <f t="shared" si="21"/>
        <v>0</v>
      </c>
      <c r="H464" s="3">
        <f t="shared" si="22"/>
        <v>0</v>
      </c>
      <c r="I464" s="3">
        <f t="shared" si="23"/>
        <v>0</v>
      </c>
    </row>
    <row r="465" spans="4:9" x14ac:dyDescent="0.35">
      <c r="D465" s="2"/>
      <c r="E465" s="2"/>
      <c r="F465" s="3"/>
      <c r="G465" s="3">
        <f t="shared" si="21"/>
        <v>0</v>
      </c>
      <c r="H465" s="3">
        <f t="shared" si="22"/>
        <v>0</v>
      </c>
      <c r="I465" s="3">
        <f t="shared" si="23"/>
        <v>0</v>
      </c>
    </row>
    <row r="466" spans="4:9" x14ac:dyDescent="0.35">
      <c r="D466" s="2"/>
      <c r="E466" s="2"/>
      <c r="F466" s="3"/>
      <c r="G466" s="3">
        <f t="shared" si="21"/>
        <v>0</v>
      </c>
      <c r="H466" s="3">
        <f t="shared" si="22"/>
        <v>0</v>
      </c>
      <c r="I466" s="3">
        <f t="shared" si="23"/>
        <v>0</v>
      </c>
    </row>
    <row r="467" spans="4:9" x14ac:dyDescent="0.35">
      <c r="D467" s="2"/>
      <c r="E467" s="2"/>
      <c r="F467" s="3"/>
      <c r="G467" s="3">
        <f t="shared" si="21"/>
        <v>0</v>
      </c>
      <c r="H467" s="3">
        <f t="shared" si="22"/>
        <v>0</v>
      </c>
      <c r="I467" s="3">
        <f t="shared" si="23"/>
        <v>0</v>
      </c>
    </row>
    <row r="468" spans="4:9" x14ac:dyDescent="0.35">
      <c r="D468" s="2"/>
      <c r="E468" s="2"/>
      <c r="F468" s="3"/>
      <c r="G468" s="3">
        <f t="shared" si="21"/>
        <v>0</v>
      </c>
      <c r="H468" s="3">
        <f t="shared" si="22"/>
        <v>0</v>
      </c>
      <c r="I468" s="3">
        <f t="shared" si="23"/>
        <v>0</v>
      </c>
    </row>
    <row r="469" spans="4:9" x14ac:dyDescent="0.35">
      <c r="D469" s="2"/>
      <c r="E469" s="2"/>
      <c r="F469" s="3"/>
      <c r="G469" s="3">
        <f t="shared" si="21"/>
        <v>0</v>
      </c>
      <c r="H469" s="3">
        <f t="shared" si="22"/>
        <v>0</v>
      </c>
      <c r="I469" s="3">
        <f t="shared" si="23"/>
        <v>0</v>
      </c>
    </row>
    <row r="470" spans="4:9" x14ac:dyDescent="0.35">
      <c r="D470" s="2"/>
      <c r="E470" s="2"/>
      <c r="F470" s="3"/>
      <c r="G470" s="3">
        <f t="shared" si="21"/>
        <v>0</v>
      </c>
      <c r="H470" s="3">
        <f t="shared" si="22"/>
        <v>0</v>
      </c>
      <c r="I470" s="3">
        <f t="shared" si="23"/>
        <v>0</v>
      </c>
    </row>
    <row r="471" spans="4:9" x14ac:dyDescent="0.35">
      <c r="D471" s="2"/>
      <c r="E471" s="2"/>
      <c r="F471" s="3"/>
      <c r="G471" s="3">
        <f t="shared" si="21"/>
        <v>0</v>
      </c>
      <c r="H471" s="3">
        <f t="shared" si="22"/>
        <v>0</v>
      </c>
      <c r="I471" s="3">
        <f t="shared" si="23"/>
        <v>0</v>
      </c>
    </row>
    <row r="472" spans="4:9" x14ac:dyDescent="0.35">
      <c r="D472" s="2"/>
      <c r="E472" s="2"/>
      <c r="F472" s="3"/>
      <c r="G472" s="3">
        <f t="shared" si="21"/>
        <v>0</v>
      </c>
      <c r="H472" s="3">
        <f t="shared" si="22"/>
        <v>0</v>
      </c>
      <c r="I472" s="3">
        <f t="shared" si="23"/>
        <v>0</v>
      </c>
    </row>
    <row r="473" spans="4:9" x14ac:dyDescent="0.35">
      <c r="D473" s="2"/>
      <c r="E473" s="2"/>
      <c r="F473" s="3"/>
      <c r="G473" s="3">
        <f t="shared" si="21"/>
        <v>0</v>
      </c>
      <c r="H473" s="3">
        <f t="shared" si="22"/>
        <v>0</v>
      </c>
      <c r="I473" s="3">
        <f t="shared" si="23"/>
        <v>0</v>
      </c>
    </row>
    <row r="474" spans="4:9" x14ac:dyDescent="0.35">
      <c r="D474" s="2"/>
      <c r="E474" s="2"/>
      <c r="F474" s="3"/>
      <c r="G474" s="3">
        <f t="shared" si="21"/>
        <v>0</v>
      </c>
      <c r="H474" s="3">
        <f t="shared" si="22"/>
        <v>0</v>
      </c>
      <c r="I474" s="3">
        <f t="shared" si="23"/>
        <v>0</v>
      </c>
    </row>
    <row r="475" spans="4:9" x14ac:dyDescent="0.35">
      <c r="D475" s="2"/>
      <c r="E475" s="2"/>
      <c r="F475" s="3"/>
      <c r="G475" s="3">
        <f t="shared" si="21"/>
        <v>0</v>
      </c>
      <c r="H475" s="3">
        <f t="shared" si="22"/>
        <v>0</v>
      </c>
      <c r="I475" s="3">
        <f t="shared" si="23"/>
        <v>0</v>
      </c>
    </row>
    <row r="476" spans="4:9" x14ac:dyDescent="0.35">
      <c r="D476" s="2"/>
      <c r="E476" s="2"/>
      <c r="F476" s="3"/>
      <c r="G476" s="3">
        <f t="shared" si="21"/>
        <v>0</v>
      </c>
      <c r="H476" s="3">
        <f t="shared" si="22"/>
        <v>0</v>
      </c>
      <c r="I476" s="3">
        <f t="shared" si="23"/>
        <v>0</v>
      </c>
    </row>
    <row r="477" spans="4:9" x14ac:dyDescent="0.35">
      <c r="D477" s="2"/>
      <c r="E477" s="2"/>
      <c r="F477" s="3"/>
      <c r="G477" s="3">
        <f t="shared" si="21"/>
        <v>0</v>
      </c>
      <c r="H477" s="3">
        <f t="shared" si="22"/>
        <v>0</v>
      </c>
      <c r="I477" s="3">
        <f t="shared" si="23"/>
        <v>0</v>
      </c>
    </row>
    <row r="478" spans="4:9" x14ac:dyDescent="0.35">
      <c r="D478" s="2"/>
      <c r="E478" s="2"/>
      <c r="F478" s="3"/>
      <c r="G478" s="3">
        <f t="shared" si="21"/>
        <v>0</v>
      </c>
      <c r="H478" s="3">
        <f t="shared" si="22"/>
        <v>0</v>
      </c>
      <c r="I478" s="3">
        <f t="shared" si="23"/>
        <v>0</v>
      </c>
    </row>
    <row r="479" spans="4:9" x14ac:dyDescent="0.35">
      <c r="D479" s="2"/>
      <c r="E479" s="2"/>
      <c r="F479" s="3"/>
      <c r="G479" s="3">
        <f t="shared" si="21"/>
        <v>0</v>
      </c>
      <c r="H479" s="3">
        <f t="shared" si="22"/>
        <v>0</v>
      </c>
      <c r="I479" s="3">
        <f t="shared" si="23"/>
        <v>0</v>
      </c>
    </row>
    <row r="480" spans="4:9" x14ac:dyDescent="0.35">
      <c r="D480" s="2"/>
      <c r="E480" s="2"/>
      <c r="F480" s="3"/>
      <c r="G480" s="3">
        <f t="shared" si="21"/>
        <v>0</v>
      </c>
      <c r="H480" s="3">
        <f t="shared" si="22"/>
        <v>0</v>
      </c>
      <c r="I480" s="3">
        <f t="shared" si="23"/>
        <v>0</v>
      </c>
    </row>
    <row r="481" spans="4:9" x14ac:dyDescent="0.35">
      <c r="D481" s="2"/>
      <c r="E481" s="2"/>
      <c r="F481" s="3"/>
      <c r="G481" s="3">
        <f t="shared" si="21"/>
        <v>0</v>
      </c>
      <c r="H481" s="3">
        <f t="shared" si="22"/>
        <v>0</v>
      </c>
      <c r="I481" s="3">
        <f t="shared" si="23"/>
        <v>0</v>
      </c>
    </row>
    <row r="482" spans="4:9" x14ac:dyDescent="0.35">
      <c r="D482" s="2"/>
      <c r="E482" s="2"/>
      <c r="F482" s="3"/>
      <c r="G482" s="3">
        <f t="shared" si="21"/>
        <v>0</v>
      </c>
      <c r="H482" s="3">
        <f t="shared" si="22"/>
        <v>0</v>
      </c>
      <c r="I482" s="3">
        <f t="shared" si="23"/>
        <v>0</v>
      </c>
    </row>
    <row r="483" spans="4:9" x14ac:dyDescent="0.35">
      <c r="D483" s="2"/>
      <c r="E483" s="2"/>
      <c r="F483" s="3"/>
      <c r="G483" s="3">
        <f t="shared" si="21"/>
        <v>0</v>
      </c>
      <c r="H483" s="3">
        <f t="shared" si="22"/>
        <v>0</v>
      </c>
      <c r="I483" s="3">
        <f t="shared" si="23"/>
        <v>0</v>
      </c>
    </row>
    <row r="484" spans="4:9" x14ac:dyDescent="0.35">
      <c r="D484" s="2"/>
      <c r="E484" s="2"/>
      <c r="F484" s="3"/>
      <c r="G484" s="3">
        <f t="shared" si="21"/>
        <v>0</v>
      </c>
      <c r="H484" s="3">
        <f t="shared" si="22"/>
        <v>0</v>
      </c>
      <c r="I484" s="3">
        <f t="shared" si="23"/>
        <v>0</v>
      </c>
    </row>
    <row r="485" spans="4:9" x14ac:dyDescent="0.35">
      <c r="D485" s="2"/>
      <c r="E485" s="2"/>
      <c r="F485" s="3"/>
      <c r="G485" s="3">
        <f t="shared" si="21"/>
        <v>0</v>
      </c>
      <c r="H485" s="3">
        <f t="shared" si="22"/>
        <v>0</v>
      </c>
      <c r="I485" s="3">
        <f t="shared" si="23"/>
        <v>0</v>
      </c>
    </row>
    <row r="486" spans="4:9" x14ac:dyDescent="0.35">
      <c r="D486" s="2"/>
      <c r="E486" s="2"/>
      <c r="F486" s="3"/>
      <c r="G486" s="3">
        <f t="shared" si="21"/>
        <v>0</v>
      </c>
      <c r="H486" s="3">
        <f t="shared" si="22"/>
        <v>0</v>
      </c>
      <c r="I486" s="3">
        <f t="shared" si="23"/>
        <v>0</v>
      </c>
    </row>
    <row r="487" spans="4:9" x14ac:dyDescent="0.35">
      <c r="D487" s="2"/>
      <c r="E487" s="2"/>
      <c r="F487" s="3"/>
      <c r="G487" s="3">
        <f t="shared" si="21"/>
        <v>0</v>
      </c>
      <c r="H487" s="3">
        <f t="shared" si="22"/>
        <v>0</v>
      </c>
      <c r="I487" s="3">
        <f t="shared" si="23"/>
        <v>0</v>
      </c>
    </row>
    <row r="488" spans="4:9" x14ac:dyDescent="0.35">
      <c r="D488" s="2"/>
      <c r="E488" s="2"/>
      <c r="F488" s="3"/>
      <c r="G488" s="3">
        <f t="shared" si="21"/>
        <v>0</v>
      </c>
      <c r="H488" s="3">
        <f t="shared" si="22"/>
        <v>0</v>
      </c>
      <c r="I488" s="3">
        <f t="shared" si="23"/>
        <v>0</v>
      </c>
    </row>
    <row r="489" spans="4:9" x14ac:dyDescent="0.35">
      <c r="D489" s="2"/>
      <c r="E489" s="2"/>
      <c r="F489" s="3"/>
      <c r="G489" s="3">
        <f t="shared" si="21"/>
        <v>0</v>
      </c>
      <c r="H489" s="3">
        <f t="shared" si="22"/>
        <v>0</v>
      </c>
      <c r="I489" s="3">
        <f t="shared" si="23"/>
        <v>0</v>
      </c>
    </row>
    <row r="490" spans="4:9" x14ac:dyDescent="0.35">
      <c r="D490" s="2"/>
      <c r="E490" s="2"/>
      <c r="F490" s="3"/>
      <c r="G490" s="3">
        <f t="shared" si="21"/>
        <v>0</v>
      </c>
      <c r="H490" s="3">
        <f t="shared" si="22"/>
        <v>0</v>
      </c>
      <c r="I490" s="3">
        <f t="shared" si="23"/>
        <v>0</v>
      </c>
    </row>
    <row r="491" spans="4:9" x14ac:dyDescent="0.35">
      <c r="D491" s="2"/>
      <c r="E491" s="2"/>
      <c r="F491" s="3"/>
      <c r="G491" s="3">
        <f t="shared" si="21"/>
        <v>0</v>
      </c>
      <c r="H491" s="3">
        <f t="shared" si="22"/>
        <v>0</v>
      </c>
      <c r="I491" s="3">
        <f t="shared" si="23"/>
        <v>0</v>
      </c>
    </row>
    <row r="492" spans="4:9" x14ac:dyDescent="0.35">
      <c r="D492" s="2"/>
      <c r="E492" s="2"/>
      <c r="F492" s="3"/>
      <c r="G492" s="3">
        <f t="shared" si="21"/>
        <v>0</v>
      </c>
      <c r="H492" s="3">
        <f t="shared" si="22"/>
        <v>0</v>
      </c>
      <c r="I492" s="3">
        <f t="shared" si="23"/>
        <v>0</v>
      </c>
    </row>
    <row r="493" spans="4:9" x14ac:dyDescent="0.35">
      <c r="D493" s="2"/>
      <c r="E493" s="2"/>
      <c r="F493" s="3"/>
      <c r="G493" s="3">
        <f t="shared" si="21"/>
        <v>0</v>
      </c>
      <c r="H493" s="3">
        <f t="shared" si="22"/>
        <v>0</v>
      </c>
      <c r="I493" s="3">
        <f t="shared" si="23"/>
        <v>0</v>
      </c>
    </row>
    <row r="494" spans="4:9" x14ac:dyDescent="0.35">
      <c r="D494" s="2"/>
      <c r="E494" s="2"/>
      <c r="F494" s="3"/>
      <c r="G494" s="3">
        <f t="shared" si="21"/>
        <v>0</v>
      </c>
      <c r="H494" s="3">
        <f t="shared" si="22"/>
        <v>0</v>
      </c>
      <c r="I494" s="3">
        <f t="shared" si="23"/>
        <v>0</v>
      </c>
    </row>
    <row r="495" spans="4:9" x14ac:dyDescent="0.35">
      <c r="D495" s="2"/>
      <c r="E495" s="2"/>
      <c r="F495" s="3"/>
      <c r="G495" s="3">
        <f t="shared" si="21"/>
        <v>0</v>
      </c>
      <c r="H495" s="3">
        <f t="shared" si="22"/>
        <v>0</v>
      </c>
      <c r="I495" s="3">
        <f t="shared" si="23"/>
        <v>0</v>
      </c>
    </row>
    <row r="496" spans="4:9" x14ac:dyDescent="0.35">
      <c r="D496" s="2"/>
      <c r="E496" s="2"/>
      <c r="F496" s="3"/>
      <c r="G496" s="3">
        <f t="shared" si="21"/>
        <v>0</v>
      </c>
      <c r="H496" s="3">
        <f t="shared" si="22"/>
        <v>0</v>
      </c>
      <c r="I496" s="3">
        <f t="shared" si="23"/>
        <v>0</v>
      </c>
    </row>
    <row r="497" spans="4:9" x14ac:dyDescent="0.35">
      <c r="D497" s="2"/>
      <c r="E497" s="2"/>
      <c r="F497" s="3"/>
      <c r="G497" s="3">
        <f t="shared" si="21"/>
        <v>0</v>
      </c>
      <c r="H497" s="3">
        <f t="shared" si="22"/>
        <v>0</v>
      </c>
      <c r="I497" s="3">
        <f t="shared" si="23"/>
        <v>0</v>
      </c>
    </row>
    <row r="498" spans="4:9" x14ac:dyDescent="0.35">
      <c r="D498" s="2"/>
      <c r="E498" s="2"/>
      <c r="F498" s="3"/>
      <c r="G498" s="3">
        <f t="shared" si="21"/>
        <v>0</v>
      </c>
      <c r="H498" s="3">
        <f t="shared" si="22"/>
        <v>0</v>
      </c>
      <c r="I498" s="3">
        <f t="shared" si="23"/>
        <v>0</v>
      </c>
    </row>
    <row r="499" spans="4:9" x14ac:dyDescent="0.35">
      <c r="D499" s="2"/>
      <c r="E499" s="2"/>
      <c r="F499" s="3"/>
      <c r="G499" s="3">
        <f t="shared" si="21"/>
        <v>0</v>
      </c>
      <c r="H499" s="3">
        <f t="shared" si="22"/>
        <v>0</v>
      </c>
      <c r="I499" s="3">
        <f t="shared" si="23"/>
        <v>0</v>
      </c>
    </row>
    <row r="500" spans="4:9" x14ac:dyDescent="0.35">
      <c r="D500" s="2"/>
      <c r="E500" s="2"/>
      <c r="F500" s="3"/>
      <c r="G500" s="3">
        <f t="shared" si="21"/>
        <v>0</v>
      </c>
      <c r="H500" s="3">
        <f t="shared" si="22"/>
        <v>0</v>
      </c>
      <c r="I500" s="3">
        <f t="shared" si="23"/>
        <v>0</v>
      </c>
    </row>
    <row r="501" spans="4:9" x14ac:dyDescent="0.35">
      <c r="D501" s="2"/>
      <c r="E501" s="2"/>
      <c r="F501" s="3"/>
      <c r="G501" s="3">
        <f t="shared" si="21"/>
        <v>0</v>
      </c>
      <c r="H501" s="3">
        <f t="shared" si="22"/>
        <v>0</v>
      </c>
      <c r="I501" s="3">
        <f t="shared" si="23"/>
        <v>0</v>
      </c>
    </row>
    <row r="502" spans="4:9" x14ac:dyDescent="0.35">
      <c r="D502" s="2"/>
      <c r="E502" s="2"/>
      <c r="F502" s="3"/>
      <c r="G502" s="3">
        <f t="shared" si="21"/>
        <v>0</v>
      </c>
      <c r="H502" s="3">
        <f t="shared" si="22"/>
        <v>0</v>
      </c>
      <c r="I502" s="3">
        <f t="shared" si="23"/>
        <v>0</v>
      </c>
    </row>
    <row r="503" spans="4:9" x14ac:dyDescent="0.35">
      <c r="D503" s="2"/>
      <c r="E503" s="2"/>
      <c r="F503" s="3"/>
      <c r="G503" s="3">
        <f t="shared" si="21"/>
        <v>0</v>
      </c>
      <c r="H503" s="3">
        <f t="shared" si="22"/>
        <v>0</v>
      </c>
      <c r="I503" s="3">
        <f t="shared" si="23"/>
        <v>0</v>
      </c>
    </row>
    <row r="504" spans="4:9" x14ac:dyDescent="0.35">
      <c r="D504" s="2"/>
      <c r="E504" s="2"/>
      <c r="F504" s="3"/>
      <c r="G504" s="3">
        <f t="shared" si="21"/>
        <v>0</v>
      </c>
      <c r="H504" s="3">
        <f t="shared" si="22"/>
        <v>0</v>
      </c>
      <c r="I504" s="3">
        <f t="shared" si="23"/>
        <v>0</v>
      </c>
    </row>
    <row r="505" spans="4:9" x14ac:dyDescent="0.35">
      <c r="D505" s="2"/>
      <c r="E505" s="2"/>
      <c r="F505" s="3"/>
      <c r="G505" s="3">
        <f t="shared" si="21"/>
        <v>0</v>
      </c>
      <c r="H505" s="3">
        <f t="shared" si="22"/>
        <v>0</v>
      </c>
      <c r="I505" s="3">
        <f t="shared" si="23"/>
        <v>0</v>
      </c>
    </row>
    <row r="506" spans="4:9" x14ac:dyDescent="0.35">
      <c r="D506" s="2"/>
      <c r="E506" s="2"/>
      <c r="F506" s="3"/>
      <c r="G506" s="3">
        <f t="shared" si="21"/>
        <v>0</v>
      </c>
      <c r="H506" s="3">
        <f t="shared" si="22"/>
        <v>0</v>
      </c>
      <c r="I506" s="3">
        <f t="shared" si="23"/>
        <v>0</v>
      </c>
    </row>
    <row r="507" spans="4:9" x14ac:dyDescent="0.35">
      <c r="D507" s="2"/>
      <c r="E507" s="2"/>
      <c r="F507" s="3"/>
      <c r="G507" s="3">
        <f t="shared" si="21"/>
        <v>0</v>
      </c>
      <c r="H507" s="3">
        <f t="shared" si="22"/>
        <v>0</v>
      </c>
      <c r="I507" s="3">
        <f t="shared" si="23"/>
        <v>0</v>
      </c>
    </row>
    <row r="508" spans="4:9" x14ac:dyDescent="0.35">
      <c r="D508" s="2"/>
      <c r="E508" s="2"/>
      <c r="F508" s="3"/>
      <c r="G508" s="3">
        <f t="shared" si="21"/>
        <v>0</v>
      </c>
      <c r="H508" s="3">
        <f t="shared" si="22"/>
        <v>0</v>
      </c>
      <c r="I508" s="3">
        <f t="shared" si="23"/>
        <v>0</v>
      </c>
    </row>
    <row r="509" spans="4:9" x14ac:dyDescent="0.35">
      <c r="D509" s="2"/>
      <c r="E509" s="2"/>
      <c r="F509" s="3"/>
      <c r="G509" s="3">
        <f t="shared" si="21"/>
        <v>0</v>
      </c>
      <c r="H509" s="3">
        <f t="shared" si="22"/>
        <v>0</v>
      </c>
      <c r="I509" s="3">
        <f t="shared" si="23"/>
        <v>0</v>
      </c>
    </row>
    <row r="510" spans="4:9" x14ac:dyDescent="0.35">
      <c r="D510" s="2"/>
      <c r="E510" s="2"/>
      <c r="F510" s="3"/>
      <c r="G510" s="3">
        <f t="shared" si="21"/>
        <v>0</v>
      </c>
      <c r="H510" s="3">
        <f t="shared" si="22"/>
        <v>0</v>
      </c>
      <c r="I510" s="3">
        <f t="shared" si="23"/>
        <v>0</v>
      </c>
    </row>
    <row r="511" spans="4:9" x14ac:dyDescent="0.35">
      <c r="D511" s="2"/>
      <c r="E511" s="2"/>
      <c r="F511" s="3"/>
      <c r="G511" s="3">
        <f t="shared" si="21"/>
        <v>0</v>
      </c>
      <c r="H511" s="3">
        <f t="shared" si="22"/>
        <v>0</v>
      </c>
      <c r="I511" s="3">
        <f t="shared" si="23"/>
        <v>0</v>
      </c>
    </row>
    <row r="512" spans="4:9" x14ac:dyDescent="0.35">
      <c r="D512" s="2"/>
      <c r="E512" s="2"/>
      <c r="F512" s="3"/>
      <c r="G512" s="3">
        <f t="shared" si="21"/>
        <v>0</v>
      </c>
      <c r="H512" s="3">
        <f t="shared" si="22"/>
        <v>0</v>
      </c>
      <c r="I512" s="3">
        <f t="shared" si="23"/>
        <v>0</v>
      </c>
    </row>
    <row r="513" spans="4:9" x14ac:dyDescent="0.35">
      <c r="D513" s="2"/>
      <c r="E513" s="2"/>
      <c r="F513" s="3"/>
      <c r="G513" s="3">
        <f t="shared" si="21"/>
        <v>0</v>
      </c>
      <c r="H513" s="3">
        <f t="shared" si="22"/>
        <v>0</v>
      </c>
      <c r="I513" s="3">
        <f t="shared" si="23"/>
        <v>0</v>
      </c>
    </row>
    <row r="514" spans="4:9" x14ac:dyDescent="0.35">
      <c r="D514" s="2"/>
      <c r="E514" s="2"/>
      <c r="F514" s="3"/>
      <c r="G514" s="3">
        <f t="shared" ref="G514:G577" si="24">IF($F514&gt;0,$E514/(1-$F514),0)</f>
        <v>0</v>
      </c>
      <c r="H514" s="3">
        <f t="shared" ref="H514:H577" si="25">IF($D514&gt;0,$G514/$D514,0)</f>
        <v>0</v>
      </c>
      <c r="I514" s="3">
        <f t="shared" ref="I514:I577" si="26">$E514*1.1</f>
        <v>0</v>
      </c>
    </row>
    <row r="515" spans="4:9" x14ac:dyDescent="0.35">
      <c r="D515" s="2"/>
      <c r="E515" s="2"/>
      <c r="F515" s="3"/>
      <c r="G515" s="3">
        <f t="shared" si="24"/>
        <v>0</v>
      </c>
      <c r="H515" s="3">
        <f t="shared" si="25"/>
        <v>0</v>
      </c>
      <c r="I515" s="3">
        <f t="shared" si="26"/>
        <v>0</v>
      </c>
    </row>
    <row r="516" spans="4:9" x14ac:dyDescent="0.35">
      <c r="D516" s="2"/>
      <c r="E516" s="2"/>
      <c r="F516" s="3"/>
      <c r="G516" s="3">
        <f t="shared" si="24"/>
        <v>0</v>
      </c>
      <c r="H516" s="3">
        <f t="shared" si="25"/>
        <v>0</v>
      </c>
      <c r="I516" s="3">
        <f t="shared" si="26"/>
        <v>0</v>
      </c>
    </row>
    <row r="517" spans="4:9" x14ac:dyDescent="0.35">
      <c r="D517" s="2"/>
      <c r="E517" s="2"/>
      <c r="F517" s="3"/>
      <c r="G517" s="3">
        <f t="shared" si="24"/>
        <v>0</v>
      </c>
      <c r="H517" s="3">
        <f t="shared" si="25"/>
        <v>0</v>
      </c>
      <c r="I517" s="3">
        <f t="shared" si="26"/>
        <v>0</v>
      </c>
    </row>
    <row r="518" spans="4:9" x14ac:dyDescent="0.35">
      <c r="D518" s="2"/>
      <c r="E518" s="2"/>
      <c r="F518" s="3"/>
      <c r="G518" s="3">
        <f t="shared" si="24"/>
        <v>0</v>
      </c>
      <c r="H518" s="3">
        <f t="shared" si="25"/>
        <v>0</v>
      </c>
      <c r="I518" s="3">
        <f t="shared" si="26"/>
        <v>0</v>
      </c>
    </row>
    <row r="519" spans="4:9" x14ac:dyDescent="0.35">
      <c r="D519" s="2"/>
      <c r="E519" s="2"/>
      <c r="F519" s="3"/>
      <c r="G519" s="3">
        <f t="shared" si="24"/>
        <v>0</v>
      </c>
      <c r="H519" s="3">
        <f t="shared" si="25"/>
        <v>0</v>
      </c>
      <c r="I519" s="3">
        <f t="shared" si="26"/>
        <v>0</v>
      </c>
    </row>
    <row r="520" spans="4:9" x14ac:dyDescent="0.35">
      <c r="D520" s="2"/>
      <c r="E520" s="2"/>
      <c r="F520" s="3"/>
      <c r="G520" s="3">
        <f t="shared" si="24"/>
        <v>0</v>
      </c>
      <c r="H520" s="3">
        <f t="shared" si="25"/>
        <v>0</v>
      </c>
      <c r="I520" s="3">
        <f t="shared" si="26"/>
        <v>0</v>
      </c>
    </row>
    <row r="521" spans="4:9" x14ac:dyDescent="0.35">
      <c r="D521" s="2"/>
      <c r="E521" s="2"/>
      <c r="F521" s="3"/>
      <c r="G521" s="3">
        <f t="shared" si="24"/>
        <v>0</v>
      </c>
      <c r="H521" s="3">
        <f t="shared" si="25"/>
        <v>0</v>
      </c>
      <c r="I521" s="3">
        <f t="shared" si="26"/>
        <v>0</v>
      </c>
    </row>
    <row r="522" spans="4:9" x14ac:dyDescent="0.35">
      <c r="D522" s="2"/>
      <c r="E522" s="2"/>
      <c r="F522" s="3"/>
      <c r="G522" s="3">
        <f t="shared" si="24"/>
        <v>0</v>
      </c>
      <c r="H522" s="3">
        <f t="shared" si="25"/>
        <v>0</v>
      </c>
      <c r="I522" s="3">
        <f t="shared" si="26"/>
        <v>0</v>
      </c>
    </row>
    <row r="523" spans="4:9" x14ac:dyDescent="0.35">
      <c r="D523" s="2"/>
      <c r="E523" s="2"/>
      <c r="F523" s="3"/>
      <c r="G523" s="3">
        <f t="shared" si="24"/>
        <v>0</v>
      </c>
      <c r="H523" s="3">
        <f t="shared" si="25"/>
        <v>0</v>
      </c>
      <c r="I523" s="3">
        <f t="shared" si="26"/>
        <v>0</v>
      </c>
    </row>
    <row r="524" spans="4:9" x14ac:dyDescent="0.35">
      <c r="D524" s="2"/>
      <c r="E524" s="2"/>
      <c r="F524" s="3"/>
      <c r="G524" s="3">
        <f t="shared" si="24"/>
        <v>0</v>
      </c>
      <c r="H524" s="3">
        <f t="shared" si="25"/>
        <v>0</v>
      </c>
      <c r="I524" s="3">
        <f t="shared" si="26"/>
        <v>0</v>
      </c>
    </row>
    <row r="525" spans="4:9" x14ac:dyDescent="0.35">
      <c r="D525" s="2"/>
      <c r="E525" s="2"/>
      <c r="F525" s="3"/>
      <c r="G525" s="3">
        <f t="shared" si="24"/>
        <v>0</v>
      </c>
      <c r="H525" s="3">
        <f t="shared" si="25"/>
        <v>0</v>
      </c>
      <c r="I525" s="3">
        <f t="shared" si="26"/>
        <v>0</v>
      </c>
    </row>
    <row r="526" spans="4:9" x14ac:dyDescent="0.35">
      <c r="D526" s="2"/>
      <c r="E526" s="2"/>
      <c r="F526" s="3"/>
      <c r="G526" s="3">
        <f t="shared" si="24"/>
        <v>0</v>
      </c>
      <c r="H526" s="3">
        <f t="shared" si="25"/>
        <v>0</v>
      </c>
      <c r="I526" s="3">
        <f t="shared" si="26"/>
        <v>0</v>
      </c>
    </row>
    <row r="527" spans="4:9" x14ac:dyDescent="0.35">
      <c r="D527" s="2"/>
      <c r="E527" s="2"/>
      <c r="F527" s="3"/>
      <c r="G527" s="3">
        <f t="shared" si="24"/>
        <v>0</v>
      </c>
      <c r="H527" s="3">
        <f t="shared" si="25"/>
        <v>0</v>
      </c>
      <c r="I527" s="3">
        <f t="shared" si="26"/>
        <v>0</v>
      </c>
    </row>
    <row r="528" spans="4:9" x14ac:dyDescent="0.35">
      <c r="D528" s="2"/>
      <c r="E528" s="2"/>
      <c r="F528" s="3"/>
      <c r="G528" s="3">
        <f t="shared" si="24"/>
        <v>0</v>
      </c>
      <c r="H528" s="3">
        <f t="shared" si="25"/>
        <v>0</v>
      </c>
      <c r="I528" s="3">
        <f t="shared" si="26"/>
        <v>0</v>
      </c>
    </row>
    <row r="529" spans="4:9" x14ac:dyDescent="0.35">
      <c r="D529" s="2"/>
      <c r="E529" s="2"/>
      <c r="F529" s="3"/>
      <c r="G529" s="3">
        <f t="shared" si="24"/>
        <v>0</v>
      </c>
      <c r="H529" s="3">
        <f t="shared" si="25"/>
        <v>0</v>
      </c>
      <c r="I529" s="3">
        <f t="shared" si="26"/>
        <v>0</v>
      </c>
    </row>
    <row r="530" spans="4:9" x14ac:dyDescent="0.35">
      <c r="D530" s="2"/>
      <c r="E530" s="2"/>
      <c r="F530" s="3"/>
      <c r="G530" s="3">
        <f t="shared" si="24"/>
        <v>0</v>
      </c>
      <c r="H530" s="3">
        <f t="shared" si="25"/>
        <v>0</v>
      </c>
      <c r="I530" s="3">
        <f t="shared" si="26"/>
        <v>0</v>
      </c>
    </row>
    <row r="531" spans="4:9" x14ac:dyDescent="0.35">
      <c r="D531" s="2"/>
      <c r="E531" s="2"/>
      <c r="F531" s="3"/>
      <c r="G531" s="3">
        <f t="shared" si="24"/>
        <v>0</v>
      </c>
      <c r="H531" s="3">
        <f t="shared" si="25"/>
        <v>0</v>
      </c>
      <c r="I531" s="3">
        <f t="shared" si="26"/>
        <v>0</v>
      </c>
    </row>
    <row r="532" spans="4:9" x14ac:dyDescent="0.35">
      <c r="D532" s="2"/>
      <c r="E532" s="2"/>
      <c r="F532" s="3"/>
      <c r="G532" s="3">
        <f t="shared" si="24"/>
        <v>0</v>
      </c>
      <c r="H532" s="3">
        <f t="shared" si="25"/>
        <v>0</v>
      </c>
      <c r="I532" s="3">
        <f t="shared" si="26"/>
        <v>0</v>
      </c>
    </row>
    <row r="533" spans="4:9" x14ac:dyDescent="0.35">
      <c r="D533" s="2"/>
      <c r="E533" s="2"/>
      <c r="F533" s="3"/>
      <c r="G533" s="3">
        <f t="shared" si="24"/>
        <v>0</v>
      </c>
      <c r="H533" s="3">
        <f t="shared" si="25"/>
        <v>0</v>
      </c>
      <c r="I533" s="3">
        <f t="shared" si="26"/>
        <v>0</v>
      </c>
    </row>
    <row r="534" spans="4:9" x14ac:dyDescent="0.35">
      <c r="D534" s="2"/>
      <c r="E534" s="2"/>
      <c r="F534" s="3"/>
      <c r="G534" s="3">
        <f t="shared" si="24"/>
        <v>0</v>
      </c>
      <c r="H534" s="3">
        <f t="shared" si="25"/>
        <v>0</v>
      </c>
      <c r="I534" s="3">
        <f t="shared" si="26"/>
        <v>0</v>
      </c>
    </row>
    <row r="535" spans="4:9" x14ac:dyDescent="0.35">
      <c r="D535" s="2"/>
      <c r="E535" s="2"/>
      <c r="F535" s="3"/>
      <c r="G535" s="3">
        <f t="shared" si="24"/>
        <v>0</v>
      </c>
      <c r="H535" s="3">
        <f t="shared" si="25"/>
        <v>0</v>
      </c>
      <c r="I535" s="3">
        <f t="shared" si="26"/>
        <v>0</v>
      </c>
    </row>
    <row r="536" spans="4:9" x14ac:dyDescent="0.35">
      <c r="D536" s="2"/>
      <c r="E536" s="2"/>
      <c r="F536" s="3"/>
      <c r="G536" s="3">
        <f t="shared" si="24"/>
        <v>0</v>
      </c>
      <c r="H536" s="3">
        <f t="shared" si="25"/>
        <v>0</v>
      </c>
      <c r="I536" s="3">
        <f t="shared" si="26"/>
        <v>0</v>
      </c>
    </row>
    <row r="537" spans="4:9" x14ac:dyDescent="0.35">
      <c r="D537" s="2"/>
      <c r="E537" s="2"/>
      <c r="F537" s="3"/>
      <c r="G537" s="3">
        <f t="shared" si="24"/>
        <v>0</v>
      </c>
      <c r="H537" s="3">
        <f t="shared" si="25"/>
        <v>0</v>
      </c>
      <c r="I537" s="3">
        <f t="shared" si="26"/>
        <v>0</v>
      </c>
    </row>
    <row r="538" spans="4:9" x14ac:dyDescent="0.35">
      <c r="D538" s="2"/>
      <c r="E538" s="2"/>
      <c r="F538" s="3"/>
      <c r="G538" s="3">
        <f t="shared" si="24"/>
        <v>0</v>
      </c>
      <c r="H538" s="3">
        <f t="shared" si="25"/>
        <v>0</v>
      </c>
      <c r="I538" s="3">
        <f t="shared" si="26"/>
        <v>0</v>
      </c>
    </row>
    <row r="539" spans="4:9" x14ac:dyDescent="0.35">
      <c r="D539" s="2"/>
      <c r="E539" s="2"/>
      <c r="F539" s="3"/>
      <c r="G539" s="3">
        <f t="shared" si="24"/>
        <v>0</v>
      </c>
      <c r="H539" s="3">
        <f t="shared" si="25"/>
        <v>0</v>
      </c>
      <c r="I539" s="3">
        <f t="shared" si="26"/>
        <v>0</v>
      </c>
    </row>
    <row r="540" spans="4:9" x14ac:dyDescent="0.35">
      <c r="D540" s="2"/>
      <c r="E540" s="2"/>
      <c r="F540" s="3"/>
      <c r="G540" s="3">
        <f t="shared" si="24"/>
        <v>0</v>
      </c>
      <c r="H540" s="3">
        <f t="shared" si="25"/>
        <v>0</v>
      </c>
      <c r="I540" s="3">
        <f t="shared" si="26"/>
        <v>0</v>
      </c>
    </row>
    <row r="541" spans="4:9" x14ac:dyDescent="0.35">
      <c r="D541" s="2"/>
      <c r="E541" s="2"/>
      <c r="F541" s="3"/>
      <c r="G541" s="3">
        <f t="shared" si="24"/>
        <v>0</v>
      </c>
      <c r="H541" s="3">
        <f t="shared" si="25"/>
        <v>0</v>
      </c>
      <c r="I541" s="3">
        <f t="shared" si="26"/>
        <v>0</v>
      </c>
    </row>
    <row r="542" spans="4:9" x14ac:dyDescent="0.35">
      <c r="D542" s="2"/>
      <c r="E542" s="2"/>
      <c r="F542" s="3"/>
      <c r="G542" s="3">
        <f t="shared" si="24"/>
        <v>0</v>
      </c>
      <c r="H542" s="3">
        <f t="shared" si="25"/>
        <v>0</v>
      </c>
      <c r="I542" s="3">
        <f t="shared" si="26"/>
        <v>0</v>
      </c>
    </row>
    <row r="543" spans="4:9" x14ac:dyDescent="0.35">
      <c r="D543" s="2"/>
      <c r="E543" s="2"/>
      <c r="F543" s="3"/>
      <c r="G543" s="3">
        <f t="shared" si="24"/>
        <v>0</v>
      </c>
      <c r="H543" s="3">
        <f t="shared" si="25"/>
        <v>0</v>
      </c>
      <c r="I543" s="3">
        <f t="shared" si="26"/>
        <v>0</v>
      </c>
    </row>
    <row r="544" spans="4:9" x14ac:dyDescent="0.35">
      <c r="D544" s="2"/>
      <c r="E544" s="2"/>
      <c r="F544" s="3"/>
      <c r="G544" s="3">
        <f t="shared" si="24"/>
        <v>0</v>
      </c>
      <c r="H544" s="3">
        <f t="shared" si="25"/>
        <v>0</v>
      </c>
      <c r="I544" s="3">
        <f t="shared" si="26"/>
        <v>0</v>
      </c>
    </row>
    <row r="545" spans="4:9" x14ac:dyDescent="0.35">
      <c r="D545" s="2"/>
      <c r="E545" s="2"/>
      <c r="F545" s="3"/>
      <c r="G545" s="3">
        <f t="shared" si="24"/>
        <v>0</v>
      </c>
      <c r="H545" s="3">
        <f t="shared" si="25"/>
        <v>0</v>
      </c>
      <c r="I545" s="3">
        <f t="shared" si="26"/>
        <v>0</v>
      </c>
    </row>
    <row r="546" spans="4:9" x14ac:dyDescent="0.35">
      <c r="D546" s="2"/>
      <c r="E546" s="2"/>
      <c r="F546" s="3"/>
      <c r="G546" s="3">
        <f t="shared" si="24"/>
        <v>0</v>
      </c>
      <c r="H546" s="3">
        <f t="shared" si="25"/>
        <v>0</v>
      </c>
      <c r="I546" s="3">
        <f t="shared" si="26"/>
        <v>0</v>
      </c>
    </row>
    <row r="547" spans="4:9" x14ac:dyDescent="0.35">
      <c r="D547" s="2"/>
      <c r="E547" s="2"/>
      <c r="F547" s="3"/>
      <c r="G547" s="3">
        <f t="shared" si="24"/>
        <v>0</v>
      </c>
      <c r="H547" s="3">
        <f t="shared" si="25"/>
        <v>0</v>
      </c>
      <c r="I547" s="3">
        <f t="shared" si="26"/>
        <v>0</v>
      </c>
    </row>
    <row r="548" spans="4:9" x14ac:dyDescent="0.35">
      <c r="D548" s="2"/>
      <c r="E548" s="2"/>
      <c r="F548" s="3"/>
      <c r="G548" s="3">
        <f t="shared" si="24"/>
        <v>0</v>
      </c>
      <c r="H548" s="3">
        <f t="shared" si="25"/>
        <v>0</v>
      </c>
      <c r="I548" s="3">
        <f t="shared" si="26"/>
        <v>0</v>
      </c>
    </row>
    <row r="549" spans="4:9" x14ac:dyDescent="0.35">
      <c r="D549" s="2"/>
      <c r="E549" s="2"/>
      <c r="F549" s="3"/>
      <c r="G549" s="3">
        <f t="shared" si="24"/>
        <v>0</v>
      </c>
      <c r="H549" s="3">
        <f t="shared" si="25"/>
        <v>0</v>
      </c>
      <c r="I549" s="3">
        <f t="shared" si="26"/>
        <v>0</v>
      </c>
    </row>
    <row r="550" spans="4:9" x14ac:dyDescent="0.35">
      <c r="D550" s="2"/>
      <c r="E550" s="2"/>
      <c r="F550" s="3"/>
      <c r="G550" s="3">
        <f t="shared" si="24"/>
        <v>0</v>
      </c>
      <c r="H550" s="3">
        <f t="shared" si="25"/>
        <v>0</v>
      </c>
      <c r="I550" s="3">
        <f t="shared" si="26"/>
        <v>0</v>
      </c>
    </row>
    <row r="551" spans="4:9" x14ac:dyDescent="0.35">
      <c r="D551" s="2"/>
      <c r="E551" s="2"/>
      <c r="F551" s="3"/>
      <c r="G551" s="3">
        <f t="shared" si="24"/>
        <v>0</v>
      </c>
      <c r="H551" s="3">
        <f t="shared" si="25"/>
        <v>0</v>
      </c>
      <c r="I551" s="3">
        <f t="shared" si="26"/>
        <v>0</v>
      </c>
    </row>
    <row r="552" spans="4:9" x14ac:dyDescent="0.35">
      <c r="D552" s="2"/>
      <c r="E552" s="2"/>
      <c r="F552" s="3"/>
      <c r="G552" s="3">
        <f t="shared" si="24"/>
        <v>0</v>
      </c>
      <c r="H552" s="3">
        <f t="shared" si="25"/>
        <v>0</v>
      </c>
      <c r="I552" s="3">
        <f t="shared" si="26"/>
        <v>0</v>
      </c>
    </row>
    <row r="553" spans="4:9" x14ac:dyDescent="0.35">
      <c r="D553" s="2"/>
      <c r="E553" s="2"/>
      <c r="F553" s="3"/>
      <c r="G553" s="3">
        <f t="shared" si="24"/>
        <v>0</v>
      </c>
      <c r="H553" s="3">
        <f t="shared" si="25"/>
        <v>0</v>
      </c>
      <c r="I553" s="3">
        <f t="shared" si="26"/>
        <v>0</v>
      </c>
    </row>
    <row r="554" spans="4:9" x14ac:dyDescent="0.35">
      <c r="D554" s="2"/>
      <c r="E554" s="2"/>
      <c r="F554" s="3"/>
      <c r="G554" s="3">
        <f t="shared" si="24"/>
        <v>0</v>
      </c>
      <c r="H554" s="3">
        <f t="shared" si="25"/>
        <v>0</v>
      </c>
      <c r="I554" s="3">
        <f t="shared" si="26"/>
        <v>0</v>
      </c>
    </row>
    <row r="555" spans="4:9" x14ac:dyDescent="0.35">
      <c r="D555" s="2"/>
      <c r="E555" s="2"/>
      <c r="F555" s="3"/>
      <c r="G555" s="3">
        <f t="shared" si="24"/>
        <v>0</v>
      </c>
      <c r="H555" s="3">
        <f t="shared" si="25"/>
        <v>0</v>
      </c>
      <c r="I555" s="3">
        <f t="shared" si="26"/>
        <v>0</v>
      </c>
    </row>
    <row r="556" spans="4:9" x14ac:dyDescent="0.35">
      <c r="D556" s="2"/>
      <c r="E556" s="2"/>
      <c r="F556" s="3"/>
      <c r="G556" s="3">
        <f t="shared" si="24"/>
        <v>0</v>
      </c>
      <c r="H556" s="3">
        <f t="shared" si="25"/>
        <v>0</v>
      </c>
      <c r="I556" s="3">
        <f t="shared" si="26"/>
        <v>0</v>
      </c>
    </row>
    <row r="557" spans="4:9" x14ac:dyDescent="0.35">
      <c r="D557" s="2"/>
      <c r="E557" s="2"/>
      <c r="F557" s="3"/>
      <c r="G557" s="3">
        <f t="shared" si="24"/>
        <v>0</v>
      </c>
      <c r="H557" s="3">
        <f t="shared" si="25"/>
        <v>0</v>
      </c>
      <c r="I557" s="3">
        <f t="shared" si="26"/>
        <v>0</v>
      </c>
    </row>
    <row r="558" spans="4:9" x14ac:dyDescent="0.35">
      <c r="D558" s="2"/>
      <c r="E558" s="2"/>
      <c r="F558" s="3"/>
      <c r="G558" s="3">
        <f t="shared" si="24"/>
        <v>0</v>
      </c>
      <c r="H558" s="3">
        <f t="shared" si="25"/>
        <v>0</v>
      </c>
      <c r="I558" s="3">
        <f t="shared" si="26"/>
        <v>0</v>
      </c>
    </row>
    <row r="559" spans="4:9" x14ac:dyDescent="0.35">
      <c r="D559" s="2"/>
      <c r="E559" s="2"/>
      <c r="F559" s="3"/>
      <c r="G559" s="3">
        <f t="shared" si="24"/>
        <v>0</v>
      </c>
      <c r="H559" s="3">
        <f t="shared" si="25"/>
        <v>0</v>
      </c>
      <c r="I559" s="3">
        <f t="shared" si="26"/>
        <v>0</v>
      </c>
    </row>
    <row r="560" spans="4:9" x14ac:dyDescent="0.35">
      <c r="D560" s="2"/>
      <c r="E560" s="2"/>
      <c r="F560" s="3"/>
      <c r="G560" s="3">
        <f t="shared" si="24"/>
        <v>0</v>
      </c>
      <c r="H560" s="3">
        <f t="shared" si="25"/>
        <v>0</v>
      </c>
      <c r="I560" s="3">
        <f t="shared" si="26"/>
        <v>0</v>
      </c>
    </row>
    <row r="561" spans="4:9" x14ac:dyDescent="0.35">
      <c r="D561" s="2"/>
      <c r="E561" s="2"/>
      <c r="F561" s="3"/>
      <c r="G561" s="3">
        <f t="shared" si="24"/>
        <v>0</v>
      </c>
      <c r="H561" s="3">
        <f t="shared" si="25"/>
        <v>0</v>
      </c>
      <c r="I561" s="3">
        <f t="shared" si="26"/>
        <v>0</v>
      </c>
    </row>
    <row r="562" spans="4:9" x14ac:dyDescent="0.35">
      <c r="D562" s="2"/>
      <c r="E562" s="2"/>
      <c r="F562" s="3"/>
      <c r="G562" s="3">
        <f t="shared" si="24"/>
        <v>0</v>
      </c>
      <c r="H562" s="3">
        <f t="shared" si="25"/>
        <v>0</v>
      </c>
      <c r="I562" s="3">
        <f t="shared" si="26"/>
        <v>0</v>
      </c>
    </row>
    <row r="563" spans="4:9" x14ac:dyDescent="0.35">
      <c r="D563" s="2"/>
      <c r="E563" s="2"/>
      <c r="F563" s="3"/>
      <c r="G563" s="3">
        <f t="shared" si="24"/>
        <v>0</v>
      </c>
      <c r="H563" s="3">
        <f t="shared" si="25"/>
        <v>0</v>
      </c>
      <c r="I563" s="3">
        <f t="shared" si="26"/>
        <v>0</v>
      </c>
    </row>
    <row r="564" spans="4:9" x14ac:dyDescent="0.35">
      <c r="D564" s="2"/>
      <c r="E564" s="2"/>
      <c r="F564" s="3"/>
      <c r="G564" s="3">
        <f t="shared" si="24"/>
        <v>0</v>
      </c>
      <c r="H564" s="3">
        <f t="shared" si="25"/>
        <v>0</v>
      </c>
      <c r="I564" s="3">
        <f t="shared" si="26"/>
        <v>0</v>
      </c>
    </row>
    <row r="565" spans="4:9" x14ac:dyDescent="0.35">
      <c r="D565" s="2"/>
      <c r="E565" s="2"/>
      <c r="F565" s="3"/>
      <c r="G565" s="3">
        <f t="shared" si="24"/>
        <v>0</v>
      </c>
      <c r="H565" s="3">
        <f t="shared" si="25"/>
        <v>0</v>
      </c>
      <c r="I565" s="3">
        <f t="shared" si="26"/>
        <v>0</v>
      </c>
    </row>
    <row r="566" spans="4:9" x14ac:dyDescent="0.35">
      <c r="D566" s="2"/>
      <c r="E566" s="2"/>
      <c r="F566" s="3"/>
      <c r="G566" s="3">
        <f t="shared" si="24"/>
        <v>0</v>
      </c>
      <c r="H566" s="3">
        <f t="shared" si="25"/>
        <v>0</v>
      </c>
      <c r="I566" s="3">
        <f t="shared" si="26"/>
        <v>0</v>
      </c>
    </row>
    <row r="567" spans="4:9" x14ac:dyDescent="0.35">
      <c r="D567" s="2"/>
      <c r="E567" s="2"/>
      <c r="F567" s="3"/>
      <c r="G567" s="3">
        <f t="shared" si="24"/>
        <v>0</v>
      </c>
      <c r="H567" s="3">
        <f t="shared" si="25"/>
        <v>0</v>
      </c>
      <c r="I567" s="3">
        <f t="shared" si="26"/>
        <v>0</v>
      </c>
    </row>
    <row r="568" spans="4:9" x14ac:dyDescent="0.35">
      <c r="D568" s="2"/>
      <c r="E568" s="2"/>
      <c r="F568" s="3"/>
      <c r="G568" s="3">
        <f t="shared" si="24"/>
        <v>0</v>
      </c>
      <c r="H568" s="3">
        <f t="shared" si="25"/>
        <v>0</v>
      </c>
      <c r="I568" s="3">
        <f t="shared" si="26"/>
        <v>0</v>
      </c>
    </row>
    <row r="569" spans="4:9" x14ac:dyDescent="0.35">
      <c r="D569" s="2"/>
      <c r="E569" s="2"/>
      <c r="F569" s="3"/>
      <c r="G569" s="3">
        <f t="shared" si="24"/>
        <v>0</v>
      </c>
      <c r="H569" s="3">
        <f t="shared" si="25"/>
        <v>0</v>
      </c>
      <c r="I569" s="3">
        <f t="shared" si="26"/>
        <v>0</v>
      </c>
    </row>
    <row r="570" spans="4:9" x14ac:dyDescent="0.35">
      <c r="D570" s="2"/>
      <c r="E570" s="2"/>
      <c r="F570" s="3"/>
      <c r="G570" s="3">
        <f t="shared" si="24"/>
        <v>0</v>
      </c>
      <c r="H570" s="3">
        <f t="shared" si="25"/>
        <v>0</v>
      </c>
      <c r="I570" s="3">
        <f t="shared" si="26"/>
        <v>0</v>
      </c>
    </row>
    <row r="571" spans="4:9" x14ac:dyDescent="0.35">
      <c r="D571" s="2"/>
      <c r="E571" s="2"/>
      <c r="F571" s="3"/>
      <c r="G571" s="3">
        <f t="shared" si="24"/>
        <v>0</v>
      </c>
      <c r="H571" s="3">
        <f t="shared" si="25"/>
        <v>0</v>
      </c>
      <c r="I571" s="3">
        <f t="shared" si="26"/>
        <v>0</v>
      </c>
    </row>
    <row r="572" spans="4:9" x14ac:dyDescent="0.35">
      <c r="D572" s="2"/>
      <c r="E572" s="2"/>
      <c r="F572" s="3"/>
      <c r="G572" s="3">
        <f t="shared" si="24"/>
        <v>0</v>
      </c>
      <c r="H572" s="3">
        <f t="shared" si="25"/>
        <v>0</v>
      </c>
      <c r="I572" s="3">
        <f t="shared" si="26"/>
        <v>0</v>
      </c>
    </row>
    <row r="573" spans="4:9" x14ac:dyDescent="0.35">
      <c r="D573" s="2"/>
      <c r="E573" s="2"/>
      <c r="F573" s="3"/>
      <c r="G573" s="3">
        <f t="shared" si="24"/>
        <v>0</v>
      </c>
      <c r="H573" s="3">
        <f t="shared" si="25"/>
        <v>0</v>
      </c>
      <c r="I573" s="3">
        <f t="shared" si="26"/>
        <v>0</v>
      </c>
    </row>
    <row r="574" spans="4:9" x14ac:dyDescent="0.35">
      <c r="D574" s="2"/>
      <c r="E574" s="2"/>
      <c r="F574" s="3"/>
      <c r="G574" s="3">
        <f t="shared" si="24"/>
        <v>0</v>
      </c>
      <c r="H574" s="3">
        <f t="shared" si="25"/>
        <v>0</v>
      </c>
      <c r="I574" s="3">
        <f t="shared" si="26"/>
        <v>0</v>
      </c>
    </row>
    <row r="575" spans="4:9" x14ac:dyDescent="0.35">
      <c r="D575" s="2"/>
      <c r="E575" s="2"/>
      <c r="F575" s="3"/>
      <c r="G575" s="3">
        <f t="shared" si="24"/>
        <v>0</v>
      </c>
      <c r="H575" s="3">
        <f t="shared" si="25"/>
        <v>0</v>
      </c>
      <c r="I575" s="3">
        <f t="shared" si="26"/>
        <v>0</v>
      </c>
    </row>
    <row r="576" spans="4:9" x14ac:dyDescent="0.35">
      <c r="D576" s="2"/>
      <c r="E576" s="2"/>
      <c r="F576" s="3"/>
      <c r="G576" s="3">
        <f t="shared" si="24"/>
        <v>0</v>
      </c>
      <c r="H576" s="3">
        <f t="shared" si="25"/>
        <v>0</v>
      </c>
      <c r="I576" s="3">
        <f t="shared" si="26"/>
        <v>0</v>
      </c>
    </row>
    <row r="577" spans="4:9" x14ac:dyDescent="0.35">
      <c r="D577" s="2"/>
      <c r="E577" s="2"/>
      <c r="F577" s="3"/>
      <c r="G577" s="3">
        <f t="shared" si="24"/>
        <v>0</v>
      </c>
      <c r="H577" s="3">
        <f t="shared" si="25"/>
        <v>0</v>
      </c>
      <c r="I577" s="3">
        <f t="shared" si="26"/>
        <v>0</v>
      </c>
    </row>
    <row r="578" spans="4:9" x14ac:dyDescent="0.35">
      <c r="D578" s="2"/>
      <c r="E578" s="2"/>
      <c r="F578" s="3"/>
      <c r="G578" s="3">
        <f t="shared" ref="G578:G641" si="27">IF($F578&gt;0,$E578/(1-$F578),0)</f>
        <v>0</v>
      </c>
      <c r="H578" s="3">
        <f t="shared" ref="H578:H641" si="28">IF($D578&gt;0,$G578/$D578,0)</f>
        <v>0</v>
      </c>
      <c r="I578" s="3">
        <f t="shared" ref="I578:I641" si="29">$E578*1.1</f>
        <v>0</v>
      </c>
    </row>
    <row r="579" spans="4:9" x14ac:dyDescent="0.35">
      <c r="D579" s="2"/>
      <c r="E579" s="2"/>
      <c r="F579" s="3"/>
      <c r="G579" s="3">
        <f t="shared" si="27"/>
        <v>0</v>
      </c>
      <c r="H579" s="3">
        <f t="shared" si="28"/>
        <v>0</v>
      </c>
      <c r="I579" s="3">
        <f t="shared" si="29"/>
        <v>0</v>
      </c>
    </row>
    <row r="580" spans="4:9" x14ac:dyDescent="0.35">
      <c r="D580" s="2"/>
      <c r="E580" s="2"/>
      <c r="F580" s="3"/>
      <c r="G580" s="3">
        <f t="shared" si="27"/>
        <v>0</v>
      </c>
      <c r="H580" s="3">
        <f t="shared" si="28"/>
        <v>0</v>
      </c>
      <c r="I580" s="3">
        <f t="shared" si="29"/>
        <v>0</v>
      </c>
    </row>
    <row r="581" spans="4:9" x14ac:dyDescent="0.35">
      <c r="D581" s="2"/>
      <c r="E581" s="2"/>
      <c r="F581" s="3"/>
      <c r="G581" s="3">
        <f t="shared" si="27"/>
        <v>0</v>
      </c>
      <c r="H581" s="3">
        <f t="shared" si="28"/>
        <v>0</v>
      </c>
      <c r="I581" s="3">
        <f t="shared" si="29"/>
        <v>0</v>
      </c>
    </row>
    <row r="582" spans="4:9" x14ac:dyDescent="0.35">
      <c r="D582" s="2"/>
      <c r="E582" s="2"/>
      <c r="F582" s="3"/>
      <c r="G582" s="3">
        <f t="shared" si="27"/>
        <v>0</v>
      </c>
      <c r="H582" s="3">
        <f t="shared" si="28"/>
        <v>0</v>
      </c>
      <c r="I582" s="3">
        <f t="shared" si="29"/>
        <v>0</v>
      </c>
    </row>
    <row r="583" spans="4:9" x14ac:dyDescent="0.35">
      <c r="D583" s="2"/>
      <c r="E583" s="2"/>
      <c r="F583" s="3"/>
      <c r="G583" s="3">
        <f t="shared" si="27"/>
        <v>0</v>
      </c>
      <c r="H583" s="3">
        <f t="shared" si="28"/>
        <v>0</v>
      </c>
      <c r="I583" s="3">
        <f t="shared" si="29"/>
        <v>0</v>
      </c>
    </row>
    <row r="584" spans="4:9" x14ac:dyDescent="0.35">
      <c r="D584" s="2"/>
      <c r="E584" s="2"/>
      <c r="F584" s="3"/>
      <c r="G584" s="3">
        <f t="shared" si="27"/>
        <v>0</v>
      </c>
      <c r="H584" s="3">
        <f t="shared" si="28"/>
        <v>0</v>
      </c>
      <c r="I584" s="3">
        <f t="shared" si="29"/>
        <v>0</v>
      </c>
    </row>
    <row r="585" spans="4:9" x14ac:dyDescent="0.35">
      <c r="D585" s="2"/>
      <c r="E585" s="2"/>
      <c r="F585" s="3"/>
      <c r="G585" s="3">
        <f t="shared" si="27"/>
        <v>0</v>
      </c>
      <c r="H585" s="3">
        <f t="shared" si="28"/>
        <v>0</v>
      </c>
      <c r="I585" s="3">
        <f t="shared" si="29"/>
        <v>0</v>
      </c>
    </row>
    <row r="586" spans="4:9" x14ac:dyDescent="0.35">
      <c r="D586" s="2"/>
      <c r="E586" s="2"/>
      <c r="F586" s="3"/>
      <c r="G586" s="3">
        <f t="shared" si="27"/>
        <v>0</v>
      </c>
      <c r="H586" s="3">
        <f t="shared" si="28"/>
        <v>0</v>
      </c>
      <c r="I586" s="3">
        <f t="shared" si="29"/>
        <v>0</v>
      </c>
    </row>
    <row r="587" spans="4:9" x14ac:dyDescent="0.35">
      <c r="D587" s="2"/>
      <c r="E587" s="2"/>
      <c r="F587" s="3"/>
      <c r="G587" s="3">
        <f t="shared" si="27"/>
        <v>0</v>
      </c>
      <c r="H587" s="3">
        <f t="shared" si="28"/>
        <v>0</v>
      </c>
      <c r="I587" s="3">
        <f t="shared" si="29"/>
        <v>0</v>
      </c>
    </row>
    <row r="588" spans="4:9" x14ac:dyDescent="0.35">
      <c r="D588" s="2"/>
      <c r="E588" s="2"/>
      <c r="F588" s="3"/>
      <c r="G588" s="3">
        <f t="shared" si="27"/>
        <v>0</v>
      </c>
      <c r="H588" s="3">
        <f t="shared" si="28"/>
        <v>0</v>
      </c>
      <c r="I588" s="3">
        <f t="shared" si="29"/>
        <v>0</v>
      </c>
    </row>
    <row r="589" spans="4:9" x14ac:dyDescent="0.35">
      <c r="D589" s="2"/>
      <c r="E589" s="2"/>
      <c r="F589" s="3"/>
      <c r="G589" s="3">
        <f t="shared" si="27"/>
        <v>0</v>
      </c>
      <c r="H589" s="3">
        <f t="shared" si="28"/>
        <v>0</v>
      </c>
      <c r="I589" s="3">
        <f t="shared" si="29"/>
        <v>0</v>
      </c>
    </row>
    <row r="590" spans="4:9" x14ac:dyDescent="0.35">
      <c r="D590" s="2"/>
      <c r="E590" s="2"/>
      <c r="F590" s="3"/>
      <c r="G590" s="3">
        <f t="shared" si="27"/>
        <v>0</v>
      </c>
      <c r="H590" s="3">
        <f t="shared" si="28"/>
        <v>0</v>
      </c>
      <c r="I590" s="3">
        <f t="shared" si="29"/>
        <v>0</v>
      </c>
    </row>
    <row r="591" spans="4:9" x14ac:dyDescent="0.35">
      <c r="D591" s="2"/>
      <c r="E591" s="2"/>
      <c r="F591" s="3"/>
      <c r="G591" s="3">
        <f t="shared" si="27"/>
        <v>0</v>
      </c>
      <c r="H591" s="3">
        <f t="shared" si="28"/>
        <v>0</v>
      </c>
      <c r="I591" s="3">
        <f t="shared" si="29"/>
        <v>0</v>
      </c>
    </row>
    <row r="592" spans="4:9" x14ac:dyDescent="0.35">
      <c r="D592" s="2"/>
      <c r="E592" s="2"/>
      <c r="F592" s="3"/>
      <c r="G592" s="3">
        <f t="shared" si="27"/>
        <v>0</v>
      </c>
      <c r="H592" s="3">
        <f t="shared" si="28"/>
        <v>0</v>
      </c>
      <c r="I592" s="3">
        <f t="shared" si="29"/>
        <v>0</v>
      </c>
    </row>
    <row r="593" spans="4:9" x14ac:dyDescent="0.35">
      <c r="D593" s="2"/>
      <c r="E593" s="2"/>
      <c r="F593" s="3"/>
      <c r="G593" s="3">
        <f t="shared" si="27"/>
        <v>0</v>
      </c>
      <c r="H593" s="3">
        <f t="shared" si="28"/>
        <v>0</v>
      </c>
      <c r="I593" s="3">
        <f t="shared" si="29"/>
        <v>0</v>
      </c>
    </row>
    <row r="594" spans="4:9" x14ac:dyDescent="0.35">
      <c r="D594" s="2"/>
      <c r="E594" s="2"/>
      <c r="F594" s="3"/>
      <c r="G594" s="3">
        <f t="shared" si="27"/>
        <v>0</v>
      </c>
      <c r="H594" s="3">
        <f t="shared" si="28"/>
        <v>0</v>
      </c>
      <c r="I594" s="3">
        <f t="shared" si="29"/>
        <v>0</v>
      </c>
    </row>
    <row r="595" spans="4:9" x14ac:dyDescent="0.35">
      <c r="D595" s="2"/>
      <c r="E595" s="2"/>
      <c r="F595" s="3"/>
      <c r="G595" s="3">
        <f t="shared" si="27"/>
        <v>0</v>
      </c>
      <c r="H595" s="3">
        <f t="shared" si="28"/>
        <v>0</v>
      </c>
      <c r="I595" s="3">
        <f t="shared" si="29"/>
        <v>0</v>
      </c>
    </row>
    <row r="596" spans="4:9" x14ac:dyDescent="0.35">
      <c r="D596" s="2"/>
      <c r="E596" s="2"/>
      <c r="F596" s="3"/>
      <c r="G596" s="3">
        <f t="shared" si="27"/>
        <v>0</v>
      </c>
      <c r="H596" s="3">
        <f t="shared" si="28"/>
        <v>0</v>
      </c>
      <c r="I596" s="3">
        <f t="shared" si="29"/>
        <v>0</v>
      </c>
    </row>
    <row r="597" spans="4:9" x14ac:dyDescent="0.35">
      <c r="D597" s="2"/>
      <c r="E597" s="2"/>
      <c r="F597" s="3"/>
      <c r="G597" s="3">
        <f t="shared" si="27"/>
        <v>0</v>
      </c>
      <c r="H597" s="3">
        <f t="shared" si="28"/>
        <v>0</v>
      </c>
      <c r="I597" s="3">
        <f t="shared" si="29"/>
        <v>0</v>
      </c>
    </row>
    <row r="598" spans="4:9" x14ac:dyDescent="0.35">
      <c r="D598" s="2"/>
      <c r="E598" s="2"/>
      <c r="F598" s="3"/>
      <c r="G598" s="3">
        <f t="shared" si="27"/>
        <v>0</v>
      </c>
      <c r="H598" s="3">
        <f t="shared" si="28"/>
        <v>0</v>
      </c>
      <c r="I598" s="3">
        <f t="shared" si="29"/>
        <v>0</v>
      </c>
    </row>
    <row r="599" spans="4:9" x14ac:dyDescent="0.35">
      <c r="D599" s="2"/>
      <c r="E599" s="2"/>
      <c r="F599" s="3"/>
      <c r="G599" s="3">
        <f t="shared" si="27"/>
        <v>0</v>
      </c>
      <c r="H599" s="3">
        <f t="shared" si="28"/>
        <v>0</v>
      </c>
      <c r="I599" s="3">
        <f t="shared" si="29"/>
        <v>0</v>
      </c>
    </row>
    <row r="600" spans="4:9" x14ac:dyDescent="0.35">
      <c r="D600" s="2"/>
      <c r="E600" s="2"/>
      <c r="F600" s="3"/>
      <c r="G600" s="3">
        <f t="shared" si="27"/>
        <v>0</v>
      </c>
      <c r="H600" s="3">
        <f t="shared" si="28"/>
        <v>0</v>
      </c>
      <c r="I600" s="3">
        <f t="shared" si="29"/>
        <v>0</v>
      </c>
    </row>
    <row r="601" spans="4:9" x14ac:dyDescent="0.35">
      <c r="D601" s="2"/>
      <c r="E601" s="2"/>
      <c r="F601" s="3"/>
      <c r="G601" s="3">
        <f t="shared" si="27"/>
        <v>0</v>
      </c>
      <c r="H601" s="3">
        <f t="shared" si="28"/>
        <v>0</v>
      </c>
      <c r="I601" s="3">
        <f t="shared" si="29"/>
        <v>0</v>
      </c>
    </row>
    <row r="602" spans="4:9" x14ac:dyDescent="0.35">
      <c r="D602" s="2"/>
      <c r="E602" s="2"/>
      <c r="F602" s="3"/>
      <c r="G602" s="3">
        <f t="shared" si="27"/>
        <v>0</v>
      </c>
      <c r="H602" s="3">
        <f t="shared" si="28"/>
        <v>0</v>
      </c>
      <c r="I602" s="3">
        <f t="shared" si="29"/>
        <v>0</v>
      </c>
    </row>
    <row r="603" spans="4:9" x14ac:dyDescent="0.35">
      <c r="D603" s="2"/>
      <c r="E603" s="2"/>
      <c r="F603" s="3"/>
      <c r="G603" s="3">
        <f t="shared" si="27"/>
        <v>0</v>
      </c>
      <c r="H603" s="3">
        <f t="shared" si="28"/>
        <v>0</v>
      </c>
      <c r="I603" s="3">
        <f t="shared" si="29"/>
        <v>0</v>
      </c>
    </row>
    <row r="604" spans="4:9" x14ac:dyDescent="0.35">
      <c r="D604" s="2"/>
      <c r="E604" s="2"/>
      <c r="F604" s="3"/>
      <c r="G604" s="3">
        <f t="shared" si="27"/>
        <v>0</v>
      </c>
      <c r="H604" s="3">
        <f t="shared" si="28"/>
        <v>0</v>
      </c>
      <c r="I604" s="3">
        <f t="shared" si="29"/>
        <v>0</v>
      </c>
    </row>
    <row r="605" spans="4:9" x14ac:dyDescent="0.35">
      <c r="D605" s="2"/>
      <c r="E605" s="2"/>
      <c r="F605" s="3"/>
      <c r="G605" s="3">
        <f t="shared" si="27"/>
        <v>0</v>
      </c>
      <c r="H605" s="3">
        <f t="shared" si="28"/>
        <v>0</v>
      </c>
      <c r="I605" s="3">
        <f t="shared" si="29"/>
        <v>0</v>
      </c>
    </row>
    <row r="606" spans="4:9" x14ac:dyDescent="0.35">
      <c r="D606" s="2"/>
      <c r="E606" s="2"/>
      <c r="F606" s="3"/>
      <c r="G606" s="3">
        <f t="shared" si="27"/>
        <v>0</v>
      </c>
      <c r="H606" s="3">
        <f t="shared" si="28"/>
        <v>0</v>
      </c>
      <c r="I606" s="3">
        <f t="shared" si="29"/>
        <v>0</v>
      </c>
    </row>
    <row r="607" spans="4:9" x14ac:dyDescent="0.35">
      <c r="D607" s="2"/>
      <c r="E607" s="2"/>
      <c r="F607" s="3"/>
      <c r="G607" s="3">
        <f t="shared" si="27"/>
        <v>0</v>
      </c>
      <c r="H607" s="3">
        <f t="shared" si="28"/>
        <v>0</v>
      </c>
      <c r="I607" s="3">
        <f t="shared" si="29"/>
        <v>0</v>
      </c>
    </row>
    <row r="608" spans="4:9" x14ac:dyDescent="0.35">
      <c r="D608" s="2"/>
      <c r="E608" s="2"/>
      <c r="F608" s="3"/>
      <c r="G608" s="3">
        <f t="shared" si="27"/>
        <v>0</v>
      </c>
      <c r="H608" s="3">
        <f t="shared" si="28"/>
        <v>0</v>
      </c>
      <c r="I608" s="3">
        <f t="shared" si="29"/>
        <v>0</v>
      </c>
    </row>
    <row r="609" spans="4:9" x14ac:dyDescent="0.35">
      <c r="D609" s="2"/>
      <c r="E609" s="2"/>
      <c r="F609" s="3"/>
      <c r="G609" s="3">
        <f t="shared" si="27"/>
        <v>0</v>
      </c>
      <c r="H609" s="3">
        <f t="shared" si="28"/>
        <v>0</v>
      </c>
      <c r="I609" s="3">
        <f t="shared" si="29"/>
        <v>0</v>
      </c>
    </row>
    <row r="610" spans="4:9" x14ac:dyDescent="0.35">
      <c r="D610" s="2"/>
      <c r="E610" s="2"/>
      <c r="F610" s="3"/>
      <c r="G610" s="3">
        <f t="shared" si="27"/>
        <v>0</v>
      </c>
      <c r="H610" s="3">
        <f t="shared" si="28"/>
        <v>0</v>
      </c>
      <c r="I610" s="3">
        <f t="shared" si="29"/>
        <v>0</v>
      </c>
    </row>
    <row r="611" spans="4:9" x14ac:dyDescent="0.35">
      <c r="D611" s="2"/>
      <c r="E611" s="2"/>
      <c r="F611" s="3"/>
      <c r="G611" s="3">
        <f t="shared" si="27"/>
        <v>0</v>
      </c>
      <c r="H611" s="3">
        <f t="shared" si="28"/>
        <v>0</v>
      </c>
      <c r="I611" s="3">
        <f t="shared" si="29"/>
        <v>0</v>
      </c>
    </row>
    <row r="612" spans="4:9" x14ac:dyDescent="0.35">
      <c r="D612" s="2"/>
      <c r="E612" s="2"/>
      <c r="F612" s="3"/>
      <c r="G612" s="3">
        <f t="shared" si="27"/>
        <v>0</v>
      </c>
      <c r="H612" s="3">
        <f t="shared" si="28"/>
        <v>0</v>
      </c>
      <c r="I612" s="3">
        <f t="shared" si="29"/>
        <v>0</v>
      </c>
    </row>
    <row r="613" spans="4:9" x14ac:dyDescent="0.35">
      <c r="D613" s="2"/>
      <c r="E613" s="2"/>
      <c r="F613" s="3"/>
      <c r="G613" s="3">
        <f t="shared" si="27"/>
        <v>0</v>
      </c>
      <c r="H613" s="3">
        <f t="shared" si="28"/>
        <v>0</v>
      </c>
      <c r="I613" s="3">
        <f t="shared" si="29"/>
        <v>0</v>
      </c>
    </row>
    <row r="614" spans="4:9" x14ac:dyDescent="0.35">
      <c r="D614" s="2"/>
      <c r="E614" s="2"/>
      <c r="F614" s="3"/>
      <c r="G614" s="3">
        <f t="shared" si="27"/>
        <v>0</v>
      </c>
      <c r="H614" s="3">
        <f t="shared" si="28"/>
        <v>0</v>
      </c>
      <c r="I614" s="3">
        <f t="shared" si="29"/>
        <v>0</v>
      </c>
    </row>
    <row r="615" spans="4:9" x14ac:dyDescent="0.35">
      <c r="D615" s="2"/>
      <c r="E615" s="2"/>
      <c r="F615" s="3"/>
      <c r="G615" s="3">
        <f t="shared" si="27"/>
        <v>0</v>
      </c>
      <c r="H615" s="3">
        <f t="shared" si="28"/>
        <v>0</v>
      </c>
      <c r="I615" s="3">
        <f t="shared" si="29"/>
        <v>0</v>
      </c>
    </row>
    <row r="616" spans="4:9" x14ac:dyDescent="0.35">
      <c r="D616" s="2"/>
      <c r="E616" s="2"/>
      <c r="F616" s="3"/>
      <c r="G616" s="3">
        <f t="shared" si="27"/>
        <v>0</v>
      </c>
      <c r="H616" s="3">
        <f t="shared" si="28"/>
        <v>0</v>
      </c>
      <c r="I616" s="3">
        <f t="shared" si="29"/>
        <v>0</v>
      </c>
    </row>
    <row r="617" spans="4:9" x14ac:dyDescent="0.35">
      <c r="D617" s="2"/>
      <c r="E617" s="2"/>
      <c r="F617" s="3"/>
      <c r="G617" s="3">
        <f t="shared" si="27"/>
        <v>0</v>
      </c>
      <c r="H617" s="3">
        <f t="shared" si="28"/>
        <v>0</v>
      </c>
      <c r="I617" s="3">
        <f t="shared" si="29"/>
        <v>0</v>
      </c>
    </row>
    <row r="618" spans="4:9" x14ac:dyDescent="0.35">
      <c r="D618" s="2"/>
      <c r="E618" s="2"/>
      <c r="F618" s="3"/>
      <c r="G618" s="3">
        <f t="shared" si="27"/>
        <v>0</v>
      </c>
      <c r="H618" s="3">
        <f t="shared" si="28"/>
        <v>0</v>
      </c>
      <c r="I618" s="3">
        <f t="shared" si="29"/>
        <v>0</v>
      </c>
    </row>
    <row r="619" spans="4:9" x14ac:dyDescent="0.35">
      <c r="D619" s="2"/>
      <c r="E619" s="2"/>
      <c r="F619" s="3"/>
      <c r="G619" s="3">
        <f t="shared" si="27"/>
        <v>0</v>
      </c>
      <c r="H619" s="3">
        <f t="shared" si="28"/>
        <v>0</v>
      </c>
      <c r="I619" s="3">
        <f t="shared" si="29"/>
        <v>0</v>
      </c>
    </row>
    <row r="620" spans="4:9" x14ac:dyDescent="0.35">
      <c r="D620" s="2"/>
      <c r="E620" s="2"/>
      <c r="F620" s="3"/>
      <c r="G620" s="3">
        <f t="shared" si="27"/>
        <v>0</v>
      </c>
      <c r="H620" s="3">
        <f t="shared" si="28"/>
        <v>0</v>
      </c>
      <c r="I620" s="3">
        <f t="shared" si="29"/>
        <v>0</v>
      </c>
    </row>
    <row r="621" spans="4:9" x14ac:dyDescent="0.35">
      <c r="D621" s="2"/>
      <c r="E621" s="2"/>
      <c r="F621" s="3"/>
      <c r="G621" s="3">
        <f t="shared" si="27"/>
        <v>0</v>
      </c>
      <c r="H621" s="3">
        <f t="shared" si="28"/>
        <v>0</v>
      </c>
      <c r="I621" s="3">
        <f t="shared" si="29"/>
        <v>0</v>
      </c>
    </row>
    <row r="622" spans="4:9" x14ac:dyDescent="0.35">
      <c r="D622" s="2"/>
      <c r="E622" s="2"/>
      <c r="F622" s="3"/>
      <c r="G622" s="3">
        <f t="shared" si="27"/>
        <v>0</v>
      </c>
      <c r="H622" s="3">
        <f t="shared" si="28"/>
        <v>0</v>
      </c>
      <c r="I622" s="3">
        <f t="shared" si="29"/>
        <v>0</v>
      </c>
    </row>
    <row r="623" spans="4:9" x14ac:dyDescent="0.35">
      <c r="D623" s="2"/>
      <c r="E623" s="2"/>
      <c r="F623" s="3"/>
      <c r="G623" s="3">
        <f t="shared" si="27"/>
        <v>0</v>
      </c>
      <c r="H623" s="3">
        <f t="shared" si="28"/>
        <v>0</v>
      </c>
      <c r="I623" s="3">
        <f t="shared" si="29"/>
        <v>0</v>
      </c>
    </row>
    <row r="624" spans="4:9" x14ac:dyDescent="0.35">
      <c r="D624" s="2"/>
      <c r="E624" s="2"/>
      <c r="F624" s="3"/>
      <c r="G624" s="3">
        <f t="shared" si="27"/>
        <v>0</v>
      </c>
      <c r="H624" s="3">
        <f t="shared" si="28"/>
        <v>0</v>
      </c>
      <c r="I624" s="3">
        <f t="shared" si="29"/>
        <v>0</v>
      </c>
    </row>
    <row r="625" spans="4:9" x14ac:dyDescent="0.35">
      <c r="D625" s="2"/>
      <c r="E625" s="2"/>
      <c r="F625" s="3"/>
      <c r="G625" s="3">
        <f t="shared" si="27"/>
        <v>0</v>
      </c>
      <c r="H625" s="3">
        <f t="shared" si="28"/>
        <v>0</v>
      </c>
      <c r="I625" s="3">
        <f t="shared" si="29"/>
        <v>0</v>
      </c>
    </row>
    <row r="626" spans="4:9" x14ac:dyDescent="0.35">
      <c r="D626" s="2"/>
      <c r="E626" s="2"/>
      <c r="F626" s="3"/>
      <c r="G626" s="3">
        <f t="shared" si="27"/>
        <v>0</v>
      </c>
      <c r="H626" s="3">
        <f t="shared" si="28"/>
        <v>0</v>
      </c>
      <c r="I626" s="3">
        <f t="shared" si="29"/>
        <v>0</v>
      </c>
    </row>
    <row r="627" spans="4:9" x14ac:dyDescent="0.35">
      <c r="D627" s="2"/>
      <c r="E627" s="2"/>
      <c r="F627" s="3"/>
      <c r="G627" s="3">
        <f t="shared" si="27"/>
        <v>0</v>
      </c>
      <c r="H627" s="3">
        <f t="shared" si="28"/>
        <v>0</v>
      </c>
      <c r="I627" s="3">
        <f t="shared" si="29"/>
        <v>0</v>
      </c>
    </row>
    <row r="628" spans="4:9" x14ac:dyDescent="0.35">
      <c r="D628" s="2"/>
      <c r="E628" s="2"/>
      <c r="F628" s="3"/>
      <c r="G628" s="3">
        <f t="shared" si="27"/>
        <v>0</v>
      </c>
      <c r="H628" s="3">
        <f t="shared" si="28"/>
        <v>0</v>
      </c>
      <c r="I628" s="3">
        <f t="shared" si="29"/>
        <v>0</v>
      </c>
    </row>
    <row r="629" spans="4:9" x14ac:dyDescent="0.35">
      <c r="D629" s="2"/>
      <c r="E629" s="2"/>
      <c r="F629" s="3"/>
      <c r="G629" s="3">
        <f t="shared" si="27"/>
        <v>0</v>
      </c>
      <c r="H629" s="3">
        <f t="shared" si="28"/>
        <v>0</v>
      </c>
      <c r="I629" s="3">
        <f t="shared" si="29"/>
        <v>0</v>
      </c>
    </row>
    <row r="630" spans="4:9" x14ac:dyDescent="0.35">
      <c r="D630" s="2"/>
      <c r="E630" s="2"/>
      <c r="F630" s="3"/>
      <c r="G630" s="3">
        <f t="shared" si="27"/>
        <v>0</v>
      </c>
      <c r="H630" s="3">
        <f t="shared" si="28"/>
        <v>0</v>
      </c>
      <c r="I630" s="3">
        <f t="shared" si="29"/>
        <v>0</v>
      </c>
    </row>
    <row r="631" spans="4:9" x14ac:dyDescent="0.35">
      <c r="D631" s="2"/>
      <c r="E631" s="2"/>
      <c r="F631" s="3"/>
      <c r="G631" s="3">
        <f t="shared" si="27"/>
        <v>0</v>
      </c>
      <c r="H631" s="3">
        <f t="shared" si="28"/>
        <v>0</v>
      </c>
      <c r="I631" s="3">
        <f t="shared" si="29"/>
        <v>0</v>
      </c>
    </row>
    <row r="632" spans="4:9" x14ac:dyDescent="0.35">
      <c r="D632" s="2"/>
      <c r="E632" s="2"/>
      <c r="F632" s="3"/>
      <c r="G632" s="3">
        <f t="shared" si="27"/>
        <v>0</v>
      </c>
      <c r="H632" s="3">
        <f t="shared" si="28"/>
        <v>0</v>
      </c>
      <c r="I632" s="3">
        <f t="shared" si="29"/>
        <v>0</v>
      </c>
    </row>
    <row r="633" spans="4:9" x14ac:dyDescent="0.35">
      <c r="D633" s="2"/>
      <c r="E633" s="2"/>
      <c r="F633" s="3"/>
      <c r="G633" s="3">
        <f t="shared" si="27"/>
        <v>0</v>
      </c>
      <c r="H633" s="3">
        <f t="shared" si="28"/>
        <v>0</v>
      </c>
      <c r="I633" s="3">
        <f t="shared" si="29"/>
        <v>0</v>
      </c>
    </row>
    <row r="634" spans="4:9" x14ac:dyDescent="0.35">
      <c r="D634" s="2"/>
      <c r="E634" s="2"/>
      <c r="F634" s="3"/>
      <c r="G634" s="3">
        <f t="shared" si="27"/>
        <v>0</v>
      </c>
      <c r="H634" s="3">
        <f t="shared" si="28"/>
        <v>0</v>
      </c>
      <c r="I634" s="3">
        <f t="shared" si="29"/>
        <v>0</v>
      </c>
    </row>
    <row r="635" spans="4:9" x14ac:dyDescent="0.35">
      <c r="D635" s="2"/>
      <c r="E635" s="2"/>
      <c r="F635" s="3"/>
      <c r="G635" s="3">
        <f t="shared" si="27"/>
        <v>0</v>
      </c>
      <c r="H635" s="3">
        <f t="shared" si="28"/>
        <v>0</v>
      </c>
      <c r="I635" s="3">
        <f t="shared" si="29"/>
        <v>0</v>
      </c>
    </row>
    <row r="636" spans="4:9" x14ac:dyDescent="0.35">
      <c r="D636" s="2"/>
      <c r="E636" s="2"/>
      <c r="F636" s="3"/>
      <c r="G636" s="3">
        <f t="shared" si="27"/>
        <v>0</v>
      </c>
      <c r="H636" s="3">
        <f t="shared" si="28"/>
        <v>0</v>
      </c>
      <c r="I636" s="3">
        <f t="shared" si="29"/>
        <v>0</v>
      </c>
    </row>
    <row r="637" spans="4:9" x14ac:dyDescent="0.35">
      <c r="D637" s="2"/>
      <c r="E637" s="2"/>
      <c r="F637" s="3"/>
      <c r="G637" s="3">
        <f t="shared" si="27"/>
        <v>0</v>
      </c>
      <c r="H637" s="3">
        <f t="shared" si="28"/>
        <v>0</v>
      </c>
      <c r="I637" s="3">
        <f t="shared" si="29"/>
        <v>0</v>
      </c>
    </row>
    <row r="638" spans="4:9" x14ac:dyDescent="0.35">
      <c r="D638" s="2"/>
      <c r="E638" s="2"/>
      <c r="F638" s="3"/>
      <c r="G638" s="3">
        <f t="shared" si="27"/>
        <v>0</v>
      </c>
      <c r="H638" s="3">
        <f t="shared" si="28"/>
        <v>0</v>
      </c>
      <c r="I638" s="3">
        <f t="shared" si="29"/>
        <v>0</v>
      </c>
    </row>
    <row r="639" spans="4:9" x14ac:dyDescent="0.35">
      <c r="D639" s="2"/>
      <c r="E639" s="2"/>
      <c r="F639" s="3"/>
      <c r="G639" s="3">
        <f t="shared" si="27"/>
        <v>0</v>
      </c>
      <c r="H639" s="3">
        <f t="shared" si="28"/>
        <v>0</v>
      </c>
      <c r="I639" s="3">
        <f t="shared" si="29"/>
        <v>0</v>
      </c>
    </row>
    <row r="640" spans="4:9" x14ac:dyDescent="0.35">
      <c r="D640" s="2"/>
      <c r="E640" s="2"/>
      <c r="F640" s="3"/>
      <c r="G640" s="3">
        <f t="shared" si="27"/>
        <v>0</v>
      </c>
      <c r="H640" s="3">
        <f t="shared" si="28"/>
        <v>0</v>
      </c>
      <c r="I640" s="3">
        <f t="shared" si="29"/>
        <v>0</v>
      </c>
    </row>
    <row r="641" spans="4:9" x14ac:dyDescent="0.35">
      <c r="D641" s="2"/>
      <c r="E641" s="2"/>
      <c r="F641" s="3"/>
      <c r="G641" s="3">
        <f t="shared" si="27"/>
        <v>0</v>
      </c>
      <c r="H641" s="3">
        <f t="shared" si="28"/>
        <v>0</v>
      </c>
      <c r="I641" s="3">
        <f t="shared" si="29"/>
        <v>0</v>
      </c>
    </row>
    <row r="642" spans="4:9" x14ac:dyDescent="0.35">
      <c r="D642" s="2"/>
      <c r="E642" s="2"/>
      <c r="F642" s="3"/>
      <c r="G642" s="3">
        <f t="shared" ref="G642:G705" si="30">IF($F642&gt;0,$E642/(1-$F642),0)</f>
        <v>0</v>
      </c>
      <c r="H642" s="3">
        <f t="shared" ref="H642:H705" si="31">IF($D642&gt;0,$G642/$D642,0)</f>
        <v>0</v>
      </c>
      <c r="I642" s="3">
        <f t="shared" ref="I642:I705" si="32">$E642*1.1</f>
        <v>0</v>
      </c>
    </row>
    <row r="643" spans="4:9" x14ac:dyDescent="0.35">
      <c r="D643" s="2"/>
      <c r="E643" s="2"/>
      <c r="F643" s="3"/>
      <c r="G643" s="3">
        <f t="shared" si="30"/>
        <v>0</v>
      </c>
      <c r="H643" s="3">
        <f t="shared" si="31"/>
        <v>0</v>
      </c>
      <c r="I643" s="3">
        <f t="shared" si="32"/>
        <v>0</v>
      </c>
    </row>
    <row r="644" spans="4:9" x14ac:dyDescent="0.35">
      <c r="D644" s="2"/>
      <c r="E644" s="2"/>
      <c r="F644" s="3"/>
      <c r="G644" s="3">
        <f t="shared" si="30"/>
        <v>0</v>
      </c>
      <c r="H644" s="3">
        <f t="shared" si="31"/>
        <v>0</v>
      </c>
      <c r="I644" s="3">
        <f t="shared" si="32"/>
        <v>0</v>
      </c>
    </row>
    <row r="645" spans="4:9" x14ac:dyDescent="0.35">
      <c r="D645" s="2"/>
      <c r="E645" s="2"/>
      <c r="F645" s="3"/>
      <c r="G645" s="3">
        <f t="shared" si="30"/>
        <v>0</v>
      </c>
      <c r="H645" s="3">
        <f t="shared" si="31"/>
        <v>0</v>
      </c>
      <c r="I645" s="3">
        <f t="shared" si="32"/>
        <v>0</v>
      </c>
    </row>
    <row r="646" spans="4:9" x14ac:dyDescent="0.35">
      <c r="D646" s="2"/>
      <c r="E646" s="2"/>
      <c r="F646" s="3"/>
      <c r="G646" s="3">
        <f t="shared" si="30"/>
        <v>0</v>
      </c>
      <c r="H646" s="3">
        <f t="shared" si="31"/>
        <v>0</v>
      </c>
      <c r="I646" s="3">
        <f t="shared" si="32"/>
        <v>0</v>
      </c>
    </row>
    <row r="647" spans="4:9" x14ac:dyDescent="0.35">
      <c r="D647" s="2"/>
      <c r="E647" s="2"/>
      <c r="F647" s="3"/>
      <c r="G647" s="3">
        <f t="shared" si="30"/>
        <v>0</v>
      </c>
      <c r="H647" s="3">
        <f t="shared" si="31"/>
        <v>0</v>
      </c>
      <c r="I647" s="3">
        <f t="shared" si="32"/>
        <v>0</v>
      </c>
    </row>
    <row r="648" spans="4:9" x14ac:dyDescent="0.35">
      <c r="D648" s="2"/>
      <c r="E648" s="2"/>
      <c r="F648" s="3"/>
      <c r="G648" s="3">
        <f t="shared" si="30"/>
        <v>0</v>
      </c>
      <c r="H648" s="3">
        <f t="shared" si="31"/>
        <v>0</v>
      </c>
      <c r="I648" s="3">
        <f t="shared" si="32"/>
        <v>0</v>
      </c>
    </row>
    <row r="649" spans="4:9" x14ac:dyDescent="0.35">
      <c r="D649" s="2"/>
      <c r="E649" s="2"/>
      <c r="F649" s="3"/>
      <c r="G649" s="3">
        <f t="shared" si="30"/>
        <v>0</v>
      </c>
      <c r="H649" s="3">
        <f t="shared" si="31"/>
        <v>0</v>
      </c>
      <c r="I649" s="3">
        <f t="shared" si="32"/>
        <v>0</v>
      </c>
    </row>
    <row r="650" spans="4:9" x14ac:dyDescent="0.35">
      <c r="D650" s="2"/>
      <c r="E650" s="2"/>
      <c r="F650" s="3"/>
      <c r="G650" s="3">
        <f t="shared" si="30"/>
        <v>0</v>
      </c>
      <c r="H650" s="3">
        <f t="shared" si="31"/>
        <v>0</v>
      </c>
      <c r="I650" s="3">
        <f t="shared" si="32"/>
        <v>0</v>
      </c>
    </row>
    <row r="651" spans="4:9" x14ac:dyDescent="0.35">
      <c r="D651" s="2"/>
      <c r="E651" s="2"/>
      <c r="F651" s="3"/>
      <c r="G651" s="3">
        <f t="shared" si="30"/>
        <v>0</v>
      </c>
      <c r="H651" s="3">
        <f t="shared" si="31"/>
        <v>0</v>
      </c>
      <c r="I651" s="3">
        <f t="shared" si="32"/>
        <v>0</v>
      </c>
    </row>
    <row r="652" spans="4:9" x14ac:dyDescent="0.35">
      <c r="D652" s="2"/>
      <c r="E652" s="2"/>
      <c r="F652" s="3"/>
      <c r="G652" s="3">
        <f t="shared" si="30"/>
        <v>0</v>
      </c>
      <c r="H652" s="3">
        <f t="shared" si="31"/>
        <v>0</v>
      </c>
      <c r="I652" s="3">
        <f t="shared" si="32"/>
        <v>0</v>
      </c>
    </row>
    <row r="653" spans="4:9" x14ac:dyDescent="0.35">
      <c r="D653" s="2"/>
      <c r="E653" s="2"/>
      <c r="F653" s="3"/>
      <c r="G653" s="3">
        <f t="shared" si="30"/>
        <v>0</v>
      </c>
      <c r="H653" s="3">
        <f t="shared" si="31"/>
        <v>0</v>
      </c>
      <c r="I653" s="3">
        <f t="shared" si="32"/>
        <v>0</v>
      </c>
    </row>
    <row r="654" spans="4:9" x14ac:dyDescent="0.35">
      <c r="D654" s="2"/>
      <c r="E654" s="2"/>
      <c r="F654" s="3"/>
      <c r="G654" s="3">
        <f t="shared" si="30"/>
        <v>0</v>
      </c>
      <c r="H654" s="3">
        <f t="shared" si="31"/>
        <v>0</v>
      </c>
      <c r="I654" s="3">
        <f t="shared" si="32"/>
        <v>0</v>
      </c>
    </row>
    <row r="655" spans="4:9" x14ac:dyDescent="0.35">
      <c r="D655" s="2"/>
      <c r="E655" s="2"/>
      <c r="F655" s="3"/>
      <c r="G655" s="3">
        <f t="shared" si="30"/>
        <v>0</v>
      </c>
      <c r="H655" s="3">
        <f t="shared" si="31"/>
        <v>0</v>
      </c>
      <c r="I655" s="3">
        <f t="shared" si="32"/>
        <v>0</v>
      </c>
    </row>
    <row r="656" spans="4:9" x14ac:dyDescent="0.35">
      <c r="D656" s="2"/>
      <c r="E656" s="2"/>
      <c r="F656" s="3"/>
      <c r="G656" s="3">
        <f t="shared" si="30"/>
        <v>0</v>
      </c>
      <c r="H656" s="3">
        <f t="shared" si="31"/>
        <v>0</v>
      </c>
      <c r="I656" s="3">
        <f t="shared" si="32"/>
        <v>0</v>
      </c>
    </row>
    <row r="657" spans="4:9" x14ac:dyDescent="0.35">
      <c r="D657" s="2"/>
      <c r="E657" s="2"/>
      <c r="F657" s="3"/>
      <c r="G657" s="3">
        <f t="shared" si="30"/>
        <v>0</v>
      </c>
      <c r="H657" s="3">
        <f t="shared" si="31"/>
        <v>0</v>
      </c>
      <c r="I657" s="3">
        <f t="shared" si="32"/>
        <v>0</v>
      </c>
    </row>
    <row r="658" spans="4:9" x14ac:dyDescent="0.35">
      <c r="D658" s="2"/>
      <c r="E658" s="2"/>
      <c r="F658" s="3"/>
      <c r="G658" s="3">
        <f t="shared" si="30"/>
        <v>0</v>
      </c>
      <c r="H658" s="3">
        <f t="shared" si="31"/>
        <v>0</v>
      </c>
      <c r="I658" s="3">
        <f t="shared" si="32"/>
        <v>0</v>
      </c>
    </row>
    <row r="659" spans="4:9" x14ac:dyDescent="0.35">
      <c r="D659" s="2"/>
      <c r="E659" s="2"/>
      <c r="F659" s="3"/>
      <c r="G659" s="3">
        <f t="shared" si="30"/>
        <v>0</v>
      </c>
      <c r="H659" s="3">
        <f t="shared" si="31"/>
        <v>0</v>
      </c>
      <c r="I659" s="3">
        <f t="shared" si="32"/>
        <v>0</v>
      </c>
    </row>
    <row r="660" spans="4:9" x14ac:dyDescent="0.35">
      <c r="D660" s="2"/>
      <c r="E660" s="2"/>
      <c r="F660" s="3"/>
      <c r="G660" s="3">
        <f t="shared" si="30"/>
        <v>0</v>
      </c>
      <c r="H660" s="3">
        <f t="shared" si="31"/>
        <v>0</v>
      </c>
      <c r="I660" s="3">
        <f t="shared" si="32"/>
        <v>0</v>
      </c>
    </row>
    <row r="661" spans="4:9" x14ac:dyDescent="0.35">
      <c r="D661" s="2"/>
      <c r="E661" s="2"/>
      <c r="F661" s="3"/>
      <c r="G661" s="3">
        <f t="shared" si="30"/>
        <v>0</v>
      </c>
      <c r="H661" s="3">
        <f t="shared" si="31"/>
        <v>0</v>
      </c>
      <c r="I661" s="3">
        <f t="shared" si="32"/>
        <v>0</v>
      </c>
    </row>
    <row r="662" spans="4:9" x14ac:dyDescent="0.35">
      <c r="D662" s="2"/>
      <c r="E662" s="2"/>
      <c r="F662" s="3"/>
      <c r="G662" s="3">
        <f t="shared" si="30"/>
        <v>0</v>
      </c>
      <c r="H662" s="3">
        <f t="shared" si="31"/>
        <v>0</v>
      </c>
      <c r="I662" s="3">
        <f t="shared" si="32"/>
        <v>0</v>
      </c>
    </row>
    <row r="663" spans="4:9" x14ac:dyDescent="0.35">
      <c r="D663" s="2"/>
      <c r="E663" s="2"/>
      <c r="F663" s="3"/>
      <c r="G663" s="3">
        <f t="shared" si="30"/>
        <v>0</v>
      </c>
      <c r="H663" s="3">
        <f t="shared" si="31"/>
        <v>0</v>
      </c>
      <c r="I663" s="3">
        <f t="shared" si="32"/>
        <v>0</v>
      </c>
    </row>
    <row r="664" spans="4:9" x14ac:dyDescent="0.35">
      <c r="D664" s="2"/>
      <c r="E664" s="2"/>
      <c r="F664" s="3"/>
      <c r="G664" s="3">
        <f t="shared" si="30"/>
        <v>0</v>
      </c>
      <c r="H664" s="3">
        <f t="shared" si="31"/>
        <v>0</v>
      </c>
      <c r="I664" s="3">
        <f t="shared" si="32"/>
        <v>0</v>
      </c>
    </row>
    <row r="665" spans="4:9" x14ac:dyDescent="0.35">
      <c r="D665" s="2"/>
      <c r="E665" s="2"/>
      <c r="F665" s="3"/>
      <c r="G665" s="3">
        <f t="shared" si="30"/>
        <v>0</v>
      </c>
      <c r="H665" s="3">
        <f t="shared" si="31"/>
        <v>0</v>
      </c>
      <c r="I665" s="3">
        <f t="shared" si="32"/>
        <v>0</v>
      </c>
    </row>
    <row r="666" spans="4:9" x14ac:dyDescent="0.35">
      <c r="D666" s="2"/>
      <c r="E666" s="2"/>
      <c r="F666" s="3"/>
      <c r="G666" s="3">
        <f t="shared" si="30"/>
        <v>0</v>
      </c>
      <c r="H666" s="3">
        <f t="shared" si="31"/>
        <v>0</v>
      </c>
      <c r="I666" s="3">
        <f t="shared" si="32"/>
        <v>0</v>
      </c>
    </row>
    <row r="667" spans="4:9" x14ac:dyDescent="0.35">
      <c r="D667" s="2"/>
      <c r="E667" s="2"/>
      <c r="F667" s="3"/>
      <c r="G667" s="3">
        <f t="shared" si="30"/>
        <v>0</v>
      </c>
      <c r="H667" s="3">
        <f t="shared" si="31"/>
        <v>0</v>
      </c>
      <c r="I667" s="3">
        <f t="shared" si="32"/>
        <v>0</v>
      </c>
    </row>
    <row r="668" spans="4:9" x14ac:dyDescent="0.35">
      <c r="D668" s="2"/>
      <c r="E668" s="2"/>
      <c r="F668" s="3"/>
      <c r="G668" s="3">
        <f t="shared" si="30"/>
        <v>0</v>
      </c>
      <c r="H668" s="3">
        <f t="shared" si="31"/>
        <v>0</v>
      </c>
      <c r="I668" s="3">
        <f t="shared" si="32"/>
        <v>0</v>
      </c>
    </row>
    <row r="669" spans="4:9" x14ac:dyDescent="0.35">
      <c r="D669" s="2"/>
      <c r="E669" s="2"/>
      <c r="F669" s="3"/>
      <c r="G669" s="3">
        <f t="shared" si="30"/>
        <v>0</v>
      </c>
      <c r="H669" s="3">
        <f t="shared" si="31"/>
        <v>0</v>
      </c>
      <c r="I669" s="3">
        <f t="shared" si="32"/>
        <v>0</v>
      </c>
    </row>
    <row r="670" spans="4:9" x14ac:dyDescent="0.35">
      <c r="D670" s="2"/>
      <c r="E670" s="2"/>
      <c r="F670" s="3"/>
      <c r="G670" s="3">
        <f t="shared" si="30"/>
        <v>0</v>
      </c>
      <c r="H670" s="3">
        <f t="shared" si="31"/>
        <v>0</v>
      </c>
      <c r="I670" s="3">
        <f t="shared" si="32"/>
        <v>0</v>
      </c>
    </row>
    <row r="671" spans="4:9" x14ac:dyDescent="0.35">
      <c r="D671" s="2"/>
      <c r="E671" s="2"/>
      <c r="F671" s="3"/>
      <c r="G671" s="3">
        <f t="shared" si="30"/>
        <v>0</v>
      </c>
      <c r="H671" s="3">
        <f t="shared" si="31"/>
        <v>0</v>
      </c>
      <c r="I671" s="3">
        <f t="shared" si="32"/>
        <v>0</v>
      </c>
    </row>
    <row r="672" spans="4:9" x14ac:dyDescent="0.35">
      <c r="D672" s="2"/>
      <c r="E672" s="2"/>
      <c r="F672" s="3"/>
      <c r="G672" s="3">
        <f t="shared" si="30"/>
        <v>0</v>
      </c>
      <c r="H672" s="3">
        <f t="shared" si="31"/>
        <v>0</v>
      </c>
      <c r="I672" s="3">
        <f t="shared" si="32"/>
        <v>0</v>
      </c>
    </row>
    <row r="673" spans="4:9" x14ac:dyDescent="0.35">
      <c r="D673" s="2"/>
      <c r="E673" s="2"/>
      <c r="F673" s="3"/>
      <c r="G673" s="3">
        <f t="shared" si="30"/>
        <v>0</v>
      </c>
      <c r="H673" s="3">
        <f t="shared" si="31"/>
        <v>0</v>
      </c>
      <c r="I673" s="3">
        <f t="shared" si="32"/>
        <v>0</v>
      </c>
    </row>
    <row r="674" spans="4:9" x14ac:dyDescent="0.35">
      <c r="D674" s="2"/>
      <c r="E674" s="2"/>
      <c r="F674" s="3"/>
      <c r="G674" s="3">
        <f t="shared" si="30"/>
        <v>0</v>
      </c>
      <c r="H674" s="3">
        <f t="shared" si="31"/>
        <v>0</v>
      </c>
      <c r="I674" s="3">
        <f t="shared" si="32"/>
        <v>0</v>
      </c>
    </row>
    <row r="675" spans="4:9" x14ac:dyDescent="0.35">
      <c r="D675" s="2"/>
      <c r="E675" s="2"/>
      <c r="F675" s="3"/>
      <c r="G675" s="3">
        <f t="shared" si="30"/>
        <v>0</v>
      </c>
      <c r="H675" s="3">
        <f t="shared" si="31"/>
        <v>0</v>
      </c>
      <c r="I675" s="3">
        <f t="shared" si="32"/>
        <v>0</v>
      </c>
    </row>
    <row r="676" spans="4:9" x14ac:dyDescent="0.35">
      <c r="D676" s="2"/>
      <c r="E676" s="2"/>
      <c r="F676" s="3"/>
      <c r="G676" s="3">
        <f t="shared" si="30"/>
        <v>0</v>
      </c>
      <c r="H676" s="3">
        <f t="shared" si="31"/>
        <v>0</v>
      </c>
      <c r="I676" s="3">
        <f t="shared" si="32"/>
        <v>0</v>
      </c>
    </row>
    <row r="677" spans="4:9" x14ac:dyDescent="0.35">
      <c r="D677" s="2"/>
      <c r="E677" s="2"/>
      <c r="F677" s="3"/>
      <c r="G677" s="3">
        <f t="shared" si="30"/>
        <v>0</v>
      </c>
      <c r="H677" s="3">
        <f t="shared" si="31"/>
        <v>0</v>
      </c>
      <c r="I677" s="3">
        <f t="shared" si="32"/>
        <v>0</v>
      </c>
    </row>
    <row r="678" spans="4:9" x14ac:dyDescent="0.35">
      <c r="D678" s="2"/>
      <c r="E678" s="2"/>
      <c r="F678" s="3"/>
      <c r="G678" s="3">
        <f t="shared" si="30"/>
        <v>0</v>
      </c>
      <c r="H678" s="3">
        <f t="shared" si="31"/>
        <v>0</v>
      </c>
      <c r="I678" s="3">
        <f t="shared" si="32"/>
        <v>0</v>
      </c>
    </row>
    <row r="679" spans="4:9" x14ac:dyDescent="0.35">
      <c r="D679" s="2"/>
      <c r="E679" s="2"/>
      <c r="F679" s="3"/>
      <c r="G679" s="3">
        <f t="shared" si="30"/>
        <v>0</v>
      </c>
      <c r="H679" s="3">
        <f t="shared" si="31"/>
        <v>0</v>
      </c>
      <c r="I679" s="3">
        <f t="shared" si="32"/>
        <v>0</v>
      </c>
    </row>
    <row r="680" spans="4:9" x14ac:dyDescent="0.35">
      <c r="D680" s="2"/>
      <c r="E680" s="2"/>
      <c r="F680" s="3"/>
      <c r="G680" s="3">
        <f t="shared" si="30"/>
        <v>0</v>
      </c>
      <c r="H680" s="3">
        <f t="shared" si="31"/>
        <v>0</v>
      </c>
      <c r="I680" s="3">
        <f t="shared" si="32"/>
        <v>0</v>
      </c>
    </row>
    <row r="681" spans="4:9" x14ac:dyDescent="0.35">
      <c r="D681" s="2"/>
      <c r="E681" s="2"/>
      <c r="F681" s="3"/>
      <c r="G681" s="3">
        <f t="shared" si="30"/>
        <v>0</v>
      </c>
      <c r="H681" s="3">
        <f t="shared" si="31"/>
        <v>0</v>
      </c>
      <c r="I681" s="3">
        <f t="shared" si="32"/>
        <v>0</v>
      </c>
    </row>
    <row r="682" spans="4:9" x14ac:dyDescent="0.35">
      <c r="D682" s="2"/>
      <c r="E682" s="2"/>
      <c r="F682" s="3"/>
      <c r="G682" s="3">
        <f t="shared" si="30"/>
        <v>0</v>
      </c>
      <c r="H682" s="3">
        <f t="shared" si="31"/>
        <v>0</v>
      </c>
      <c r="I682" s="3">
        <f t="shared" si="32"/>
        <v>0</v>
      </c>
    </row>
    <row r="683" spans="4:9" x14ac:dyDescent="0.35">
      <c r="D683" s="2"/>
      <c r="E683" s="2"/>
      <c r="F683" s="3"/>
      <c r="G683" s="3">
        <f t="shared" si="30"/>
        <v>0</v>
      </c>
      <c r="H683" s="3">
        <f t="shared" si="31"/>
        <v>0</v>
      </c>
      <c r="I683" s="3">
        <f t="shared" si="32"/>
        <v>0</v>
      </c>
    </row>
    <row r="684" spans="4:9" x14ac:dyDescent="0.35">
      <c r="D684" s="2"/>
      <c r="E684" s="2"/>
      <c r="F684" s="3"/>
      <c r="G684" s="3">
        <f t="shared" si="30"/>
        <v>0</v>
      </c>
      <c r="H684" s="3">
        <f t="shared" si="31"/>
        <v>0</v>
      </c>
      <c r="I684" s="3">
        <f t="shared" si="32"/>
        <v>0</v>
      </c>
    </row>
    <row r="685" spans="4:9" x14ac:dyDescent="0.35">
      <c r="D685" s="2"/>
      <c r="E685" s="2"/>
      <c r="F685" s="3"/>
      <c r="G685" s="3">
        <f t="shared" si="30"/>
        <v>0</v>
      </c>
      <c r="H685" s="3">
        <f t="shared" si="31"/>
        <v>0</v>
      </c>
      <c r="I685" s="3">
        <f t="shared" si="32"/>
        <v>0</v>
      </c>
    </row>
    <row r="686" spans="4:9" x14ac:dyDescent="0.35">
      <c r="D686" s="2"/>
      <c r="E686" s="2"/>
      <c r="F686" s="3"/>
      <c r="G686" s="3">
        <f t="shared" si="30"/>
        <v>0</v>
      </c>
      <c r="H686" s="3">
        <f t="shared" si="31"/>
        <v>0</v>
      </c>
      <c r="I686" s="3">
        <f t="shared" si="32"/>
        <v>0</v>
      </c>
    </row>
    <row r="687" spans="4:9" x14ac:dyDescent="0.35">
      <c r="D687" s="2"/>
      <c r="E687" s="2"/>
      <c r="F687" s="3"/>
      <c r="G687" s="3">
        <f t="shared" si="30"/>
        <v>0</v>
      </c>
      <c r="H687" s="3">
        <f t="shared" si="31"/>
        <v>0</v>
      </c>
      <c r="I687" s="3">
        <f t="shared" si="32"/>
        <v>0</v>
      </c>
    </row>
    <row r="688" spans="4:9" x14ac:dyDescent="0.35">
      <c r="D688" s="2"/>
      <c r="E688" s="2"/>
      <c r="F688" s="3"/>
      <c r="G688" s="3">
        <f t="shared" si="30"/>
        <v>0</v>
      </c>
      <c r="H688" s="3">
        <f t="shared" si="31"/>
        <v>0</v>
      </c>
      <c r="I688" s="3">
        <f t="shared" si="32"/>
        <v>0</v>
      </c>
    </row>
    <row r="689" spans="4:9" x14ac:dyDescent="0.35">
      <c r="D689" s="2"/>
      <c r="E689" s="2"/>
      <c r="F689" s="3"/>
      <c r="G689" s="3">
        <f t="shared" si="30"/>
        <v>0</v>
      </c>
      <c r="H689" s="3">
        <f t="shared" si="31"/>
        <v>0</v>
      </c>
      <c r="I689" s="3">
        <f t="shared" si="32"/>
        <v>0</v>
      </c>
    </row>
    <row r="690" spans="4:9" x14ac:dyDescent="0.35">
      <c r="D690" s="2"/>
      <c r="E690" s="2"/>
      <c r="F690" s="3"/>
      <c r="G690" s="3">
        <f t="shared" si="30"/>
        <v>0</v>
      </c>
      <c r="H690" s="3">
        <f t="shared" si="31"/>
        <v>0</v>
      </c>
      <c r="I690" s="3">
        <f t="shared" si="32"/>
        <v>0</v>
      </c>
    </row>
    <row r="691" spans="4:9" x14ac:dyDescent="0.35">
      <c r="D691" s="2"/>
      <c r="E691" s="2"/>
      <c r="F691" s="3"/>
      <c r="G691" s="3">
        <f t="shared" si="30"/>
        <v>0</v>
      </c>
      <c r="H691" s="3">
        <f t="shared" si="31"/>
        <v>0</v>
      </c>
      <c r="I691" s="3">
        <f t="shared" si="32"/>
        <v>0</v>
      </c>
    </row>
    <row r="692" spans="4:9" x14ac:dyDescent="0.35">
      <c r="D692" s="2"/>
      <c r="E692" s="2"/>
      <c r="F692" s="3"/>
      <c r="G692" s="3">
        <f t="shared" si="30"/>
        <v>0</v>
      </c>
      <c r="H692" s="3">
        <f t="shared" si="31"/>
        <v>0</v>
      </c>
      <c r="I692" s="3">
        <f t="shared" si="32"/>
        <v>0</v>
      </c>
    </row>
    <row r="693" spans="4:9" x14ac:dyDescent="0.35">
      <c r="D693" s="2"/>
      <c r="E693" s="2"/>
      <c r="F693" s="3"/>
      <c r="G693" s="3">
        <f t="shared" si="30"/>
        <v>0</v>
      </c>
      <c r="H693" s="3">
        <f t="shared" si="31"/>
        <v>0</v>
      </c>
      <c r="I693" s="3">
        <f t="shared" si="32"/>
        <v>0</v>
      </c>
    </row>
    <row r="694" spans="4:9" x14ac:dyDescent="0.35">
      <c r="D694" s="2"/>
      <c r="E694" s="2"/>
      <c r="F694" s="3"/>
      <c r="G694" s="3">
        <f t="shared" si="30"/>
        <v>0</v>
      </c>
      <c r="H694" s="3">
        <f t="shared" si="31"/>
        <v>0</v>
      </c>
      <c r="I694" s="3">
        <f t="shared" si="32"/>
        <v>0</v>
      </c>
    </row>
    <row r="695" spans="4:9" x14ac:dyDescent="0.35">
      <c r="D695" s="2"/>
      <c r="E695" s="2"/>
      <c r="F695" s="3"/>
      <c r="G695" s="3">
        <f t="shared" si="30"/>
        <v>0</v>
      </c>
      <c r="H695" s="3">
        <f t="shared" si="31"/>
        <v>0</v>
      </c>
      <c r="I695" s="3">
        <f t="shared" si="32"/>
        <v>0</v>
      </c>
    </row>
    <row r="696" spans="4:9" x14ac:dyDescent="0.35">
      <c r="D696" s="2"/>
      <c r="E696" s="2"/>
      <c r="F696" s="3"/>
      <c r="G696" s="3">
        <f t="shared" si="30"/>
        <v>0</v>
      </c>
      <c r="H696" s="3">
        <f t="shared" si="31"/>
        <v>0</v>
      </c>
      <c r="I696" s="3">
        <f t="shared" si="32"/>
        <v>0</v>
      </c>
    </row>
    <row r="697" spans="4:9" x14ac:dyDescent="0.35">
      <c r="D697" s="2"/>
      <c r="E697" s="2"/>
      <c r="F697" s="3"/>
      <c r="G697" s="3">
        <f t="shared" si="30"/>
        <v>0</v>
      </c>
      <c r="H697" s="3">
        <f t="shared" si="31"/>
        <v>0</v>
      </c>
      <c r="I697" s="3">
        <f t="shared" si="32"/>
        <v>0</v>
      </c>
    </row>
    <row r="698" spans="4:9" x14ac:dyDescent="0.35">
      <c r="D698" s="2"/>
      <c r="E698" s="2"/>
      <c r="F698" s="3"/>
      <c r="G698" s="3">
        <f t="shared" si="30"/>
        <v>0</v>
      </c>
      <c r="H698" s="3">
        <f t="shared" si="31"/>
        <v>0</v>
      </c>
      <c r="I698" s="3">
        <f t="shared" si="32"/>
        <v>0</v>
      </c>
    </row>
    <row r="699" spans="4:9" x14ac:dyDescent="0.35">
      <c r="D699" s="2"/>
      <c r="E699" s="2"/>
      <c r="F699" s="3"/>
      <c r="G699" s="3">
        <f t="shared" si="30"/>
        <v>0</v>
      </c>
      <c r="H699" s="3">
        <f t="shared" si="31"/>
        <v>0</v>
      </c>
      <c r="I699" s="3">
        <f t="shared" si="32"/>
        <v>0</v>
      </c>
    </row>
    <row r="700" spans="4:9" x14ac:dyDescent="0.35">
      <c r="D700" s="2"/>
      <c r="E700" s="2"/>
      <c r="F700" s="3"/>
      <c r="G700" s="3">
        <f t="shared" si="30"/>
        <v>0</v>
      </c>
      <c r="H700" s="3">
        <f t="shared" si="31"/>
        <v>0</v>
      </c>
      <c r="I700" s="3">
        <f t="shared" si="32"/>
        <v>0</v>
      </c>
    </row>
    <row r="701" spans="4:9" x14ac:dyDescent="0.35">
      <c r="D701" s="2"/>
      <c r="E701" s="2"/>
      <c r="F701" s="3"/>
      <c r="G701" s="3">
        <f t="shared" si="30"/>
        <v>0</v>
      </c>
      <c r="H701" s="3">
        <f t="shared" si="31"/>
        <v>0</v>
      </c>
      <c r="I701" s="3">
        <f t="shared" si="32"/>
        <v>0</v>
      </c>
    </row>
    <row r="702" spans="4:9" x14ac:dyDescent="0.35">
      <c r="D702" s="2"/>
      <c r="E702" s="2"/>
      <c r="F702" s="3"/>
      <c r="G702" s="3">
        <f t="shared" si="30"/>
        <v>0</v>
      </c>
      <c r="H702" s="3">
        <f t="shared" si="31"/>
        <v>0</v>
      </c>
      <c r="I702" s="3">
        <f t="shared" si="32"/>
        <v>0</v>
      </c>
    </row>
    <row r="703" spans="4:9" x14ac:dyDescent="0.35">
      <c r="D703" s="2"/>
      <c r="E703" s="2"/>
      <c r="F703" s="3"/>
      <c r="G703" s="3">
        <f t="shared" si="30"/>
        <v>0</v>
      </c>
      <c r="H703" s="3">
        <f t="shared" si="31"/>
        <v>0</v>
      </c>
      <c r="I703" s="3">
        <f t="shared" si="32"/>
        <v>0</v>
      </c>
    </row>
    <row r="704" spans="4:9" x14ac:dyDescent="0.35">
      <c r="D704" s="2"/>
      <c r="E704" s="2"/>
      <c r="F704" s="3"/>
      <c r="G704" s="3">
        <f t="shared" si="30"/>
        <v>0</v>
      </c>
      <c r="H704" s="3">
        <f t="shared" si="31"/>
        <v>0</v>
      </c>
      <c r="I704" s="3">
        <f t="shared" si="32"/>
        <v>0</v>
      </c>
    </row>
    <row r="705" spans="4:9" x14ac:dyDescent="0.35">
      <c r="D705" s="2"/>
      <c r="E705" s="2"/>
      <c r="F705" s="3"/>
      <c r="G705" s="3">
        <f t="shared" si="30"/>
        <v>0</v>
      </c>
      <c r="H705" s="3">
        <f t="shared" si="31"/>
        <v>0</v>
      </c>
      <c r="I705" s="3">
        <f t="shared" si="32"/>
        <v>0</v>
      </c>
    </row>
    <row r="706" spans="4:9" x14ac:dyDescent="0.35">
      <c r="D706" s="2"/>
      <c r="E706" s="2"/>
      <c r="F706" s="3"/>
      <c r="G706" s="3">
        <f t="shared" ref="G706:G769" si="33">IF($F706&gt;0,$E706/(1-$F706),0)</f>
        <v>0</v>
      </c>
      <c r="H706" s="3">
        <f t="shared" ref="H706:H769" si="34">IF($D706&gt;0,$G706/$D706,0)</f>
        <v>0</v>
      </c>
      <c r="I706" s="3">
        <f t="shared" ref="I706:I769" si="35">$E706*1.1</f>
        <v>0</v>
      </c>
    </row>
    <row r="707" spans="4:9" x14ac:dyDescent="0.35">
      <c r="D707" s="2"/>
      <c r="E707" s="2"/>
      <c r="F707" s="3"/>
      <c r="G707" s="3">
        <f t="shared" si="33"/>
        <v>0</v>
      </c>
      <c r="H707" s="3">
        <f t="shared" si="34"/>
        <v>0</v>
      </c>
      <c r="I707" s="3">
        <f t="shared" si="35"/>
        <v>0</v>
      </c>
    </row>
    <row r="708" spans="4:9" x14ac:dyDescent="0.35">
      <c r="D708" s="2"/>
      <c r="E708" s="2"/>
      <c r="F708" s="3"/>
      <c r="G708" s="3">
        <f t="shared" si="33"/>
        <v>0</v>
      </c>
      <c r="H708" s="3">
        <f t="shared" si="34"/>
        <v>0</v>
      </c>
      <c r="I708" s="3">
        <f t="shared" si="35"/>
        <v>0</v>
      </c>
    </row>
    <row r="709" spans="4:9" x14ac:dyDescent="0.35">
      <c r="D709" s="2"/>
      <c r="E709" s="2"/>
      <c r="F709" s="3"/>
      <c r="G709" s="3">
        <f t="shared" si="33"/>
        <v>0</v>
      </c>
      <c r="H709" s="3">
        <f t="shared" si="34"/>
        <v>0</v>
      </c>
      <c r="I709" s="3">
        <f t="shared" si="35"/>
        <v>0</v>
      </c>
    </row>
    <row r="710" spans="4:9" x14ac:dyDescent="0.35">
      <c r="D710" s="2"/>
      <c r="E710" s="2"/>
      <c r="F710" s="3"/>
      <c r="G710" s="3">
        <f t="shared" si="33"/>
        <v>0</v>
      </c>
      <c r="H710" s="3">
        <f t="shared" si="34"/>
        <v>0</v>
      </c>
      <c r="I710" s="3">
        <f t="shared" si="35"/>
        <v>0</v>
      </c>
    </row>
    <row r="711" spans="4:9" x14ac:dyDescent="0.35">
      <c r="D711" s="2"/>
      <c r="E711" s="2"/>
      <c r="F711" s="3"/>
      <c r="G711" s="3">
        <f t="shared" si="33"/>
        <v>0</v>
      </c>
      <c r="H711" s="3">
        <f t="shared" si="34"/>
        <v>0</v>
      </c>
      <c r="I711" s="3">
        <f t="shared" si="35"/>
        <v>0</v>
      </c>
    </row>
    <row r="712" spans="4:9" x14ac:dyDescent="0.35">
      <c r="D712" s="2"/>
      <c r="E712" s="2"/>
      <c r="F712" s="3"/>
      <c r="G712" s="3">
        <f t="shared" si="33"/>
        <v>0</v>
      </c>
      <c r="H712" s="3">
        <f t="shared" si="34"/>
        <v>0</v>
      </c>
      <c r="I712" s="3">
        <f t="shared" si="35"/>
        <v>0</v>
      </c>
    </row>
    <row r="713" spans="4:9" x14ac:dyDescent="0.35">
      <c r="D713" s="2"/>
      <c r="E713" s="2"/>
      <c r="F713" s="3"/>
      <c r="G713" s="3">
        <f t="shared" si="33"/>
        <v>0</v>
      </c>
      <c r="H713" s="3">
        <f t="shared" si="34"/>
        <v>0</v>
      </c>
      <c r="I713" s="3">
        <f t="shared" si="35"/>
        <v>0</v>
      </c>
    </row>
    <row r="714" spans="4:9" x14ac:dyDescent="0.35">
      <c r="D714" s="2"/>
      <c r="E714" s="2"/>
      <c r="F714" s="3"/>
      <c r="G714" s="3">
        <f t="shared" si="33"/>
        <v>0</v>
      </c>
      <c r="H714" s="3">
        <f t="shared" si="34"/>
        <v>0</v>
      </c>
      <c r="I714" s="3">
        <f t="shared" si="35"/>
        <v>0</v>
      </c>
    </row>
    <row r="715" spans="4:9" x14ac:dyDescent="0.35">
      <c r="D715" s="2"/>
      <c r="E715" s="2"/>
      <c r="F715" s="3"/>
      <c r="G715" s="3">
        <f t="shared" si="33"/>
        <v>0</v>
      </c>
      <c r="H715" s="3">
        <f t="shared" si="34"/>
        <v>0</v>
      </c>
      <c r="I715" s="3">
        <f t="shared" si="35"/>
        <v>0</v>
      </c>
    </row>
    <row r="716" spans="4:9" x14ac:dyDescent="0.35">
      <c r="D716" s="2"/>
      <c r="E716" s="2"/>
      <c r="F716" s="3"/>
      <c r="G716" s="3">
        <f t="shared" si="33"/>
        <v>0</v>
      </c>
      <c r="H716" s="3">
        <f t="shared" si="34"/>
        <v>0</v>
      </c>
      <c r="I716" s="3">
        <f t="shared" si="35"/>
        <v>0</v>
      </c>
    </row>
    <row r="717" spans="4:9" x14ac:dyDescent="0.35">
      <c r="D717" s="2"/>
      <c r="E717" s="2"/>
      <c r="F717" s="3"/>
      <c r="G717" s="3">
        <f t="shared" si="33"/>
        <v>0</v>
      </c>
      <c r="H717" s="3">
        <f t="shared" si="34"/>
        <v>0</v>
      </c>
      <c r="I717" s="3">
        <f t="shared" si="35"/>
        <v>0</v>
      </c>
    </row>
    <row r="718" spans="4:9" x14ac:dyDescent="0.35">
      <c r="D718" s="2"/>
      <c r="E718" s="2"/>
      <c r="F718" s="3"/>
      <c r="G718" s="3">
        <f t="shared" si="33"/>
        <v>0</v>
      </c>
      <c r="H718" s="3">
        <f t="shared" si="34"/>
        <v>0</v>
      </c>
      <c r="I718" s="3">
        <f t="shared" si="35"/>
        <v>0</v>
      </c>
    </row>
    <row r="719" spans="4:9" x14ac:dyDescent="0.35">
      <c r="D719" s="2"/>
      <c r="E719" s="2"/>
      <c r="F719" s="3"/>
      <c r="G719" s="3">
        <f t="shared" si="33"/>
        <v>0</v>
      </c>
      <c r="H719" s="3">
        <f t="shared" si="34"/>
        <v>0</v>
      </c>
      <c r="I719" s="3">
        <f t="shared" si="35"/>
        <v>0</v>
      </c>
    </row>
    <row r="720" spans="4:9" x14ac:dyDescent="0.35">
      <c r="D720" s="2"/>
      <c r="E720" s="2"/>
      <c r="F720" s="3"/>
      <c r="G720" s="3">
        <f t="shared" si="33"/>
        <v>0</v>
      </c>
      <c r="H720" s="3">
        <f t="shared" si="34"/>
        <v>0</v>
      </c>
      <c r="I720" s="3">
        <f t="shared" si="35"/>
        <v>0</v>
      </c>
    </row>
    <row r="721" spans="4:9" x14ac:dyDescent="0.35">
      <c r="D721" s="2"/>
      <c r="E721" s="2"/>
      <c r="F721" s="3"/>
      <c r="G721" s="3">
        <f t="shared" si="33"/>
        <v>0</v>
      </c>
      <c r="H721" s="3">
        <f t="shared" si="34"/>
        <v>0</v>
      </c>
      <c r="I721" s="3">
        <f t="shared" si="35"/>
        <v>0</v>
      </c>
    </row>
    <row r="722" spans="4:9" x14ac:dyDescent="0.35">
      <c r="D722" s="2"/>
      <c r="E722" s="2"/>
      <c r="F722" s="3"/>
      <c r="G722" s="3">
        <f t="shared" si="33"/>
        <v>0</v>
      </c>
      <c r="H722" s="3">
        <f t="shared" si="34"/>
        <v>0</v>
      </c>
      <c r="I722" s="3">
        <f t="shared" si="35"/>
        <v>0</v>
      </c>
    </row>
    <row r="723" spans="4:9" x14ac:dyDescent="0.35">
      <c r="D723" s="2"/>
      <c r="E723" s="2"/>
      <c r="F723" s="3"/>
      <c r="G723" s="3">
        <f t="shared" si="33"/>
        <v>0</v>
      </c>
      <c r="H723" s="3">
        <f t="shared" si="34"/>
        <v>0</v>
      </c>
      <c r="I723" s="3">
        <f t="shared" si="35"/>
        <v>0</v>
      </c>
    </row>
    <row r="724" spans="4:9" x14ac:dyDescent="0.35">
      <c r="D724" s="2"/>
      <c r="E724" s="2"/>
      <c r="F724" s="3"/>
      <c r="G724" s="3">
        <f t="shared" si="33"/>
        <v>0</v>
      </c>
      <c r="H724" s="3">
        <f t="shared" si="34"/>
        <v>0</v>
      </c>
      <c r="I724" s="3">
        <f t="shared" si="35"/>
        <v>0</v>
      </c>
    </row>
    <row r="725" spans="4:9" x14ac:dyDescent="0.35">
      <c r="D725" s="2"/>
      <c r="E725" s="2"/>
      <c r="F725" s="3"/>
      <c r="G725" s="3">
        <f t="shared" si="33"/>
        <v>0</v>
      </c>
      <c r="H725" s="3">
        <f t="shared" si="34"/>
        <v>0</v>
      </c>
      <c r="I725" s="3">
        <f t="shared" si="35"/>
        <v>0</v>
      </c>
    </row>
    <row r="726" spans="4:9" x14ac:dyDescent="0.35">
      <c r="D726" s="2"/>
      <c r="E726" s="2"/>
      <c r="F726" s="3"/>
      <c r="G726" s="3">
        <f t="shared" si="33"/>
        <v>0</v>
      </c>
      <c r="H726" s="3">
        <f t="shared" si="34"/>
        <v>0</v>
      </c>
      <c r="I726" s="3">
        <f t="shared" si="35"/>
        <v>0</v>
      </c>
    </row>
    <row r="727" spans="4:9" x14ac:dyDescent="0.35">
      <c r="D727" s="2"/>
      <c r="E727" s="2"/>
      <c r="F727" s="3"/>
      <c r="G727" s="3">
        <f t="shared" si="33"/>
        <v>0</v>
      </c>
      <c r="H727" s="3">
        <f t="shared" si="34"/>
        <v>0</v>
      </c>
      <c r="I727" s="3">
        <f t="shared" si="35"/>
        <v>0</v>
      </c>
    </row>
    <row r="728" spans="4:9" x14ac:dyDescent="0.35">
      <c r="D728" s="2"/>
      <c r="E728" s="2"/>
      <c r="F728" s="3"/>
      <c r="G728" s="3">
        <f t="shared" si="33"/>
        <v>0</v>
      </c>
      <c r="H728" s="3">
        <f t="shared" si="34"/>
        <v>0</v>
      </c>
      <c r="I728" s="3">
        <f t="shared" si="35"/>
        <v>0</v>
      </c>
    </row>
    <row r="729" spans="4:9" x14ac:dyDescent="0.35">
      <c r="D729" s="2"/>
      <c r="E729" s="2"/>
      <c r="F729" s="3"/>
      <c r="G729" s="3">
        <f t="shared" si="33"/>
        <v>0</v>
      </c>
      <c r="H729" s="3">
        <f t="shared" si="34"/>
        <v>0</v>
      </c>
      <c r="I729" s="3">
        <f t="shared" si="35"/>
        <v>0</v>
      </c>
    </row>
    <row r="730" spans="4:9" x14ac:dyDescent="0.35">
      <c r="D730" s="2"/>
      <c r="E730" s="2"/>
      <c r="F730" s="3"/>
      <c r="G730" s="3">
        <f t="shared" si="33"/>
        <v>0</v>
      </c>
      <c r="H730" s="3">
        <f t="shared" si="34"/>
        <v>0</v>
      </c>
      <c r="I730" s="3">
        <f t="shared" si="35"/>
        <v>0</v>
      </c>
    </row>
    <row r="731" spans="4:9" x14ac:dyDescent="0.35">
      <c r="D731" s="2"/>
      <c r="E731" s="2"/>
      <c r="F731" s="3"/>
      <c r="G731" s="3">
        <f t="shared" si="33"/>
        <v>0</v>
      </c>
      <c r="H731" s="3">
        <f t="shared" si="34"/>
        <v>0</v>
      </c>
      <c r="I731" s="3">
        <f t="shared" si="35"/>
        <v>0</v>
      </c>
    </row>
    <row r="732" spans="4:9" x14ac:dyDescent="0.35">
      <c r="D732" s="2"/>
      <c r="E732" s="2"/>
      <c r="F732" s="3"/>
      <c r="G732" s="3">
        <f t="shared" si="33"/>
        <v>0</v>
      </c>
      <c r="H732" s="3">
        <f t="shared" si="34"/>
        <v>0</v>
      </c>
      <c r="I732" s="3">
        <f t="shared" si="35"/>
        <v>0</v>
      </c>
    </row>
    <row r="733" spans="4:9" x14ac:dyDescent="0.35">
      <c r="D733" s="2"/>
      <c r="E733" s="2"/>
      <c r="F733" s="3"/>
      <c r="G733" s="3">
        <f t="shared" si="33"/>
        <v>0</v>
      </c>
      <c r="H733" s="3">
        <f t="shared" si="34"/>
        <v>0</v>
      </c>
      <c r="I733" s="3">
        <f t="shared" si="35"/>
        <v>0</v>
      </c>
    </row>
    <row r="734" spans="4:9" x14ac:dyDescent="0.35">
      <c r="D734" s="2"/>
      <c r="E734" s="2"/>
      <c r="F734" s="3"/>
      <c r="G734" s="3">
        <f t="shared" si="33"/>
        <v>0</v>
      </c>
      <c r="H734" s="3">
        <f t="shared" si="34"/>
        <v>0</v>
      </c>
      <c r="I734" s="3">
        <f t="shared" si="35"/>
        <v>0</v>
      </c>
    </row>
    <row r="735" spans="4:9" x14ac:dyDescent="0.35">
      <c r="D735" s="2"/>
      <c r="E735" s="2"/>
      <c r="F735" s="3"/>
      <c r="G735" s="3">
        <f t="shared" si="33"/>
        <v>0</v>
      </c>
      <c r="H735" s="3">
        <f t="shared" si="34"/>
        <v>0</v>
      </c>
      <c r="I735" s="3">
        <f t="shared" si="35"/>
        <v>0</v>
      </c>
    </row>
    <row r="736" spans="4:9" x14ac:dyDescent="0.35">
      <c r="D736" s="2"/>
      <c r="E736" s="2"/>
      <c r="F736" s="3"/>
      <c r="G736" s="3">
        <f t="shared" si="33"/>
        <v>0</v>
      </c>
      <c r="H736" s="3">
        <f t="shared" si="34"/>
        <v>0</v>
      </c>
      <c r="I736" s="3">
        <f t="shared" si="35"/>
        <v>0</v>
      </c>
    </row>
    <row r="737" spans="4:9" x14ac:dyDescent="0.35">
      <c r="D737" s="2"/>
      <c r="E737" s="2"/>
      <c r="F737" s="3"/>
      <c r="G737" s="3">
        <f t="shared" si="33"/>
        <v>0</v>
      </c>
      <c r="H737" s="3">
        <f t="shared" si="34"/>
        <v>0</v>
      </c>
      <c r="I737" s="3">
        <f t="shared" si="35"/>
        <v>0</v>
      </c>
    </row>
    <row r="738" spans="4:9" x14ac:dyDescent="0.35">
      <c r="D738" s="2"/>
      <c r="E738" s="2"/>
      <c r="F738" s="3"/>
      <c r="G738" s="3">
        <f t="shared" si="33"/>
        <v>0</v>
      </c>
      <c r="H738" s="3">
        <f t="shared" si="34"/>
        <v>0</v>
      </c>
      <c r="I738" s="3">
        <f t="shared" si="35"/>
        <v>0</v>
      </c>
    </row>
    <row r="739" spans="4:9" x14ac:dyDescent="0.35">
      <c r="D739" s="2"/>
      <c r="E739" s="2"/>
      <c r="F739" s="3"/>
      <c r="G739" s="3">
        <f t="shared" si="33"/>
        <v>0</v>
      </c>
      <c r="H739" s="3">
        <f t="shared" si="34"/>
        <v>0</v>
      </c>
      <c r="I739" s="3">
        <f t="shared" si="35"/>
        <v>0</v>
      </c>
    </row>
    <row r="740" spans="4:9" x14ac:dyDescent="0.35">
      <c r="D740" s="2"/>
      <c r="E740" s="2"/>
      <c r="F740" s="3"/>
      <c r="G740" s="3">
        <f t="shared" si="33"/>
        <v>0</v>
      </c>
      <c r="H740" s="3">
        <f t="shared" si="34"/>
        <v>0</v>
      </c>
      <c r="I740" s="3">
        <f t="shared" si="35"/>
        <v>0</v>
      </c>
    </row>
    <row r="741" spans="4:9" x14ac:dyDescent="0.35">
      <c r="D741" s="2"/>
      <c r="E741" s="2"/>
      <c r="F741" s="3"/>
      <c r="G741" s="3">
        <f t="shared" si="33"/>
        <v>0</v>
      </c>
      <c r="H741" s="3">
        <f t="shared" si="34"/>
        <v>0</v>
      </c>
      <c r="I741" s="3">
        <f t="shared" si="35"/>
        <v>0</v>
      </c>
    </row>
    <row r="742" spans="4:9" x14ac:dyDescent="0.35">
      <c r="D742" s="2"/>
      <c r="E742" s="2"/>
      <c r="F742" s="3"/>
      <c r="G742" s="3">
        <f t="shared" si="33"/>
        <v>0</v>
      </c>
      <c r="H742" s="3">
        <f t="shared" si="34"/>
        <v>0</v>
      </c>
      <c r="I742" s="3">
        <f t="shared" si="35"/>
        <v>0</v>
      </c>
    </row>
    <row r="743" spans="4:9" x14ac:dyDescent="0.35">
      <c r="D743" s="2"/>
      <c r="E743" s="2"/>
      <c r="F743" s="3"/>
      <c r="G743" s="3">
        <f t="shared" si="33"/>
        <v>0</v>
      </c>
      <c r="H743" s="3">
        <f t="shared" si="34"/>
        <v>0</v>
      </c>
      <c r="I743" s="3">
        <f t="shared" si="35"/>
        <v>0</v>
      </c>
    </row>
    <row r="744" spans="4:9" x14ac:dyDescent="0.35">
      <c r="D744" s="2"/>
      <c r="E744" s="2"/>
      <c r="F744" s="3"/>
      <c r="G744" s="3">
        <f t="shared" si="33"/>
        <v>0</v>
      </c>
      <c r="H744" s="3">
        <f t="shared" si="34"/>
        <v>0</v>
      </c>
      <c r="I744" s="3">
        <f t="shared" si="35"/>
        <v>0</v>
      </c>
    </row>
    <row r="745" spans="4:9" x14ac:dyDescent="0.35">
      <c r="D745" s="2"/>
      <c r="E745" s="2"/>
      <c r="F745" s="3"/>
      <c r="G745" s="3">
        <f t="shared" si="33"/>
        <v>0</v>
      </c>
      <c r="H745" s="3">
        <f t="shared" si="34"/>
        <v>0</v>
      </c>
      <c r="I745" s="3">
        <f t="shared" si="35"/>
        <v>0</v>
      </c>
    </row>
    <row r="746" spans="4:9" x14ac:dyDescent="0.35">
      <c r="D746" s="2"/>
      <c r="E746" s="2"/>
      <c r="F746" s="3"/>
      <c r="G746" s="3">
        <f t="shared" si="33"/>
        <v>0</v>
      </c>
      <c r="H746" s="3">
        <f t="shared" si="34"/>
        <v>0</v>
      </c>
      <c r="I746" s="3">
        <f t="shared" si="35"/>
        <v>0</v>
      </c>
    </row>
    <row r="747" spans="4:9" x14ac:dyDescent="0.35">
      <c r="D747" s="2"/>
      <c r="E747" s="2"/>
      <c r="F747" s="3"/>
      <c r="G747" s="3">
        <f t="shared" si="33"/>
        <v>0</v>
      </c>
      <c r="H747" s="3">
        <f t="shared" si="34"/>
        <v>0</v>
      </c>
      <c r="I747" s="3">
        <f t="shared" si="35"/>
        <v>0</v>
      </c>
    </row>
    <row r="748" spans="4:9" x14ac:dyDescent="0.35">
      <c r="D748" s="2"/>
      <c r="E748" s="2"/>
      <c r="F748" s="3"/>
      <c r="G748" s="3">
        <f t="shared" si="33"/>
        <v>0</v>
      </c>
      <c r="H748" s="3">
        <f t="shared" si="34"/>
        <v>0</v>
      </c>
      <c r="I748" s="3">
        <f t="shared" si="35"/>
        <v>0</v>
      </c>
    </row>
    <row r="749" spans="4:9" x14ac:dyDescent="0.35">
      <c r="D749" s="2"/>
      <c r="E749" s="2"/>
      <c r="F749" s="3"/>
      <c r="G749" s="3">
        <f t="shared" si="33"/>
        <v>0</v>
      </c>
      <c r="H749" s="3">
        <f t="shared" si="34"/>
        <v>0</v>
      </c>
      <c r="I749" s="3">
        <f t="shared" si="35"/>
        <v>0</v>
      </c>
    </row>
    <row r="750" spans="4:9" x14ac:dyDescent="0.35">
      <c r="D750" s="2"/>
      <c r="E750" s="2"/>
      <c r="F750" s="3"/>
      <c r="G750" s="3">
        <f t="shared" si="33"/>
        <v>0</v>
      </c>
      <c r="H750" s="3">
        <f t="shared" si="34"/>
        <v>0</v>
      </c>
      <c r="I750" s="3">
        <f t="shared" si="35"/>
        <v>0</v>
      </c>
    </row>
    <row r="751" spans="4:9" x14ac:dyDescent="0.35">
      <c r="D751" s="2"/>
      <c r="E751" s="2"/>
      <c r="F751" s="3"/>
      <c r="G751" s="3">
        <f t="shared" si="33"/>
        <v>0</v>
      </c>
      <c r="H751" s="3">
        <f t="shared" si="34"/>
        <v>0</v>
      </c>
      <c r="I751" s="3">
        <f t="shared" si="35"/>
        <v>0</v>
      </c>
    </row>
    <row r="752" spans="4:9" x14ac:dyDescent="0.35">
      <c r="D752" s="2"/>
      <c r="E752" s="2"/>
      <c r="F752" s="3"/>
      <c r="G752" s="3">
        <f t="shared" si="33"/>
        <v>0</v>
      </c>
      <c r="H752" s="3">
        <f t="shared" si="34"/>
        <v>0</v>
      </c>
      <c r="I752" s="3">
        <f t="shared" si="35"/>
        <v>0</v>
      </c>
    </row>
    <row r="753" spans="4:9" x14ac:dyDescent="0.35">
      <c r="D753" s="2"/>
      <c r="E753" s="2"/>
      <c r="F753" s="3"/>
      <c r="G753" s="3">
        <f t="shared" si="33"/>
        <v>0</v>
      </c>
      <c r="H753" s="3">
        <f t="shared" si="34"/>
        <v>0</v>
      </c>
      <c r="I753" s="3">
        <f t="shared" si="35"/>
        <v>0</v>
      </c>
    </row>
    <row r="754" spans="4:9" x14ac:dyDescent="0.35">
      <c r="D754" s="2"/>
      <c r="E754" s="2"/>
      <c r="F754" s="3"/>
      <c r="G754" s="3">
        <f t="shared" si="33"/>
        <v>0</v>
      </c>
      <c r="H754" s="3">
        <f t="shared" si="34"/>
        <v>0</v>
      </c>
      <c r="I754" s="3">
        <f t="shared" si="35"/>
        <v>0</v>
      </c>
    </row>
    <row r="755" spans="4:9" x14ac:dyDescent="0.35">
      <c r="D755" s="2"/>
      <c r="E755" s="2"/>
      <c r="F755" s="3"/>
      <c r="G755" s="3">
        <f t="shared" si="33"/>
        <v>0</v>
      </c>
      <c r="H755" s="3">
        <f t="shared" si="34"/>
        <v>0</v>
      </c>
      <c r="I755" s="3">
        <f t="shared" si="35"/>
        <v>0</v>
      </c>
    </row>
    <row r="756" spans="4:9" x14ac:dyDescent="0.35">
      <c r="D756" s="2"/>
      <c r="E756" s="2"/>
      <c r="F756" s="3"/>
      <c r="G756" s="3">
        <f t="shared" si="33"/>
        <v>0</v>
      </c>
      <c r="H756" s="3">
        <f t="shared" si="34"/>
        <v>0</v>
      </c>
      <c r="I756" s="3">
        <f t="shared" si="35"/>
        <v>0</v>
      </c>
    </row>
    <row r="757" spans="4:9" x14ac:dyDescent="0.35">
      <c r="D757" s="2"/>
      <c r="E757" s="2"/>
      <c r="F757" s="3"/>
      <c r="G757" s="3">
        <f t="shared" si="33"/>
        <v>0</v>
      </c>
      <c r="H757" s="3">
        <f t="shared" si="34"/>
        <v>0</v>
      </c>
      <c r="I757" s="3">
        <f t="shared" si="35"/>
        <v>0</v>
      </c>
    </row>
    <row r="758" spans="4:9" x14ac:dyDescent="0.35">
      <c r="D758" s="2"/>
      <c r="E758" s="2"/>
      <c r="F758" s="3"/>
      <c r="G758" s="3">
        <f t="shared" si="33"/>
        <v>0</v>
      </c>
      <c r="H758" s="3">
        <f t="shared" si="34"/>
        <v>0</v>
      </c>
      <c r="I758" s="3">
        <f t="shared" si="35"/>
        <v>0</v>
      </c>
    </row>
    <row r="759" spans="4:9" x14ac:dyDescent="0.35">
      <c r="D759" s="2"/>
      <c r="E759" s="2"/>
      <c r="F759" s="3"/>
      <c r="G759" s="3">
        <f t="shared" si="33"/>
        <v>0</v>
      </c>
      <c r="H759" s="3">
        <f t="shared" si="34"/>
        <v>0</v>
      </c>
      <c r="I759" s="3">
        <f t="shared" si="35"/>
        <v>0</v>
      </c>
    </row>
    <row r="760" spans="4:9" x14ac:dyDescent="0.35">
      <c r="D760" s="2"/>
      <c r="E760" s="2"/>
      <c r="F760" s="3"/>
      <c r="G760" s="3">
        <f t="shared" si="33"/>
        <v>0</v>
      </c>
      <c r="H760" s="3">
        <f t="shared" si="34"/>
        <v>0</v>
      </c>
      <c r="I760" s="3">
        <f t="shared" si="35"/>
        <v>0</v>
      </c>
    </row>
    <row r="761" spans="4:9" x14ac:dyDescent="0.35">
      <c r="D761" s="2"/>
      <c r="E761" s="2"/>
      <c r="F761" s="3"/>
      <c r="G761" s="3">
        <f t="shared" si="33"/>
        <v>0</v>
      </c>
      <c r="H761" s="3">
        <f t="shared" si="34"/>
        <v>0</v>
      </c>
      <c r="I761" s="3">
        <f t="shared" si="35"/>
        <v>0</v>
      </c>
    </row>
    <row r="762" spans="4:9" x14ac:dyDescent="0.35">
      <c r="D762" s="2"/>
      <c r="E762" s="2"/>
      <c r="F762" s="3"/>
      <c r="G762" s="3">
        <f t="shared" si="33"/>
        <v>0</v>
      </c>
      <c r="H762" s="3">
        <f t="shared" si="34"/>
        <v>0</v>
      </c>
      <c r="I762" s="3">
        <f t="shared" si="35"/>
        <v>0</v>
      </c>
    </row>
    <row r="763" spans="4:9" x14ac:dyDescent="0.35">
      <c r="D763" s="2"/>
      <c r="E763" s="2"/>
      <c r="F763" s="3"/>
      <c r="G763" s="3">
        <f t="shared" si="33"/>
        <v>0</v>
      </c>
      <c r="H763" s="3">
        <f t="shared" si="34"/>
        <v>0</v>
      </c>
      <c r="I763" s="3">
        <f t="shared" si="35"/>
        <v>0</v>
      </c>
    </row>
    <row r="764" spans="4:9" x14ac:dyDescent="0.35">
      <c r="D764" s="2"/>
      <c r="E764" s="2"/>
      <c r="F764" s="3"/>
      <c r="G764" s="3">
        <f t="shared" si="33"/>
        <v>0</v>
      </c>
      <c r="H764" s="3">
        <f t="shared" si="34"/>
        <v>0</v>
      </c>
      <c r="I764" s="3">
        <f t="shared" si="35"/>
        <v>0</v>
      </c>
    </row>
    <row r="765" spans="4:9" x14ac:dyDescent="0.35">
      <c r="D765" s="2"/>
      <c r="E765" s="2"/>
      <c r="F765" s="3"/>
      <c r="G765" s="3">
        <f t="shared" si="33"/>
        <v>0</v>
      </c>
      <c r="H765" s="3">
        <f t="shared" si="34"/>
        <v>0</v>
      </c>
      <c r="I765" s="3">
        <f t="shared" si="35"/>
        <v>0</v>
      </c>
    </row>
    <row r="766" spans="4:9" x14ac:dyDescent="0.35">
      <c r="D766" s="2"/>
      <c r="E766" s="2"/>
      <c r="F766" s="3"/>
      <c r="G766" s="3">
        <f t="shared" si="33"/>
        <v>0</v>
      </c>
      <c r="H766" s="3">
        <f t="shared" si="34"/>
        <v>0</v>
      </c>
      <c r="I766" s="3">
        <f t="shared" si="35"/>
        <v>0</v>
      </c>
    </row>
    <row r="767" spans="4:9" x14ac:dyDescent="0.35">
      <c r="D767" s="2"/>
      <c r="E767" s="2"/>
      <c r="F767" s="3"/>
      <c r="G767" s="3">
        <f t="shared" si="33"/>
        <v>0</v>
      </c>
      <c r="H767" s="3">
        <f t="shared" si="34"/>
        <v>0</v>
      </c>
      <c r="I767" s="3">
        <f t="shared" si="35"/>
        <v>0</v>
      </c>
    </row>
    <row r="768" spans="4:9" x14ac:dyDescent="0.35">
      <c r="D768" s="2"/>
      <c r="E768" s="2"/>
      <c r="F768" s="3"/>
      <c r="G768" s="3">
        <f t="shared" si="33"/>
        <v>0</v>
      </c>
      <c r="H768" s="3">
        <f t="shared" si="34"/>
        <v>0</v>
      </c>
      <c r="I768" s="3">
        <f t="shared" si="35"/>
        <v>0</v>
      </c>
    </row>
    <row r="769" spans="4:9" x14ac:dyDescent="0.35">
      <c r="D769" s="2"/>
      <c r="E769" s="2"/>
      <c r="F769" s="3"/>
      <c r="G769" s="3">
        <f t="shared" si="33"/>
        <v>0</v>
      </c>
      <c r="H769" s="3">
        <f t="shared" si="34"/>
        <v>0</v>
      </c>
      <c r="I769" s="3">
        <f t="shared" si="35"/>
        <v>0</v>
      </c>
    </row>
    <row r="770" spans="4:9" x14ac:dyDescent="0.35">
      <c r="D770" s="2"/>
      <c r="E770" s="2"/>
      <c r="F770" s="3"/>
      <c r="G770" s="3">
        <f t="shared" ref="G770:G833" si="36">IF($F770&gt;0,$E770/(1-$F770),0)</f>
        <v>0</v>
      </c>
      <c r="H770" s="3">
        <f t="shared" ref="H770:H833" si="37">IF($D770&gt;0,$G770/$D770,0)</f>
        <v>0</v>
      </c>
      <c r="I770" s="3">
        <f t="shared" ref="I770:I833" si="38">$E770*1.1</f>
        <v>0</v>
      </c>
    </row>
    <row r="771" spans="4:9" x14ac:dyDescent="0.35">
      <c r="D771" s="2"/>
      <c r="E771" s="2"/>
      <c r="F771" s="3"/>
      <c r="G771" s="3">
        <f t="shared" si="36"/>
        <v>0</v>
      </c>
      <c r="H771" s="3">
        <f t="shared" si="37"/>
        <v>0</v>
      </c>
      <c r="I771" s="3">
        <f t="shared" si="38"/>
        <v>0</v>
      </c>
    </row>
    <row r="772" spans="4:9" x14ac:dyDescent="0.35">
      <c r="D772" s="2"/>
      <c r="E772" s="2"/>
      <c r="F772" s="3"/>
      <c r="G772" s="3">
        <f t="shared" si="36"/>
        <v>0</v>
      </c>
      <c r="H772" s="3">
        <f t="shared" si="37"/>
        <v>0</v>
      </c>
      <c r="I772" s="3">
        <f t="shared" si="38"/>
        <v>0</v>
      </c>
    </row>
    <row r="773" spans="4:9" x14ac:dyDescent="0.35">
      <c r="D773" s="2"/>
      <c r="E773" s="2"/>
      <c r="F773" s="3"/>
      <c r="G773" s="3">
        <f t="shared" si="36"/>
        <v>0</v>
      </c>
      <c r="H773" s="3">
        <f t="shared" si="37"/>
        <v>0</v>
      </c>
      <c r="I773" s="3">
        <f t="shared" si="38"/>
        <v>0</v>
      </c>
    </row>
    <row r="774" spans="4:9" x14ac:dyDescent="0.35">
      <c r="D774" s="2"/>
      <c r="E774" s="2"/>
      <c r="F774" s="3"/>
      <c r="G774" s="3">
        <f t="shared" si="36"/>
        <v>0</v>
      </c>
      <c r="H774" s="3">
        <f t="shared" si="37"/>
        <v>0</v>
      </c>
      <c r="I774" s="3">
        <f t="shared" si="38"/>
        <v>0</v>
      </c>
    </row>
    <row r="775" spans="4:9" x14ac:dyDescent="0.35">
      <c r="D775" s="2"/>
      <c r="E775" s="2"/>
      <c r="F775" s="3"/>
      <c r="G775" s="3">
        <f t="shared" si="36"/>
        <v>0</v>
      </c>
      <c r="H775" s="3">
        <f t="shared" si="37"/>
        <v>0</v>
      </c>
      <c r="I775" s="3">
        <f t="shared" si="38"/>
        <v>0</v>
      </c>
    </row>
    <row r="776" spans="4:9" x14ac:dyDescent="0.35">
      <c r="D776" s="2"/>
      <c r="E776" s="2"/>
      <c r="F776" s="3"/>
      <c r="G776" s="3">
        <f t="shared" si="36"/>
        <v>0</v>
      </c>
      <c r="H776" s="3">
        <f t="shared" si="37"/>
        <v>0</v>
      </c>
      <c r="I776" s="3">
        <f t="shared" si="38"/>
        <v>0</v>
      </c>
    </row>
    <row r="777" spans="4:9" x14ac:dyDescent="0.35">
      <c r="D777" s="2"/>
      <c r="E777" s="2"/>
      <c r="F777" s="3"/>
      <c r="G777" s="3">
        <f t="shared" si="36"/>
        <v>0</v>
      </c>
      <c r="H777" s="3">
        <f t="shared" si="37"/>
        <v>0</v>
      </c>
      <c r="I777" s="3">
        <f t="shared" si="38"/>
        <v>0</v>
      </c>
    </row>
    <row r="778" spans="4:9" x14ac:dyDescent="0.35">
      <c r="D778" s="2"/>
      <c r="E778" s="2"/>
      <c r="F778" s="3"/>
      <c r="G778" s="3">
        <f t="shared" si="36"/>
        <v>0</v>
      </c>
      <c r="H778" s="3">
        <f t="shared" si="37"/>
        <v>0</v>
      </c>
      <c r="I778" s="3">
        <f t="shared" si="38"/>
        <v>0</v>
      </c>
    </row>
    <row r="779" spans="4:9" x14ac:dyDescent="0.35">
      <c r="D779" s="2"/>
      <c r="E779" s="2"/>
      <c r="F779" s="3"/>
      <c r="G779" s="3">
        <f t="shared" si="36"/>
        <v>0</v>
      </c>
      <c r="H779" s="3">
        <f t="shared" si="37"/>
        <v>0</v>
      </c>
      <c r="I779" s="3">
        <f t="shared" si="38"/>
        <v>0</v>
      </c>
    </row>
    <row r="780" spans="4:9" x14ac:dyDescent="0.35">
      <c r="D780" s="2"/>
      <c r="E780" s="2"/>
      <c r="F780" s="3"/>
      <c r="G780" s="3">
        <f t="shared" si="36"/>
        <v>0</v>
      </c>
      <c r="H780" s="3">
        <f t="shared" si="37"/>
        <v>0</v>
      </c>
      <c r="I780" s="3">
        <f t="shared" si="38"/>
        <v>0</v>
      </c>
    </row>
    <row r="781" spans="4:9" x14ac:dyDescent="0.35">
      <c r="D781" s="2"/>
      <c r="E781" s="2"/>
      <c r="F781" s="3"/>
      <c r="G781" s="3">
        <f t="shared" si="36"/>
        <v>0</v>
      </c>
      <c r="H781" s="3">
        <f t="shared" si="37"/>
        <v>0</v>
      </c>
      <c r="I781" s="3">
        <f t="shared" si="38"/>
        <v>0</v>
      </c>
    </row>
    <row r="782" spans="4:9" x14ac:dyDescent="0.35">
      <c r="D782" s="2"/>
      <c r="E782" s="2"/>
      <c r="F782" s="3"/>
      <c r="G782" s="3">
        <f t="shared" si="36"/>
        <v>0</v>
      </c>
      <c r="H782" s="3">
        <f t="shared" si="37"/>
        <v>0</v>
      </c>
      <c r="I782" s="3">
        <f t="shared" si="38"/>
        <v>0</v>
      </c>
    </row>
    <row r="783" spans="4:9" x14ac:dyDescent="0.35">
      <c r="D783" s="2"/>
      <c r="E783" s="2"/>
      <c r="F783" s="3"/>
      <c r="G783" s="3">
        <f t="shared" si="36"/>
        <v>0</v>
      </c>
      <c r="H783" s="3">
        <f t="shared" si="37"/>
        <v>0</v>
      </c>
      <c r="I783" s="3">
        <f t="shared" si="38"/>
        <v>0</v>
      </c>
    </row>
    <row r="784" spans="4:9" x14ac:dyDescent="0.35">
      <c r="D784" s="2"/>
      <c r="E784" s="2"/>
      <c r="F784" s="3"/>
      <c r="G784" s="3">
        <f t="shared" si="36"/>
        <v>0</v>
      </c>
      <c r="H784" s="3">
        <f t="shared" si="37"/>
        <v>0</v>
      </c>
      <c r="I784" s="3">
        <f t="shared" si="38"/>
        <v>0</v>
      </c>
    </row>
    <row r="785" spans="4:9" x14ac:dyDescent="0.35">
      <c r="D785" s="2"/>
      <c r="E785" s="2"/>
      <c r="F785" s="3"/>
      <c r="G785" s="3">
        <f t="shared" si="36"/>
        <v>0</v>
      </c>
      <c r="H785" s="3">
        <f t="shared" si="37"/>
        <v>0</v>
      </c>
      <c r="I785" s="3">
        <f t="shared" si="38"/>
        <v>0</v>
      </c>
    </row>
    <row r="786" spans="4:9" x14ac:dyDescent="0.35">
      <c r="D786" s="2"/>
      <c r="E786" s="2"/>
      <c r="F786" s="3"/>
      <c r="G786" s="3">
        <f t="shared" si="36"/>
        <v>0</v>
      </c>
      <c r="H786" s="3">
        <f t="shared" si="37"/>
        <v>0</v>
      </c>
      <c r="I786" s="3">
        <f t="shared" si="38"/>
        <v>0</v>
      </c>
    </row>
    <row r="787" spans="4:9" x14ac:dyDescent="0.35">
      <c r="D787" s="2"/>
      <c r="E787" s="2"/>
      <c r="F787" s="3"/>
      <c r="G787" s="3">
        <f t="shared" si="36"/>
        <v>0</v>
      </c>
      <c r="H787" s="3">
        <f t="shared" si="37"/>
        <v>0</v>
      </c>
      <c r="I787" s="3">
        <f t="shared" si="38"/>
        <v>0</v>
      </c>
    </row>
    <row r="788" spans="4:9" x14ac:dyDescent="0.35">
      <c r="D788" s="2"/>
      <c r="E788" s="2"/>
      <c r="F788" s="3"/>
      <c r="G788" s="3">
        <f t="shared" si="36"/>
        <v>0</v>
      </c>
      <c r="H788" s="3">
        <f t="shared" si="37"/>
        <v>0</v>
      </c>
      <c r="I788" s="3">
        <f t="shared" si="38"/>
        <v>0</v>
      </c>
    </row>
    <row r="789" spans="4:9" x14ac:dyDescent="0.35">
      <c r="D789" s="2"/>
      <c r="E789" s="2"/>
      <c r="F789" s="3"/>
      <c r="G789" s="3">
        <f t="shared" si="36"/>
        <v>0</v>
      </c>
      <c r="H789" s="3">
        <f t="shared" si="37"/>
        <v>0</v>
      </c>
      <c r="I789" s="3">
        <f t="shared" si="38"/>
        <v>0</v>
      </c>
    </row>
    <row r="790" spans="4:9" x14ac:dyDescent="0.35">
      <c r="D790" s="2"/>
      <c r="E790" s="2"/>
      <c r="F790" s="3"/>
      <c r="G790" s="3">
        <f t="shared" si="36"/>
        <v>0</v>
      </c>
      <c r="H790" s="3">
        <f t="shared" si="37"/>
        <v>0</v>
      </c>
      <c r="I790" s="3">
        <f t="shared" si="38"/>
        <v>0</v>
      </c>
    </row>
    <row r="791" spans="4:9" x14ac:dyDescent="0.35">
      <c r="D791" s="2"/>
      <c r="E791" s="2"/>
      <c r="F791" s="3"/>
      <c r="G791" s="3">
        <f t="shared" si="36"/>
        <v>0</v>
      </c>
      <c r="H791" s="3">
        <f t="shared" si="37"/>
        <v>0</v>
      </c>
      <c r="I791" s="3">
        <f t="shared" si="38"/>
        <v>0</v>
      </c>
    </row>
    <row r="792" spans="4:9" x14ac:dyDescent="0.35">
      <c r="D792" s="2"/>
      <c r="E792" s="2"/>
      <c r="F792" s="3"/>
      <c r="G792" s="3">
        <f t="shared" si="36"/>
        <v>0</v>
      </c>
      <c r="H792" s="3">
        <f t="shared" si="37"/>
        <v>0</v>
      </c>
      <c r="I792" s="3">
        <f t="shared" si="38"/>
        <v>0</v>
      </c>
    </row>
    <row r="793" spans="4:9" x14ac:dyDescent="0.35">
      <c r="D793" s="2"/>
      <c r="E793" s="2"/>
      <c r="F793" s="3"/>
      <c r="G793" s="3">
        <f t="shared" si="36"/>
        <v>0</v>
      </c>
      <c r="H793" s="3">
        <f t="shared" si="37"/>
        <v>0</v>
      </c>
      <c r="I793" s="3">
        <f t="shared" si="38"/>
        <v>0</v>
      </c>
    </row>
    <row r="794" spans="4:9" x14ac:dyDescent="0.35">
      <c r="D794" s="2"/>
      <c r="E794" s="2"/>
      <c r="F794" s="3"/>
      <c r="G794" s="3">
        <f t="shared" si="36"/>
        <v>0</v>
      </c>
      <c r="H794" s="3">
        <f t="shared" si="37"/>
        <v>0</v>
      </c>
      <c r="I794" s="3">
        <f t="shared" si="38"/>
        <v>0</v>
      </c>
    </row>
    <row r="795" spans="4:9" x14ac:dyDescent="0.35">
      <c r="D795" s="2"/>
      <c r="E795" s="2"/>
      <c r="F795" s="3"/>
      <c r="G795" s="3">
        <f t="shared" si="36"/>
        <v>0</v>
      </c>
      <c r="H795" s="3">
        <f t="shared" si="37"/>
        <v>0</v>
      </c>
      <c r="I795" s="3">
        <f t="shared" si="38"/>
        <v>0</v>
      </c>
    </row>
    <row r="796" spans="4:9" x14ac:dyDescent="0.35">
      <c r="D796" s="2"/>
      <c r="E796" s="2"/>
      <c r="F796" s="3"/>
      <c r="G796" s="3">
        <f t="shared" si="36"/>
        <v>0</v>
      </c>
      <c r="H796" s="3">
        <f t="shared" si="37"/>
        <v>0</v>
      </c>
      <c r="I796" s="3">
        <f t="shared" si="38"/>
        <v>0</v>
      </c>
    </row>
    <row r="797" spans="4:9" x14ac:dyDescent="0.35">
      <c r="D797" s="2"/>
      <c r="E797" s="2"/>
      <c r="F797" s="3"/>
      <c r="G797" s="3">
        <f t="shared" si="36"/>
        <v>0</v>
      </c>
      <c r="H797" s="3">
        <f t="shared" si="37"/>
        <v>0</v>
      </c>
      <c r="I797" s="3">
        <f t="shared" si="38"/>
        <v>0</v>
      </c>
    </row>
    <row r="798" spans="4:9" x14ac:dyDescent="0.35">
      <c r="D798" s="2"/>
      <c r="E798" s="2"/>
      <c r="F798" s="3"/>
      <c r="G798" s="3">
        <f t="shared" si="36"/>
        <v>0</v>
      </c>
      <c r="H798" s="3">
        <f t="shared" si="37"/>
        <v>0</v>
      </c>
      <c r="I798" s="3">
        <f t="shared" si="38"/>
        <v>0</v>
      </c>
    </row>
    <row r="799" spans="4:9" x14ac:dyDescent="0.35">
      <c r="D799" s="2"/>
      <c r="E799" s="2"/>
      <c r="F799" s="3"/>
      <c r="G799" s="3">
        <f t="shared" si="36"/>
        <v>0</v>
      </c>
      <c r="H799" s="3">
        <f t="shared" si="37"/>
        <v>0</v>
      </c>
      <c r="I799" s="3">
        <f t="shared" si="38"/>
        <v>0</v>
      </c>
    </row>
    <row r="800" spans="4:9" x14ac:dyDescent="0.35">
      <c r="D800" s="2"/>
      <c r="E800" s="2"/>
      <c r="F800" s="3"/>
      <c r="G800" s="3">
        <f t="shared" si="36"/>
        <v>0</v>
      </c>
      <c r="H800" s="3">
        <f t="shared" si="37"/>
        <v>0</v>
      </c>
      <c r="I800" s="3">
        <f t="shared" si="38"/>
        <v>0</v>
      </c>
    </row>
    <row r="801" spans="4:9" x14ac:dyDescent="0.35">
      <c r="D801" s="2"/>
      <c r="E801" s="2"/>
      <c r="F801" s="3"/>
      <c r="G801" s="3">
        <f t="shared" si="36"/>
        <v>0</v>
      </c>
      <c r="H801" s="3">
        <f t="shared" si="37"/>
        <v>0</v>
      </c>
      <c r="I801" s="3">
        <f t="shared" si="38"/>
        <v>0</v>
      </c>
    </row>
    <row r="802" spans="4:9" x14ac:dyDescent="0.35">
      <c r="D802" s="2"/>
      <c r="E802" s="2"/>
      <c r="F802" s="3"/>
      <c r="G802" s="3">
        <f t="shared" si="36"/>
        <v>0</v>
      </c>
      <c r="H802" s="3">
        <f t="shared" si="37"/>
        <v>0</v>
      </c>
      <c r="I802" s="3">
        <f t="shared" si="38"/>
        <v>0</v>
      </c>
    </row>
    <row r="803" spans="4:9" x14ac:dyDescent="0.35">
      <c r="D803" s="2"/>
      <c r="E803" s="2"/>
      <c r="F803" s="3"/>
      <c r="G803" s="3">
        <f t="shared" si="36"/>
        <v>0</v>
      </c>
      <c r="H803" s="3">
        <f t="shared" si="37"/>
        <v>0</v>
      </c>
      <c r="I803" s="3">
        <f t="shared" si="38"/>
        <v>0</v>
      </c>
    </row>
    <row r="804" spans="4:9" x14ac:dyDescent="0.35">
      <c r="D804" s="2"/>
      <c r="E804" s="2"/>
      <c r="F804" s="3"/>
      <c r="G804" s="3">
        <f t="shared" si="36"/>
        <v>0</v>
      </c>
      <c r="H804" s="3">
        <f t="shared" si="37"/>
        <v>0</v>
      </c>
      <c r="I804" s="3">
        <f t="shared" si="38"/>
        <v>0</v>
      </c>
    </row>
    <row r="805" spans="4:9" x14ac:dyDescent="0.35">
      <c r="D805" s="2"/>
      <c r="E805" s="2"/>
      <c r="F805" s="3"/>
      <c r="G805" s="3">
        <f t="shared" si="36"/>
        <v>0</v>
      </c>
      <c r="H805" s="3">
        <f t="shared" si="37"/>
        <v>0</v>
      </c>
      <c r="I805" s="3">
        <f t="shared" si="38"/>
        <v>0</v>
      </c>
    </row>
    <row r="806" spans="4:9" x14ac:dyDescent="0.35">
      <c r="D806" s="2"/>
      <c r="E806" s="2"/>
      <c r="F806" s="3"/>
      <c r="G806" s="3">
        <f t="shared" si="36"/>
        <v>0</v>
      </c>
      <c r="H806" s="3">
        <f t="shared" si="37"/>
        <v>0</v>
      </c>
      <c r="I806" s="3">
        <f t="shared" si="38"/>
        <v>0</v>
      </c>
    </row>
    <row r="807" spans="4:9" x14ac:dyDescent="0.35">
      <c r="D807" s="2"/>
      <c r="E807" s="2"/>
      <c r="F807" s="3"/>
      <c r="G807" s="3">
        <f t="shared" si="36"/>
        <v>0</v>
      </c>
      <c r="H807" s="3">
        <f t="shared" si="37"/>
        <v>0</v>
      </c>
      <c r="I807" s="3">
        <f t="shared" si="38"/>
        <v>0</v>
      </c>
    </row>
    <row r="808" spans="4:9" x14ac:dyDescent="0.35">
      <c r="D808" s="2"/>
      <c r="E808" s="2"/>
      <c r="F808" s="3"/>
      <c r="G808" s="3">
        <f t="shared" si="36"/>
        <v>0</v>
      </c>
      <c r="H808" s="3">
        <f t="shared" si="37"/>
        <v>0</v>
      </c>
      <c r="I808" s="3">
        <f t="shared" si="38"/>
        <v>0</v>
      </c>
    </row>
    <row r="809" spans="4:9" x14ac:dyDescent="0.35">
      <c r="D809" s="2"/>
      <c r="E809" s="2"/>
      <c r="F809" s="3"/>
      <c r="G809" s="3">
        <f t="shared" si="36"/>
        <v>0</v>
      </c>
      <c r="H809" s="3">
        <f t="shared" si="37"/>
        <v>0</v>
      </c>
      <c r="I809" s="3">
        <f t="shared" si="38"/>
        <v>0</v>
      </c>
    </row>
    <row r="810" spans="4:9" x14ac:dyDescent="0.35">
      <c r="D810" s="2"/>
      <c r="E810" s="2"/>
      <c r="F810" s="3"/>
      <c r="G810" s="3">
        <f t="shared" si="36"/>
        <v>0</v>
      </c>
      <c r="H810" s="3">
        <f t="shared" si="37"/>
        <v>0</v>
      </c>
      <c r="I810" s="3">
        <f t="shared" si="38"/>
        <v>0</v>
      </c>
    </row>
    <row r="811" spans="4:9" x14ac:dyDescent="0.35">
      <c r="D811" s="2"/>
      <c r="E811" s="2"/>
      <c r="F811" s="3"/>
      <c r="G811" s="3">
        <f t="shared" si="36"/>
        <v>0</v>
      </c>
      <c r="H811" s="3">
        <f t="shared" si="37"/>
        <v>0</v>
      </c>
      <c r="I811" s="3">
        <f t="shared" si="38"/>
        <v>0</v>
      </c>
    </row>
    <row r="812" spans="4:9" x14ac:dyDescent="0.35">
      <c r="D812" s="2"/>
      <c r="E812" s="2"/>
      <c r="F812" s="3"/>
      <c r="G812" s="3">
        <f t="shared" si="36"/>
        <v>0</v>
      </c>
      <c r="H812" s="3">
        <f t="shared" si="37"/>
        <v>0</v>
      </c>
      <c r="I812" s="3">
        <f t="shared" si="38"/>
        <v>0</v>
      </c>
    </row>
    <row r="813" spans="4:9" x14ac:dyDescent="0.35">
      <c r="D813" s="2"/>
      <c r="E813" s="2"/>
      <c r="F813" s="3"/>
      <c r="G813" s="3">
        <f t="shared" si="36"/>
        <v>0</v>
      </c>
      <c r="H813" s="3">
        <f t="shared" si="37"/>
        <v>0</v>
      </c>
      <c r="I813" s="3">
        <f t="shared" si="38"/>
        <v>0</v>
      </c>
    </row>
    <row r="814" spans="4:9" x14ac:dyDescent="0.35">
      <c r="D814" s="2"/>
      <c r="E814" s="2"/>
      <c r="F814" s="3"/>
      <c r="G814" s="3">
        <f t="shared" si="36"/>
        <v>0</v>
      </c>
      <c r="H814" s="3">
        <f t="shared" si="37"/>
        <v>0</v>
      </c>
      <c r="I814" s="3">
        <f t="shared" si="38"/>
        <v>0</v>
      </c>
    </row>
    <row r="815" spans="4:9" x14ac:dyDescent="0.35">
      <c r="D815" s="2"/>
      <c r="E815" s="2"/>
      <c r="F815" s="3"/>
      <c r="G815" s="3">
        <f t="shared" si="36"/>
        <v>0</v>
      </c>
      <c r="H815" s="3">
        <f t="shared" si="37"/>
        <v>0</v>
      </c>
      <c r="I815" s="3">
        <f t="shared" si="38"/>
        <v>0</v>
      </c>
    </row>
    <row r="816" spans="4:9" x14ac:dyDescent="0.35">
      <c r="D816" s="2"/>
      <c r="E816" s="2"/>
      <c r="F816" s="3"/>
      <c r="G816" s="3">
        <f t="shared" si="36"/>
        <v>0</v>
      </c>
      <c r="H816" s="3">
        <f t="shared" si="37"/>
        <v>0</v>
      </c>
      <c r="I816" s="3">
        <f t="shared" si="38"/>
        <v>0</v>
      </c>
    </row>
    <row r="817" spans="4:9" x14ac:dyDescent="0.35">
      <c r="D817" s="2"/>
      <c r="E817" s="2"/>
      <c r="F817" s="3"/>
      <c r="G817" s="3">
        <f t="shared" si="36"/>
        <v>0</v>
      </c>
      <c r="H817" s="3">
        <f t="shared" si="37"/>
        <v>0</v>
      </c>
      <c r="I817" s="3">
        <f t="shared" si="38"/>
        <v>0</v>
      </c>
    </row>
    <row r="818" spans="4:9" x14ac:dyDescent="0.35">
      <c r="D818" s="2"/>
      <c r="E818" s="2"/>
      <c r="F818" s="3"/>
      <c r="G818" s="3">
        <f t="shared" si="36"/>
        <v>0</v>
      </c>
      <c r="H818" s="3">
        <f t="shared" si="37"/>
        <v>0</v>
      </c>
      <c r="I818" s="3">
        <f t="shared" si="38"/>
        <v>0</v>
      </c>
    </row>
    <row r="819" spans="4:9" x14ac:dyDescent="0.35">
      <c r="D819" s="2"/>
      <c r="E819" s="2"/>
      <c r="F819" s="3"/>
      <c r="G819" s="3">
        <f t="shared" si="36"/>
        <v>0</v>
      </c>
      <c r="H819" s="3">
        <f t="shared" si="37"/>
        <v>0</v>
      </c>
      <c r="I819" s="3">
        <f t="shared" si="38"/>
        <v>0</v>
      </c>
    </row>
    <row r="820" spans="4:9" x14ac:dyDescent="0.35">
      <c r="D820" s="2"/>
      <c r="E820" s="2"/>
      <c r="F820" s="3"/>
      <c r="G820" s="3">
        <f t="shared" si="36"/>
        <v>0</v>
      </c>
      <c r="H820" s="3">
        <f t="shared" si="37"/>
        <v>0</v>
      </c>
      <c r="I820" s="3">
        <f t="shared" si="38"/>
        <v>0</v>
      </c>
    </row>
    <row r="821" spans="4:9" x14ac:dyDescent="0.35">
      <c r="D821" s="2"/>
      <c r="E821" s="2"/>
      <c r="F821" s="3"/>
      <c r="G821" s="3">
        <f t="shared" si="36"/>
        <v>0</v>
      </c>
      <c r="H821" s="3">
        <f t="shared" si="37"/>
        <v>0</v>
      </c>
      <c r="I821" s="3">
        <f t="shared" si="38"/>
        <v>0</v>
      </c>
    </row>
    <row r="822" spans="4:9" x14ac:dyDescent="0.35">
      <c r="D822" s="2"/>
      <c r="E822" s="2"/>
      <c r="F822" s="3"/>
      <c r="G822" s="3">
        <f t="shared" si="36"/>
        <v>0</v>
      </c>
      <c r="H822" s="3">
        <f t="shared" si="37"/>
        <v>0</v>
      </c>
      <c r="I822" s="3">
        <f t="shared" si="38"/>
        <v>0</v>
      </c>
    </row>
    <row r="823" spans="4:9" x14ac:dyDescent="0.35">
      <c r="D823" s="2"/>
      <c r="E823" s="2"/>
      <c r="F823" s="3"/>
      <c r="G823" s="3">
        <f t="shared" si="36"/>
        <v>0</v>
      </c>
      <c r="H823" s="3">
        <f t="shared" si="37"/>
        <v>0</v>
      </c>
      <c r="I823" s="3">
        <f t="shared" si="38"/>
        <v>0</v>
      </c>
    </row>
    <row r="824" spans="4:9" x14ac:dyDescent="0.35">
      <c r="D824" s="2"/>
      <c r="E824" s="2"/>
      <c r="F824" s="3"/>
      <c r="G824" s="3">
        <f t="shared" si="36"/>
        <v>0</v>
      </c>
      <c r="H824" s="3">
        <f t="shared" si="37"/>
        <v>0</v>
      </c>
      <c r="I824" s="3">
        <f t="shared" si="38"/>
        <v>0</v>
      </c>
    </row>
    <row r="825" spans="4:9" x14ac:dyDescent="0.35">
      <c r="D825" s="2"/>
      <c r="E825" s="2"/>
      <c r="F825" s="3"/>
      <c r="G825" s="3">
        <f t="shared" si="36"/>
        <v>0</v>
      </c>
      <c r="H825" s="3">
        <f t="shared" si="37"/>
        <v>0</v>
      </c>
      <c r="I825" s="3">
        <f t="shared" si="38"/>
        <v>0</v>
      </c>
    </row>
    <row r="826" spans="4:9" x14ac:dyDescent="0.35">
      <c r="D826" s="2"/>
      <c r="E826" s="2"/>
      <c r="F826" s="3"/>
      <c r="G826" s="3">
        <f t="shared" si="36"/>
        <v>0</v>
      </c>
      <c r="H826" s="3">
        <f t="shared" si="37"/>
        <v>0</v>
      </c>
      <c r="I826" s="3">
        <f t="shared" si="38"/>
        <v>0</v>
      </c>
    </row>
    <row r="827" spans="4:9" x14ac:dyDescent="0.35">
      <c r="D827" s="2"/>
      <c r="E827" s="2"/>
      <c r="F827" s="3"/>
      <c r="G827" s="3">
        <f t="shared" si="36"/>
        <v>0</v>
      </c>
      <c r="H827" s="3">
        <f t="shared" si="37"/>
        <v>0</v>
      </c>
      <c r="I827" s="3">
        <f t="shared" si="38"/>
        <v>0</v>
      </c>
    </row>
    <row r="828" spans="4:9" x14ac:dyDescent="0.35">
      <c r="D828" s="2"/>
      <c r="E828" s="2"/>
      <c r="F828" s="3"/>
      <c r="G828" s="3">
        <f t="shared" si="36"/>
        <v>0</v>
      </c>
      <c r="H828" s="3">
        <f t="shared" si="37"/>
        <v>0</v>
      </c>
      <c r="I828" s="3">
        <f t="shared" si="38"/>
        <v>0</v>
      </c>
    </row>
    <row r="829" spans="4:9" x14ac:dyDescent="0.35">
      <c r="D829" s="2"/>
      <c r="E829" s="2"/>
      <c r="F829" s="3"/>
      <c r="G829" s="3">
        <f t="shared" si="36"/>
        <v>0</v>
      </c>
      <c r="H829" s="3">
        <f t="shared" si="37"/>
        <v>0</v>
      </c>
      <c r="I829" s="3">
        <f t="shared" si="38"/>
        <v>0</v>
      </c>
    </row>
    <row r="830" spans="4:9" x14ac:dyDescent="0.35">
      <c r="D830" s="2"/>
      <c r="E830" s="2"/>
      <c r="F830" s="3"/>
      <c r="G830" s="3">
        <f t="shared" si="36"/>
        <v>0</v>
      </c>
      <c r="H830" s="3">
        <f t="shared" si="37"/>
        <v>0</v>
      </c>
      <c r="I830" s="3">
        <f t="shared" si="38"/>
        <v>0</v>
      </c>
    </row>
    <row r="831" spans="4:9" x14ac:dyDescent="0.35">
      <c r="D831" s="2"/>
      <c r="E831" s="2"/>
      <c r="F831" s="3"/>
      <c r="G831" s="3">
        <f t="shared" si="36"/>
        <v>0</v>
      </c>
      <c r="H831" s="3">
        <f t="shared" si="37"/>
        <v>0</v>
      </c>
      <c r="I831" s="3">
        <f t="shared" si="38"/>
        <v>0</v>
      </c>
    </row>
    <row r="832" spans="4:9" x14ac:dyDescent="0.35">
      <c r="D832" s="2"/>
      <c r="E832" s="2"/>
      <c r="F832" s="3"/>
      <c r="G832" s="3">
        <f t="shared" si="36"/>
        <v>0</v>
      </c>
      <c r="H832" s="3">
        <f t="shared" si="37"/>
        <v>0</v>
      </c>
      <c r="I832" s="3">
        <f t="shared" si="38"/>
        <v>0</v>
      </c>
    </row>
    <row r="833" spans="4:9" x14ac:dyDescent="0.35">
      <c r="D833" s="2"/>
      <c r="E833" s="2"/>
      <c r="F833" s="3"/>
      <c r="G833" s="3">
        <f t="shared" si="36"/>
        <v>0</v>
      </c>
      <c r="H833" s="3">
        <f t="shared" si="37"/>
        <v>0</v>
      </c>
      <c r="I833" s="3">
        <f t="shared" si="38"/>
        <v>0</v>
      </c>
    </row>
    <row r="834" spans="4:9" x14ac:dyDescent="0.35">
      <c r="D834" s="2"/>
      <c r="E834" s="2"/>
      <c r="F834" s="3"/>
      <c r="G834" s="3">
        <f t="shared" ref="G834:G897" si="39">IF($F834&gt;0,$E834/(1-$F834),0)</f>
        <v>0</v>
      </c>
      <c r="H834" s="3">
        <f t="shared" ref="H834:H897" si="40">IF($D834&gt;0,$G834/$D834,0)</f>
        <v>0</v>
      </c>
      <c r="I834" s="3">
        <f t="shared" ref="I834:I897" si="41">$E834*1.1</f>
        <v>0</v>
      </c>
    </row>
    <row r="835" spans="4:9" x14ac:dyDescent="0.35">
      <c r="D835" s="2"/>
      <c r="E835" s="2"/>
      <c r="F835" s="3"/>
      <c r="G835" s="3">
        <f t="shared" si="39"/>
        <v>0</v>
      </c>
      <c r="H835" s="3">
        <f t="shared" si="40"/>
        <v>0</v>
      </c>
      <c r="I835" s="3">
        <f t="shared" si="41"/>
        <v>0</v>
      </c>
    </row>
    <row r="836" spans="4:9" x14ac:dyDescent="0.35">
      <c r="D836" s="2"/>
      <c r="E836" s="2"/>
      <c r="F836" s="3"/>
      <c r="G836" s="3">
        <f t="shared" si="39"/>
        <v>0</v>
      </c>
      <c r="H836" s="3">
        <f t="shared" si="40"/>
        <v>0</v>
      </c>
      <c r="I836" s="3">
        <f t="shared" si="41"/>
        <v>0</v>
      </c>
    </row>
    <row r="837" spans="4:9" x14ac:dyDescent="0.35">
      <c r="D837" s="2"/>
      <c r="E837" s="2"/>
      <c r="F837" s="3"/>
      <c r="G837" s="3">
        <f t="shared" si="39"/>
        <v>0</v>
      </c>
      <c r="H837" s="3">
        <f t="shared" si="40"/>
        <v>0</v>
      </c>
      <c r="I837" s="3">
        <f t="shared" si="41"/>
        <v>0</v>
      </c>
    </row>
    <row r="838" spans="4:9" x14ac:dyDescent="0.35">
      <c r="D838" s="2"/>
      <c r="E838" s="2"/>
      <c r="F838" s="3"/>
      <c r="G838" s="3">
        <f t="shared" si="39"/>
        <v>0</v>
      </c>
      <c r="H838" s="3">
        <f t="shared" si="40"/>
        <v>0</v>
      </c>
      <c r="I838" s="3">
        <f t="shared" si="41"/>
        <v>0</v>
      </c>
    </row>
    <row r="839" spans="4:9" x14ac:dyDescent="0.35">
      <c r="D839" s="2"/>
      <c r="E839" s="2"/>
      <c r="F839" s="3"/>
      <c r="G839" s="3">
        <f t="shared" si="39"/>
        <v>0</v>
      </c>
      <c r="H839" s="3">
        <f t="shared" si="40"/>
        <v>0</v>
      </c>
      <c r="I839" s="3">
        <f t="shared" si="41"/>
        <v>0</v>
      </c>
    </row>
    <row r="840" spans="4:9" x14ac:dyDescent="0.35">
      <c r="D840" s="2"/>
      <c r="E840" s="2"/>
      <c r="F840" s="3"/>
      <c r="G840" s="3">
        <f t="shared" si="39"/>
        <v>0</v>
      </c>
      <c r="H840" s="3">
        <f t="shared" si="40"/>
        <v>0</v>
      </c>
      <c r="I840" s="3">
        <f t="shared" si="41"/>
        <v>0</v>
      </c>
    </row>
    <row r="841" spans="4:9" x14ac:dyDescent="0.35">
      <c r="D841" s="2"/>
      <c r="E841" s="2"/>
      <c r="F841" s="3"/>
      <c r="G841" s="3">
        <f t="shared" si="39"/>
        <v>0</v>
      </c>
      <c r="H841" s="3">
        <f t="shared" si="40"/>
        <v>0</v>
      </c>
      <c r="I841" s="3">
        <f t="shared" si="41"/>
        <v>0</v>
      </c>
    </row>
    <row r="842" spans="4:9" x14ac:dyDescent="0.35">
      <c r="D842" s="2"/>
      <c r="E842" s="2"/>
      <c r="F842" s="3"/>
      <c r="G842" s="3">
        <f t="shared" si="39"/>
        <v>0</v>
      </c>
      <c r="H842" s="3">
        <f t="shared" si="40"/>
        <v>0</v>
      </c>
      <c r="I842" s="3">
        <f t="shared" si="41"/>
        <v>0</v>
      </c>
    </row>
    <row r="843" spans="4:9" x14ac:dyDescent="0.35">
      <c r="D843" s="2"/>
      <c r="E843" s="2"/>
      <c r="F843" s="3"/>
      <c r="G843" s="3">
        <f t="shared" si="39"/>
        <v>0</v>
      </c>
      <c r="H843" s="3">
        <f t="shared" si="40"/>
        <v>0</v>
      </c>
      <c r="I843" s="3">
        <f t="shared" si="41"/>
        <v>0</v>
      </c>
    </row>
    <row r="844" spans="4:9" x14ac:dyDescent="0.35">
      <c r="D844" s="2"/>
      <c r="E844" s="2"/>
      <c r="F844" s="3"/>
      <c r="G844" s="3">
        <f t="shared" si="39"/>
        <v>0</v>
      </c>
      <c r="H844" s="3">
        <f t="shared" si="40"/>
        <v>0</v>
      </c>
      <c r="I844" s="3">
        <f t="shared" si="41"/>
        <v>0</v>
      </c>
    </row>
    <row r="845" spans="4:9" x14ac:dyDescent="0.35">
      <c r="D845" s="2"/>
      <c r="E845" s="2"/>
      <c r="F845" s="3"/>
      <c r="G845" s="3">
        <f t="shared" si="39"/>
        <v>0</v>
      </c>
      <c r="H845" s="3">
        <f t="shared" si="40"/>
        <v>0</v>
      </c>
      <c r="I845" s="3">
        <f t="shared" si="41"/>
        <v>0</v>
      </c>
    </row>
    <row r="846" spans="4:9" x14ac:dyDescent="0.35">
      <c r="D846" s="2"/>
      <c r="E846" s="2"/>
      <c r="F846" s="3"/>
      <c r="G846" s="3">
        <f t="shared" si="39"/>
        <v>0</v>
      </c>
      <c r="H846" s="3">
        <f t="shared" si="40"/>
        <v>0</v>
      </c>
      <c r="I846" s="3">
        <f t="shared" si="41"/>
        <v>0</v>
      </c>
    </row>
    <row r="847" spans="4:9" x14ac:dyDescent="0.35">
      <c r="D847" s="2"/>
      <c r="E847" s="2"/>
      <c r="F847" s="3"/>
      <c r="G847" s="3">
        <f t="shared" si="39"/>
        <v>0</v>
      </c>
      <c r="H847" s="3">
        <f t="shared" si="40"/>
        <v>0</v>
      </c>
      <c r="I847" s="3">
        <f t="shared" si="41"/>
        <v>0</v>
      </c>
    </row>
    <row r="848" spans="4:9" x14ac:dyDescent="0.35">
      <c r="D848" s="2"/>
      <c r="E848" s="2"/>
      <c r="F848" s="3"/>
      <c r="G848" s="3">
        <f t="shared" si="39"/>
        <v>0</v>
      </c>
      <c r="H848" s="3">
        <f t="shared" si="40"/>
        <v>0</v>
      </c>
      <c r="I848" s="3">
        <f t="shared" si="41"/>
        <v>0</v>
      </c>
    </row>
    <row r="849" spans="4:9" x14ac:dyDescent="0.35">
      <c r="D849" s="2"/>
      <c r="E849" s="2"/>
      <c r="F849" s="3"/>
      <c r="G849" s="3">
        <f t="shared" si="39"/>
        <v>0</v>
      </c>
      <c r="H849" s="3">
        <f t="shared" si="40"/>
        <v>0</v>
      </c>
      <c r="I849" s="3">
        <f t="shared" si="41"/>
        <v>0</v>
      </c>
    </row>
    <row r="850" spans="4:9" x14ac:dyDescent="0.35">
      <c r="D850" s="2"/>
      <c r="E850" s="2"/>
      <c r="F850" s="3"/>
      <c r="G850" s="3">
        <f t="shared" si="39"/>
        <v>0</v>
      </c>
      <c r="H850" s="3">
        <f t="shared" si="40"/>
        <v>0</v>
      </c>
      <c r="I850" s="3">
        <f t="shared" si="41"/>
        <v>0</v>
      </c>
    </row>
    <row r="851" spans="4:9" x14ac:dyDescent="0.35">
      <c r="D851" s="2"/>
      <c r="E851" s="2"/>
      <c r="F851" s="3"/>
      <c r="G851" s="3">
        <f t="shared" si="39"/>
        <v>0</v>
      </c>
      <c r="H851" s="3">
        <f t="shared" si="40"/>
        <v>0</v>
      </c>
      <c r="I851" s="3">
        <f t="shared" si="41"/>
        <v>0</v>
      </c>
    </row>
    <row r="852" spans="4:9" x14ac:dyDescent="0.35">
      <c r="D852" s="2"/>
      <c r="E852" s="2"/>
      <c r="F852" s="3"/>
      <c r="G852" s="3">
        <f t="shared" si="39"/>
        <v>0</v>
      </c>
      <c r="H852" s="3">
        <f t="shared" si="40"/>
        <v>0</v>
      </c>
      <c r="I852" s="3">
        <f t="shared" si="41"/>
        <v>0</v>
      </c>
    </row>
    <row r="853" spans="4:9" x14ac:dyDescent="0.35">
      <c r="D853" s="2"/>
      <c r="E853" s="2"/>
      <c r="F853" s="3"/>
      <c r="G853" s="3">
        <f t="shared" si="39"/>
        <v>0</v>
      </c>
      <c r="H853" s="3">
        <f t="shared" si="40"/>
        <v>0</v>
      </c>
      <c r="I853" s="3">
        <f t="shared" si="41"/>
        <v>0</v>
      </c>
    </row>
    <row r="854" spans="4:9" x14ac:dyDescent="0.35">
      <c r="D854" s="2"/>
      <c r="E854" s="2"/>
      <c r="F854" s="3"/>
      <c r="G854" s="3">
        <f t="shared" si="39"/>
        <v>0</v>
      </c>
      <c r="H854" s="3">
        <f t="shared" si="40"/>
        <v>0</v>
      </c>
      <c r="I854" s="3">
        <f t="shared" si="41"/>
        <v>0</v>
      </c>
    </row>
    <row r="855" spans="4:9" x14ac:dyDescent="0.35">
      <c r="D855" s="2"/>
      <c r="E855" s="2"/>
      <c r="F855" s="3"/>
      <c r="G855" s="3">
        <f t="shared" si="39"/>
        <v>0</v>
      </c>
      <c r="H855" s="3">
        <f t="shared" si="40"/>
        <v>0</v>
      </c>
      <c r="I855" s="3">
        <f t="shared" si="41"/>
        <v>0</v>
      </c>
    </row>
    <row r="856" spans="4:9" x14ac:dyDescent="0.35">
      <c r="D856" s="2"/>
      <c r="E856" s="2"/>
      <c r="F856" s="3"/>
      <c r="G856" s="3">
        <f t="shared" si="39"/>
        <v>0</v>
      </c>
      <c r="H856" s="3">
        <f t="shared" si="40"/>
        <v>0</v>
      </c>
      <c r="I856" s="3">
        <f t="shared" si="41"/>
        <v>0</v>
      </c>
    </row>
    <row r="857" spans="4:9" x14ac:dyDescent="0.35">
      <c r="D857" s="2"/>
      <c r="E857" s="2"/>
      <c r="F857" s="3"/>
      <c r="G857" s="3">
        <f t="shared" si="39"/>
        <v>0</v>
      </c>
      <c r="H857" s="3">
        <f t="shared" si="40"/>
        <v>0</v>
      </c>
      <c r="I857" s="3">
        <f t="shared" si="41"/>
        <v>0</v>
      </c>
    </row>
    <row r="858" spans="4:9" x14ac:dyDescent="0.35">
      <c r="D858" s="2"/>
      <c r="E858" s="2"/>
      <c r="F858" s="3"/>
      <c r="G858" s="3">
        <f t="shared" si="39"/>
        <v>0</v>
      </c>
      <c r="H858" s="3">
        <f t="shared" si="40"/>
        <v>0</v>
      </c>
      <c r="I858" s="3">
        <f t="shared" si="41"/>
        <v>0</v>
      </c>
    </row>
    <row r="859" spans="4:9" x14ac:dyDescent="0.35">
      <c r="D859" s="2"/>
      <c r="E859" s="2"/>
      <c r="F859" s="3"/>
      <c r="G859" s="3">
        <f t="shared" si="39"/>
        <v>0</v>
      </c>
      <c r="H859" s="3">
        <f t="shared" si="40"/>
        <v>0</v>
      </c>
      <c r="I859" s="3">
        <f t="shared" si="41"/>
        <v>0</v>
      </c>
    </row>
    <row r="860" spans="4:9" x14ac:dyDescent="0.35">
      <c r="D860" s="2"/>
      <c r="E860" s="2"/>
      <c r="F860" s="3"/>
      <c r="G860" s="3">
        <f t="shared" si="39"/>
        <v>0</v>
      </c>
      <c r="H860" s="3">
        <f t="shared" si="40"/>
        <v>0</v>
      </c>
      <c r="I860" s="3">
        <f t="shared" si="41"/>
        <v>0</v>
      </c>
    </row>
    <row r="861" spans="4:9" x14ac:dyDescent="0.35">
      <c r="D861" s="2"/>
      <c r="E861" s="2"/>
      <c r="F861" s="3"/>
      <c r="G861" s="3">
        <f t="shared" si="39"/>
        <v>0</v>
      </c>
      <c r="H861" s="3">
        <f t="shared" si="40"/>
        <v>0</v>
      </c>
      <c r="I861" s="3">
        <f t="shared" si="41"/>
        <v>0</v>
      </c>
    </row>
    <row r="862" spans="4:9" x14ac:dyDescent="0.35">
      <c r="D862" s="2"/>
      <c r="E862" s="2"/>
      <c r="F862" s="3"/>
      <c r="G862" s="3">
        <f t="shared" si="39"/>
        <v>0</v>
      </c>
      <c r="H862" s="3">
        <f t="shared" si="40"/>
        <v>0</v>
      </c>
      <c r="I862" s="3">
        <f t="shared" si="41"/>
        <v>0</v>
      </c>
    </row>
    <row r="863" spans="4:9" x14ac:dyDescent="0.35">
      <c r="D863" s="2"/>
      <c r="E863" s="2"/>
      <c r="F863" s="3"/>
      <c r="G863" s="3">
        <f t="shared" si="39"/>
        <v>0</v>
      </c>
      <c r="H863" s="3">
        <f t="shared" si="40"/>
        <v>0</v>
      </c>
      <c r="I863" s="3">
        <f t="shared" si="41"/>
        <v>0</v>
      </c>
    </row>
    <row r="864" spans="4:9" x14ac:dyDescent="0.35">
      <c r="D864" s="2"/>
      <c r="E864" s="2"/>
      <c r="F864" s="3"/>
      <c r="G864" s="3">
        <f t="shared" si="39"/>
        <v>0</v>
      </c>
      <c r="H864" s="3">
        <f t="shared" si="40"/>
        <v>0</v>
      </c>
      <c r="I864" s="3">
        <f t="shared" si="41"/>
        <v>0</v>
      </c>
    </row>
    <row r="865" spans="4:9" x14ac:dyDescent="0.35">
      <c r="D865" s="2"/>
      <c r="E865" s="2"/>
      <c r="F865" s="3"/>
      <c r="G865" s="3">
        <f t="shared" si="39"/>
        <v>0</v>
      </c>
      <c r="H865" s="3">
        <f t="shared" si="40"/>
        <v>0</v>
      </c>
      <c r="I865" s="3">
        <f t="shared" si="41"/>
        <v>0</v>
      </c>
    </row>
    <row r="866" spans="4:9" x14ac:dyDescent="0.35">
      <c r="D866" s="2"/>
      <c r="E866" s="2"/>
      <c r="F866" s="3"/>
      <c r="G866" s="3">
        <f t="shared" si="39"/>
        <v>0</v>
      </c>
      <c r="H866" s="3">
        <f t="shared" si="40"/>
        <v>0</v>
      </c>
      <c r="I866" s="3">
        <f t="shared" si="41"/>
        <v>0</v>
      </c>
    </row>
    <row r="867" spans="4:9" x14ac:dyDescent="0.35">
      <c r="D867" s="2"/>
      <c r="E867" s="2"/>
      <c r="F867" s="3"/>
      <c r="G867" s="3">
        <f t="shared" si="39"/>
        <v>0</v>
      </c>
      <c r="H867" s="3">
        <f t="shared" si="40"/>
        <v>0</v>
      </c>
      <c r="I867" s="3">
        <f t="shared" si="41"/>
        <v>0</v>
      </c>
    </row>
    <row r="868" spans="4:9" x14ac:dyDescent="0.35">
      <c r="D868" s="2"/>
      <c r="E868" s="2"/>
      <c r="F868" s="3"/>
      <c r="G868" s="3">
        <f t="shared" si="39"/>
        <v>0</v>
      </c>
      <c r="H868" s="3">
        <f t="shared" si="40"/>
        <v>0</v>
      </c>
      <c r="I868" s="3">
        <f t="shared" si="41"/>
        <v>0</v>
      </c>
    </row>
    <row r="869" spans="4:9" x14ac:dyDescent="0.35">
      <c r="D869" s="2"/>
      <c r="E869" s="2"/>
      <c r="F869" s="3"/>
      <c r="G869" s="3">
        <f t="shared" si="39"/>
        <v>0</v>
      </c>
      <c r="H869" s="3">
        <f t="shared" si="40"/>
        <v>0</v>
      </c>
      <c r="I869" s="3">
        <f t="shared" si="41"/>
        <v>0</v>
      </c>
    </row>
    <row r="870" spans="4:9" x14ac:dyDescent="0.35">
      <c r="D870" s="2"/>
      <c r="E870" s="2"/>
      <c r="F870" s="3"/>
      <c r="G870" s="3">
        <f t="shared" si="39"/>
        <v>0</v>
      </c>
      <c r="H870" s="3">
        <f t="shared" si="40"/>
        <v>0</v>
      </c>
      <c r="I870" s="3">
        <f t="shared" si="41"/>
        <v>0</v>
      </c>
    </row>
    <row r="871" spans="4:9" x14ac:dyDescent="0.35">
      <c r="D871" s="2"/>
      <c r="E871" s="2"/>
      <c r="F871" s="3"/>
      <c r="G871" s="3">
        <f t="shared" si="39"/>
        <v>0</v>
      </c>
      <c r="H871" s="3">
        <f t="shared" si="40"/>
        <v>0</v>
      </c>
      <c r="I871" s="3">
        <f t="shared" si="41"/>
        <v>0</v>
      </c>
    </row>
    <row r="872" spans="4:9" x14ac:dyDescent="0.35">
      <c r="D872" s="2"/>
      <c r="E872" s="2"/>
      <c r="F872" s="3"/>
      <c r="G872" s="3">
        <f t="shared" si="39"/>
        <v>0</v>
      </c>
      <c r="H872" s="3">
        <f t="shared" si="40"/>
        <v>0</v>
      </c>
      <c r="I872" s="3">
        <f t="shared" si="41"/>
        <v>0</v>
      </c>
    </row>
    <row r="873" spans="4:9" x14ac:dyDescent="0.35">
      <c r="D873" s="2"/>
      <c r="E873" s="2"/>
      <c r="F873" s="3"/>
      <c r="G873" s="3">
        <f t="shared" si="39"/>
        <v>0</v>
      </c>
      <c r="H873" s="3">
        <f t="shared" si="40"/>
        <v>0</v>
      </c>
      <c r="I873" s="3">
        <f t="shared" si="41"/>
        <v>0</v>
      </c>
    </row>
    <row r="874" spans="4:9" x14ac:dyDescent="0.35">
      <c r="D874" s="2"/>
      <c r="E874" s="2"/>
      <c r="F874" s="3"/>
      <c r="G874" s="3">
        <f t="shared" si="39"/>
        <v>0</v>
      </c>
      <c r="H874" s="3">
        <f t="shared" si="40"/>
        <v>0</v>
      </c>
      <c r="I874" s="3">
        <f t="shared" si="41"/>
        <v>0</v>
      </c>
    </row>
    <row r="875" spans="4:9" x14ac:dyDescent="0.35">
      <c r="D875" s="2"/>
      <c r="E875" s="2"/>
      <c r="F875" s="3"/>
      <c r="G875" s="3">
        <f t="shared" si="39"/>
        <v>0</v>
      </c>
      <c r="H875" s="3">
        <f t="shared" si="40"/>
        <v>0</v>
      </c>
      <c r="I875" s="3">
        <f t="shared" si="41"/>
        <v>0</v>
      </c>
    </row>
    <row r="876" spans="4:9" x14ac:dyDescent="0.35">
      <c r="D876" s="2"/>
      <c r="E876" s="2"/>
      <c r="F876" s="3"/>
      <c r="G876" s="3">
        <f t="shared" si="39"/>
        <v>0</v>
      </c>
      <c r="H876" s="3">
        <f t="shared" si="40"/>
        <v>0</v>
      </c>
      <c r="I876" s="3">
        <f t="shared" si="41"/>
        <v>0</v>
      </c>
    </row>
    <row r="877" spans="4:9" x14ac:dyDescent="0.35">
      <c r="D877" s="2"/>
      <c r="E877" s="2"/>
      <c r="F877" s="3"/>
      <c r="G877" s="3">
        <f t="shared" si="39"/>
        <v>0</v>
      </c>
      <c r="H877" s="3">
        <f t="shared" si="40"/>
        <v>0</v>
      </c>
      <c r="I877" s="3">
        <f t="shared" si="41"/>
        <v>0</v>
      </c>
    </row>
    <row r="878" spans="4:9" x14ac:dyDescent="0.35">
      <c r="D878" s="2"/>
      <c r="E878" s="2"/>
      <c r="F878" s="3"/>
      <c r="G878" s="3">
        <f t="shared" si="39"/>
        <v>0</v>
      </c>
      <c r="H878" s="3">
        <f t="shared" si="40"/>
        <v>0</v>
      </c>
      <c r="I878" s="3">
        <f t="shared" si="41"/>
        <v>0</v>
      </c>
    </row>
    <row r="879" spans="4:9" x14ac:dyDescent="0.35">
      <c r="D879" s="2"/>
      <c r="E879" s="2"/>
      <c r="F879" s="3"/>
      <c r="G879" s="3">
        <f t="shared" si="39"/>
        <v>0</v>
      </c>
      <c r="H879" s="3">
        <f t="shared" si="40"/>
        <v>0</v>
      </c>
      <c r="I879" s="3">
        <f t="shared" si="41"/>
        <v>0</v>
      </c>
    </row>
    <row r="880" spans="4:9" x14ac:dyDescent="0.35">
      <c r="D880" s="2"/>
      <c r="E880" s="2"/>
      <c r="F880" s="3"/>
      <c r="G880" s="3">
        <f t="shared" si="39"/>
        <v>0</v>
      </c>
      <c r="H880" s="3">
        <f t="shared" si="40"/>
        <v>0</v>
      </c>
      <c r="I880" s="3">
        <f t="shared" si="41"/>
        <v>0</v>
      </c>
    </row>
    <row r="881" spans="4:9" x14ac:dyDescent="0.35">
      <c r="D881" s="2"/>
      <c r="E881" s="2"/>
      <c r="F881" s="3"/>
      <c r="G881" s="3">
        <f t="shared" si="39"/>
        <v>0</v>
      </c>
      <c r="H881" s="3">
        <f t="shared" si="40"/>
        <v>0</v>
      </c>
      <c r="I881" s="3">
        <f t="shared" si="41"/>
        <v>0</v>
      </c>
    </row>
    <row r="882" spans="4:9" x14ac:dyDescent="0.35">
      <c r="D882" s="2"/>
      <c r="E882" s="2"/>
      <c r="F882" s="3"/>
      <c r="G882" s="3">
        <f t="shared" si="39"/>
        <v>0</v>
      </c>
      <c r="H882" s="3">
        <f t="shared" si="40"/>
        <v>0</v>
      </c>
      <c r="I882" s="3">
        <f t="shared" si="41"/>
        <v>0</v>
      </c>
    </row>
    <row r="883" spans="4:9" x14ac:dyDescent="0.35">
      <c r="D883" s="2"/>
      <c r="E883" s="2"/>
      <c r="F883" s="3"/>
      <c r="G883" s="3">
        <f t="shared" si="39"/>
        <v>0</v>
      </c>
      <c r="H883" s="3">
        <f t="shared" si="40"/>
        <v>0</v>
      </c>
      <c r="I883" s="3">
        <f t="shared" si="41"/>
        <v>0</v>
      </c>
    </row>
    <row r="884" spans="4:9" x14ac:dyDescent="0.35">
      <c r="D884" s="2"/>
      <c r="E884" s="2"/>
      <c r="F884" s="3"/>
      <c r="G884" s="3">
        <f t="shared" si="39"/>
        <v>0</v>
      </c>
      <c r="H884" s="3">
        <f t="shared" si="40"/>
        <v>0</v>
      </c>
      <c r="I884" s="3">
        <f t="shared" si="41"/>
        <v>0</v>
      </c>
    </row>
    <row r="885" spans="4:9" x14ac:dyDescent="0.35">
      <c r="D885" s="2"/>
      <c r="E885" s="2"/>
      <c r="F885" s="3"/>
      <c r="G885" s="3">
        <f t="shared" si="39"/>
        <v>0</v>
      </c>
      <c r="H885" s="3">
        <f t="shared" si="40"/>
        <v>0</v>
      </c>
      <c r="I885" s="3">
        <f t="shared" si="41"/>
        <v>0</v>
      </c>
    </row>
    <row r="886" spans="4:9" x14ac:dyDescent="0.35">
      <c r="D886" s="2"/>
      <c r="E886" s="2"/>
      <c r="F886" s="3"/>
      <c r="G886" s="3">
        <f t="shared" si="39"/>
        <v>0</v>
      </c>
      <c r="H886" s="3">
        <f t="shared" si="40"/>
        <v>0</v>
      </c>
      <c r="I886" s="3">
        <f t="shared" si="41"/>
        <v>0</v>
      </c>
    </row>
    <row r="887" spans="4:9" x14ac:dyDescent="0.35">
      <c r="D887" s="2"/>
      <c r="E887" s="2"/>
      <c r="F887" s="3"/>
      <c r="G887" s="3">
        <f t="shared" si="39"/>
        <v>0</v>
      </c>
      <c r="H887" s="3">
        <f t="shared" si="40"/>
        <v>0</v>
      </c>
      <c r="I887" s="3">
        <f t="shared" si="41"/>
        <v>0</v>
      </c>
    </row>
    <row r="888" spans="4:9" x14ac:dyDescent="0.35">
      <c r="D888" s="2"/>
      <c r="E888" s="2"/>
      <c r="F888" s="3"/>
      <c r="G888" s="3">
        <f t="shared" si="39"/>
        <v>0</v>
      </c>
      <c r="H888" s="3">
        <f t="shared" si="40"/>
        <v>0</v>
      </c>
      <c r="I888" s="3">
        <f t="shared" si="41"/>
        <v>0</v>
      </c>
    </row>
    <row r="889" spans="4:9" x14ac:dyDescent="0.35">
      <c r="D889" s="2"/>
      <c r="E889" s="2"/>
      <c r="F889" s="3"/>
      <c r="G889" s="3">
        <f t="shared" si="39"/>
        <v>0</v>
      </c>
      <c r="H889" s="3">
        <f t="shared" si="40"/>
        <v>0</v>
      </c>
      <c r="I889" s="3">
        <f t="shared" si="41"/>
        <v>0</v>
      </c>
    </row>
    <row r="890" spans="4:9" x14ac:dyDescent="0.35">
      <c r="D890" s="2"/>
      <c r="E890" s="2"/>
      <c r="F890" s="3"/>
      <c r="G890" s="3">
        <f t="shared" si="39"/>
        <v>0</v>
      </c>
      <c r="H890" s="3">
        <f t="shared" si="40"/>
        <v>0</v>
      </c>
      <c r="I890" s="3">
        <f t="shared" si="41"/>
        <v>0</v>
      </c>
    </row>
    <row r="891" spans="4:9" x14ac:dyDescent="0.35">
      <c r="D891" s="2"/>
      <c r="E891" s="2"/>
      <c r="F891" s="3"/>
      <c r="G891" s="3">
        <f t="shared" si="39"/>
        <v>0</v>
      </c>
      <c r="H891" s="3">
        <f t="shared" si="40"/>
        <v>0</v>
      </c>
      <c r="I891" s="3">
        <f t="shared" si="41"/>
        <v>0</v>
      </c>
    </row>
    <row r="892" spans="4:9" x14ac:dyDescent="0.35">
      <c r="D892" s="2"/>
      <c r="E892" s="2"/>
      <c r="F892" s="3"/>
      <c r="G892" s="3">
        <f t="shared" si="39"/>
        <v>0</v>
      </c>
      <c r="H892" s="3">
        <f t="shared" si="40"/>
        <v>0</v>
      </c>
      <c r="I892" s="3">
        <f t="shared" si="41"/>
        <v>0</v>
      </c>
    </row>
    <row r="893" spans="4:9" x14ac:dyDescent="0.35">
      <c r="D893" s="2"/>
      <c r="E893" s="2"/>
      <c r="F893" s="3"/>
      <c r="G893" s="3">
        <f t="shared" si="39"/>
        <v>0</v>
      </c>
      <c r="H893" s="3">
        <f t="shared" si="40"/>
        <v>0</v>
      </c>
      <c r="I893" s="3">
        <f t="shared" si="41"/>
        <v>0</v>
      </c>
    </row>
    <row r="894" spans="4:9" x14ac:dyDescent="0.35">
      <c r="D894" s="2"/>
      <c r="E894" s="2"/>
      <c r="F894" s="3"/>
      <c r="G894" s="3">
        <f t="shared" si="39"/>
        <v>0</v>
      </c>
      <c r="H894" s="3">
        <f t="shared" si="40"/>
        <v>0</v>
      </c>
      <c r="I894" s="3">
        <f t="shared" si="41"/>
        <v>0</v>
      </c>
    </row>
    <row r="895" spans="4:9" x14ac:dyDescent="0.35">
      <c r="D895" s="2"/>
      <c r="E895" s="2"/>
      <c r="F895" s="3"/>
      <c r="G895" s="3">
        <f t="shared" si="39"/>
        <v>0</v>
      </c>
      <c r="H895" s="3">
        <f t="shared" si="40"/>
        <v>0</v>
      </c>
      <c r="I895" s="3">
        <f t="shared" si="41"/>
        <v>0</v>
      </c>
    </row>
    <row r="896" spans="4:9" x14ac:dyDescent="0.35">
      <c r="D896" s="2"/>
      <c r="E896" s="2"/>
      <c r="F896" s="3"/>
      <c r="G896" s="3">
        <f t="shared" si="39"/>
        <v>0</v>
      </c>
      <c r="H896" s="3">
        <f t="shared" si="40"/>
        <v>0</v>
      </c>
      <c r="I896" s="3">
        <f t="shared" si="41"/>
        <v>0</v>
      </c>
    </row>
    <row r="897" spans="4:9" x14ac:dyDescent="0.35">
      <c r="D897" s="2"/>
      <c r="E897" s="2"/>
      <c r="F897" s="3"/>
      <c r="G897" s="3">
        <f t="shared" si="39"/>
        <v>0</v>
      </c>
      <c r="H897" s="3">
        <f t="shared" si="40"/>
        <v>0</v>
      </c>
      <c r="I897" s="3">
        <f t="shared" si="41"/>
        <v>0</v>
      </c>
    </row>
    <row r="898" spans="4:9" x14ac:dyDescent="0.35">
      <c r="D898" s="2"/>
      <c r="E898" s="2"/>
      <c r="F898" s="3"/>
      <c r="G898" s="3">
        <f t="shared" ref="G898:G961" si="42">IF($F898&gt;0,$E898/(1-$F898),0)</f>
        <v>0</v>
      </c>
      <c r="H898" s="3">
        <f t="shared" ref="H898:H961" si="43">IF($D898&gt;0,$G898/$D898,0)</f>
        <v>0</v>
      </c>
      <c r="I898" s="3">
        <f t="shared" ref="I898:I961" si="44">$E898*1.1</f>
        <v>0</v>
      </c>
    </row>
    <row r="899" spans="4:9" x14ac:dyDescent="0.35">
      <c r="D899" s="2"/>
      <c r="E899" s="2"/>
      <c r="F899" s="3"/>
      <c r="G899" s="3">
        <f t="shared" si="42"/>
        <v>0</v>
      </c>
      <c r="H899" s="3">
        <f t="shared" si="43"/>
        <v>0</v>
      </c>
      <c r="I899" s="3">
        <f t="shared" si="44"/>
        <v>0</v>
      </c>
    </row>
    <row r="900" spans="4:9" x14ac:dyDescent="0.35">
      <c r="D900" s="2"/>
      <c r="E900" s="2"/>
      <c r="F900" s="3"/>
      <c r="G900" s="3">
        <f t="shared" si="42"/>
        <v>0</v>
      </c>
      <c r="H900" s="3">
        <f t="shared" si="43"/>
        <v>0</v>
      </c>
      <c r="I900" s="3">
        <f t="shared" si="44"/>
        <v>0</v>
      </c>
    </row>
    <row r="901" spans="4:9" x14ac:dyDescent="0.35">
      <c r="D901" s="2"/>
      <c r="E901" s="2"/>
      <c r="F901" s="3"/>
      <c r="G901" s="3">
        <f t="shared" si="42"/>
        <v>0</v>
      </c>
      <c r="H901" s="3">
        <f t="shared" si="43"/>
        <v>0</v>
      </c>
      <c r="I901" s="3">
        <f t="shared" si="44"/>
        <v>0</v>
      </c>
    </row>
    <row r="902" spans="4:9" x14ac:dyDescent="0.35">
      <c r="D902" s="2"/>
      <c r="E902" s="2"/>
      <c r="F902" s="3"/>
      <c r="G902" s="3">
        <f t="shared" si="42"/>
        <v>0</v>
      </c>
      <c r="H902" s="3">
        <f t="shared" si="43"/>
        <v>0</v>
      </c>
      <c r="I902" s="3">
        <f t="shared" si="44"/>
        <v>0</v>
      </c>
    </row>
    <row r="903" spans="4:9" x14ac:dyDescent="0.35">
      <c r="D903" s="2"/>
      <c r="E903" s="2"/>
      <c r="F903" s="3"/>
      <c r="G903" s="3">
        <f t="shared" si="42"/>
        <v>0</v>
      </c>
      <c r="H903" s="3">
        <f t="shared" si="43"/>
        <v>0</v>
      </c>
      <c r="I903" s="3">
        <f t="shared" si="44"/>
        <v>0</v>
      </c>
    </row>
    <row r="904" spans="4:9" x14ac:dyDescent="0.35">
      <c r="D904" s="2"/>
      <c r="E904" s="2"/>
      <c r="F904" s="3"/>
      <c r="G904" s="3">
        <f t="shared" si="42"/>
        <v>0</v>
      </c>
      <c r="H904" s="3">
        <f t="shared" si="43"/>
        <v>0</v>
      </c>
      <c r="I904" s="3">
        <f t="shared" si="44"/>
        <v>0</v>
      </c>
    </row>
    <row r="905" spans="4:9" x14ac:dyDescent="0.35">
      <c r="D905" s="2"/>
      <c r="E905" s="2"/>
      <c r="F905" s="3"/>
      <c r="G905" s="3">
        <f t="shared" si="42"/>
        <v>0</v>
      </c>
      <c r="H905" s="3">
        <f t="shared" si="43"/>
        <v>0</v>
      </c>
      <c r="I905" s="3">
        <f t="shared" si="44"/>
        <v>0</v>
      </c>
    </row>
    <row r="906" spans="4:9" x14ac:dyDescent="0.35">
      <c r="D906" s="2"/>
      <c r="E906" s="2"/>
      <c r="F906" s="3"/>
      <c r="G906" s="3">
        <f t="shared" si="42"/>
        <v>0</v>
      </c>
      <c r="H906" s="3">
        <f t="shared" si="43"/>
        <v>0</v>
      </c>
      <c r="I906" s="3">
        <f t="shared" si="44"/>
        <v>0</v>
      </c>
    </row>
    <row r="907" spans="4:9" x14ac:dyDescent="0.35">
      <c r="D907" s="2"/>
      <c r="E907" s="2"/>
      <c r="F907" s="3"/>
      <c r="G907" s="3">
        <f t="shared" si="42"/>
        <v>0</v>
      </c>
      <c r="H907" s="3">
        <f t="shared" si="43"/>
        <v>0</v>
      </c>
      <c r="I907" s="3">
        <f t="shared" si="44"/>
        <v>0</v>
      </c>
    </row>
    <row r="908" spans="4:9" x14ac:dyDescent="0.35">
      <c r="D908" s="2"/>
      <c r="E908" s="2"/>
      <c r="F908" s="3"/>
      <c r="G908" s="3">
        <f t="shared" si="42"/>
        <v>0</v>
      </c>
      <c r="H908" s="3">
        <f t="shared" si="43"/>
        <v>0</v>
      </c>
      <c r="I908" s="3">
        <f t="shared" si="44"/>
        <v>0</v>
      </c>
    </row>
    <row r="909" spans="4:9" x14ac:dyDescent="0.35">
      <c r="D909" s="2"/>
      <c r="E909" s="2"/>
      <c r="F909" s="3"/>
      <c r="G909" s="3">
        <f t="shared" si="42"/>
        <v>0</v>
      </c>
      <c r="H909" s="3">
        <f t="shared" si="43"/>
        <v>0</v>
      </c>
      <c r="I909" s="3">
        <f t="shared" si="44"/>
        <v>0</v>
      </c>
    </row>
    <row r="910" spans="4:9" x14ac:dyDescent="0.35">
      <c r="D910" s="2"/>
      <c r="E910" s="2"/>
      <c r="F910" s="3"/>
      <c r="G910" s="3">
        <f t="shared" si="42"/>
        <v>0</v>
      </c>
      <c r="H910" s="3">
        <f t="shared" si="43"/>
        <v>0</v>
      </c>
      <c r="I910" s="3">
        <f t="shared" si="44"/>
        <v>0</v>
      </c>
    </row>
    <row r="911" spans="4:9" x14ac:dyDescent="0.35">
      <c r="D911" s="2"/>
      <c r="E911" s="2"/>
      <c r="F911" s="3"/>
      <c r="G911" s="3">
        <f t="shared" si="42"/>
        <v>0</v>
      </c>
      <c r="H911" s="3">
        <f t="shared" si="43"/>
        <v>0</v>
      </c>
      <c r="I911" s="3">
        <f t="shared" si="44"/>
        <v>0</v>
      </c>
    </row>
    <row r="912" spans="4:9" x14ac:dyDescent="0.35">
      <c r="D912" s="2"/>
      <c r="E912" s="2"/>
      <c r="F912" s="3"/>
      <c r="G912" s="3">
        <f t="shared" si="42"/>
        <v>0</v>
      </c>
      <c r="H912" s="3">
        <f t="shared" si="43"/>
        <v>0</v>
      </c>
      <c r="I912" s="3">
        <f t="shared" si="44"/>
        <v>0</v>
      </c>
    </row>
    <row r="913" spans="4:9" x14ac:dyDescent="0.35">
      <c r="D913" s="2"/>
      <c r="E913" s="2"/>
      <c r="F913" s="3"/>
      <c r="G913" s="3">
        <f t="shared" si="42"/>
        <v>0</v>
      </c>
      <c r="H913" s="3">
        <f t="shared" si="43"/>
        <v>0</v>
      </c>
      <c r="I913" s="3">
        <f t="shared" si="44"/>
        <v>0</v>
      </c>
    </row>
    <row r="914" spans="4:9" x14ac:dyDescent="0.35">
      <c r="D914" s="2"/>
      <c r="E914" s="2"/>
      <c r="F914" s="3"/>
      <c r="G914" s="3">
        <f t="shared" si="42"/>
        <v>0</v>
      </c>
      <c r="H914" s="3">
        <f t="shared" si="43"/>
        <v>0</v>
      </c>
      <c r="I914" s="3">
        <f t="shared" si="44"/>
        <v>0</v>
      </c>
    </row>
    <row r="915" spans="4:9" x14ac:dyDescent="0.35">
      <c r="D915" s="2"/>
      <c r="E915" s="2"/>
      <c r="F915" s="3"/>
      <c r="G915" s="3">
        <f t="shared" si="42"/>
        <v>0</v>
      </c>
      <c r="H915" s="3">
        <f t="shared" si="43"/>
        <v>0</v>
      </c>
      <c r="I915" s="3">
        <f t="shared" si="44"/>
        <v>0</v>
      </c>
    </row>
    <row r="916" spans="4:9" x14ac:dyDescent="0.35">
      <c r="D916" s="2"/>
      <c r="E916" s="2"/>
      <c r="F916" s="3"/>
      <c r="G916" s="3">
        <f t="shared" si="42"/>
        <v>0</v>
      </c>
      <c r="H916" s="3">
        <f t="shared" si="43"/>
        <v>0</v>
      </c>
      <c r="I916" s="3">
        <f t="shared" si="44"/>
        <v>0</v>
      </c>
    </row>
    <row r="917" spans="4:9" x14ac:dyDescent="0.35">
      <c r="D917" s="2"/>
      <c r="E917" s="2"/>
      <c r="F917" s="3"/>
      <c r="G917" s="3">
        <f t="shared" si="42"/>
        <v>0</v>
      </c>
      <c r="H917" s="3">
        <f t="shared" si="43"/>
        <v>0</v>
      </c>
      <c r="I917" s="3">
        <f t="shared" si="44"/>
        <v>0</v>
      </c>
    </row>
    <row r="918" spans="4:9" x14ac:dyDescent="0.35">
      <c r="D918" s="2"/>
      <c r="E918" s="2"/>
      <c r="F918" s="3"/>
      <c r="G918" s="3">
        <f t="shared" si="42"/>
        <v>0</v>
      </c>
      <c r="H918" s="3">
        <f t="shared" si="43"/>
        <v>0</v>
      </c>
      <c r="I918" s="3">
        <f t="shared" si="44"/>
        <v>0</v>
      </c>
    </row>
    <row r="919" spans="4:9" x14ac:dyDescent="0.35">
      <c r="D919" s="2"/>
      <c r="E919" s="2"/>
      <c r="F919" s="3"/>
      <c r="G919" s="3">
        <f t="shared" si="42"/>
        <v>0</v>
      </c>
      <c r="H919" s="3">
        <f t="shared" si="43"/>
        <v>0</v>
      </c>
      <c r="I919" s="3">
        <f t="shared" si="44"/>
        <v>0</v>
      </c>
    </row>
    <row r="920" spans="4:9" x14ac:dyDescent="0.35">
      <c r="D920" s="2"/>
      <c r="E920" s="2"/>
      <c r="F920" s="3"/>
      <c r="G920" s="3">
        <f t="shared" si="42"/>
        <v>0</v>
      </c>
      <c r="H920" s="3">
        <f t="shared" si="43"/>
        <v>0</v>
      </c>
      <c r="I920" s="3">
        <f t="shared" si="44"/>
        <v>0</v>
      </c>
    </row>
    <row r="921" spans="4:9" x14ac:dyDescent="0.35">
      <c r="D921" s="2"/>
      <c r="E921" s="2"/>
      <c r="F921" s="3"/>
      <c r="G921" s="3">
        <f t="shared" si="42"/>
        <v>0</v>
      </c>
      <c r="H921" s="3">
        <f t="shared" si="43"/>
        <v>0</v>
      </c>
      <c r="I921" s="3">
        <f t="shared" si="44"/>
        <v>0</v>
      </c>
    </row>
    <row r="922" spans="4:9" x14ac:dyDescent="0.35">
      <c r="D922" s="2"/>
      <c r="E922" s="2"/>
      <c r="F922" s="3"/>
      <c r="G922" s="3">
        <f t="shared" si="42"/>
        <v>0</v>
      </c>
      <c r="H922" s="3">
        <f t="shared" si="43"/>
        <v>0</v>
      </c>
      <c r="I922" s="3">
        <f t="shared" si="44"/>
        <v>0</v>
      </c>
    </row>
    <row r="923" spans="4:9" x14ac:dyDescent="0.35">
      <c r="D923" s="2"/>
      <c r="E923" s="2"/>
      <c r="F923" s="3"/>
      <c r="G923" s="3">
        <f t="shared" si="42"/>
        <v>0</v>
      </c>
      <c r="H923" s="3">
        <f t="shared" si="43"/>
        <v>0</v>
      </c>
      <c r="I923" s="3">
        <f t="shared" si="44"/>
        <v>0</v>
      </c>
    </row>
    <row r="924" spans="4:9" x14ac:dyDescent="0.35">
      <c r="D924" s="2"/>
      <c r="E924" s="2"/>
      <c r="F924" s="3"/>
      <c r="G924" s="3">
        <f t="shared" si="42"/>
        <v>0</v>
      </c>
      <c r="H924" s="3">
        <f t="shared" si="43"/>
        <v>0</v>
      </c>
      <c r="I924" s="3">
        <f t="shared" si="44"/>
        <v>0</v>
      </c>
    </row>
    <row r="925" spans="4:9" x14ac:dyDescent="0.35">
      <c r="D925" s="2"/>
      <c r="E925" s="2"/>
      <c r="F925" s="3"/>
      <c r="G925" s="3">
        <f t="shared" si="42"/>
        <v>0</v>
      </c>
      <c r="H925" s="3">
        <f t="shared" si="43"/>
        <v>0</v>
      </c>
      <c r="I925" s="3">
        <f t="shared" si="44"/>
        <v>0</v>
      </c>
    </row>
    <row r="926" spans="4:9" x14ac:dyDescent="0.35">
      <c r="D926" s="2"/>
      <c r="E926" s="2"/>
      <c r="F926" s="3"/>
      <c r="G926" s="3">
        <f t="shared" si="42"/>
        <v>0</v>
      </c>
      <c r="H926" s="3">
        <f t="shared" si="43"/>
        <v>0</v>
      </c>
      <c r="I926" s="3">
        <f t="shared" si="44"/>
        <v>0</v>
      </c>
    </row>
    <row r="927" spans="4:9" x14ac:dyDescent="0.35">
      <c r="D927" s="2"/>
      <c r="E927" s="2"/>
      <c r="F927" s="3"/>
      <c r="G927" s="3">
        <f t="shared" si="42"/>
        <v>0</v>
      </c>
      <c r="H927" s="3">
        <f t="shared" si="43"/>
        <v>0</v>
      </c>
      <c r="I927" s="3">
        <f t="shared" si="44"/>
        <v>0</v>
      </c>
    </row>
    <row r="928" spans="4:9" x14ac:dyDescent="0.35">
      <c r="D928" s="2"/>
      <c r="E928" s="2"/>
      <c r="F928" s="3"/>
      <c r="G928" s="3">
        <f t="shared" si="42"/>
        <v>0</v>
      </c>
      <c r="H928" s="3">
        <f t="shared" si="43"/>
        <v>0</v>
      </c>
      <c r="I928" s="3">
        <f t="shared" si="44"/>
        <v>0</v>
      </c>
    </row>
    <row r="929" spans="4:9" x14ac:dyDescent="0.35">
      <c r="D929" s="2"/>
      <c r="E929" s="2"/>
      <c r="F929" s="3"/>
      <c r="G929" s="3">
        <f t="shared" si="42"/>
        <v>0</v>
      </c>
      <c r="H929" s="3">
        <f t="shared" si="43"/>
        <v>0</v>
      </c>
      <c r="I929" s="3">
        <f t="shared" si="44"/>
        <v>0</v>
      </c>
    </row>
    <row r="930" spans="4:9" x14ac:dyDescent="0.35">
      <c r="D930" s="2"/>
      <c r="E930" s="2"/>
      <c r="F930" s="3"/>
      <c r="G930" s="3">
        <f t="shared" si="42"/>
        <v>0</v>
      </c>
      <c r="H930" s="3">
        <f t="shared" si="43"/>
        <v>0</v>
      </c>
      <c r="I930" s="3">
        <f t="shared" si="44"/>
        <v>0</v>
      </c>
    </row>
    <row r="931" spans="4:9" x14ac:dyDescent="0.35">
      <c r="D931" s="2"/>
      <c r="E931" s="2"/>
      <c r="F931" s="3"/>
      <c r="G931" s="3">
        <f t="shared" si="42"/>
        <v>0</v>
      </c>
      <c r="H931" s="3">
        <f t="shared" si="43"/>
        <v>0</v>
      </c>
      <c r="I931" s="3">
        <f t="shared" si="44"/>
        <v>0</v>
      </c>
    </row>
    <row r="932" spans="4:9" x14ac:dyDescent="0.35">
      <c r="D932" s="2"/>
      <c r="E932" s="2"/>
      <c r="F932" s="3"/>
      <c r="G932" s="3">
        <f t="shared" si="42"/>
        <v>0</v>
      </c>
      <c r="H932" s="3">
        <f t="shared" si="43"/>
        <v>0</v>
      </c>
      <c r="I932" s="3">
        <f t="shared" si="44"/>
        <v>0</v>
      </c>
    </row>
    <row r="933" spans="4:9" x14ac:dyDescent="0.35">
      <c r="D933" s="2"/>
      <c r="E933" s="2"/>
      <c r="F933" s="3"/>
      <c r="G933" s="3">
        <f t="shared" si="42"/>
        <v>0</v>
      </c>
      <c r="H933" s="3">
        <f t="shared" si="43"/>
        <v>0</v>
      </c>
      <c r="I933" s="3">
        <f t="shared" si="44"/>
        <v>0</v>
      </c>
    </row>
    <row r="934" spans="4:9" x14ac:dyDescent="0.35">
      <c r="D934" s="2"/>
      <c r="E934" s="2"/>
      <c r="F934" s="3"/>
      <c r="G934" s="3">
        <f t="shared" si="42"/>
        <v>0</v>
      </c>
      <c r="H934" s="3">
        <f t="shared" si="43"/>
        <v>0</v>
      </c>
      <c r="I934" s="3">
        <f t="shared" si="44"/>
        <v>0</v>
      </c>
    </row>
    <row r="935" spans="4:9" x14ac:dyDescent="0.35">
      <c r="D935" s="2"/>
      <c r="E935" s="2"/>
      <c r="F935" s="3"/>
      <c r="G935" s="3">
        <f t="shared" si="42"/>
        <v>0</v>
      </c>
      <c r="H935" s="3">
        <f t="shared" si="43"/>
        <v>0</v>
      </c>
      <c r="I935" s="3">
        <f t="shared" si="44"/>
        <v>0</v>
      </c>
    </row>
    <row r="936" spans="4:9" x14ac:dyDescent="0.35">
      <c r="D936" s="2"/>
      <c r="E936" s="2"/>
      <c r="F936" s="3"/>
      <c r="G936" s="3">
        <f t="shared" si="42"/>
        <v>0</v>
      </c>
      <c r="H936" s="3">
        <f t="shared" si="43"/>
        <v>0</v>
      </c>
      <c r="I936" s="3">
        <f t="shared" si="44"/>
        <v>0</v>
      </c>
    </row>
    <row r="937" spans="4:9" x14ac:dyDescent="0.35">
      <c r="D937" s="2"/>
      <c r="E937" s="2"/>
      <c r="F937" s="3"/>
      <c r="G937" s="3">
        <f t="shared" si="42"/>
        <v>0</v>
      </c>
      <c r="H937" s="3">
        <f t="shared" si="43"/>
        <v>0</v>
      </c>
      <c r="I937" s="3">
        <f t="shared" si="44"/>
        <v>0</v>
      </c>
    </row>
    <row r="938" spans="4:9" x14ac:dyDescent="0.35">
      <c r="D938" s="2"/>
      <c r="E938" s="2"/>
      <c r="F938" s="3"/>
      <c r="G938" s="3">
        <f t="shared" si="42"/>
        <v>0</v>
      </c>
      <c r="H938" s="3">
        <f t="shared" si="43"/>
        <v>0</v>
      </c>
      <c r="I938" s="3">
        <f t="shared" si="44"/>
        <v>0</v>
      </c>
    </row>
    <row r="939" spans="4:9" x14ac:dyDescent="0.35">
      <c r="D939" s="2"/>
      <c r="E939" s="2"/>
      <c r="F939" s="3"/>
      <c r="G939" s="3">
        <f t="shared" si="42"/>
        <v>0</v>
      </c>
      <c r="H939" s="3">
        <f t="shared" si="43"/>
        <v>0</v>
      </c>
      <c r="I939" s="3">
        <f t="shared" si="44"/>
        <v>0</v>
      </c>
    </row>
    <row r="940" spans="4:9" x14ac:dyDescent="0.35">
      <c r="D940" s="2"/>
      <c r="E940" s="2"/>
      <c r="F940" s="3"/>
      <c r="G940" s="3">
        <f t="shared" si="42"/>
        <v>0</v>
      </c>
      <c r="H940" s="3">
        <f t="shared" si="43"/>
        <v>0</v>
      </c>
      <c r="I940" s="3">
        <f t="shared" si="44"/>
        <v>0</v>
      </c>
    </row>
    <row r="941" spans="4:9" x14ac:dyDescent="0.35">
      <c r="D941" s="2"/>
      <c r="E941" s="2"/>
      <c r="F941" s="3"/>
      <c r="G941" s="3">
        <f t="shared" si="42"/>
        <v>0</v>
      </c>
      <c r="H941" s="3">
        <f t="shared" si="43"/>
        <v>0</v>
      </c>
      <c r="I941" s="3">
        <f t="shared" si="44"/>
        <v>0</v>
      </c>
    </row>
    <row r="942" spans="4:9" x14ac:dyDescent="0.35">
      <c r="D942" s="2"/>
      <c r="E942" s="2"/>
      <c r="F942" s="3"/>
      <c r="G942" s="3">
        <f t="shared" si="42"/>
        <v>0</v>
      </c>
      <c r="H942" s="3">
        <f t="shared" si="43"/>
        <v>0</v>
      </c>
      <c r="I942" s="3">
        <f t="shared" si="44"/>
        <v>0</v>
      </c>
    </row>
    <row r="943" spans="4:9" x14ac:dyDescent="0.35">
      <c r="D943" s="2"/>
      <c r="E943" s="2"/>
      <c r="F943" s="3"/>
      <c r="G943" s="3">
        <f t="shared" si="42"/>
        <v>0</v>
      </c>
      <c r="H943" s="3">
        <f t="shared" si="43"/>
        <v>0</v>
      </c>
      <c r="I943" s="3">
        <f t="shared" si="44"/>
        <v>0</v>
      </c>
    </row>
    <row r="944" spans="4:9" x14ac:dyDescent="0.35">
      <c r="D944" s="2"/>
      <c r="E944" s="2"/>
      <c r="F944" s="3"/>
      <c r="G944" s="3">
        <f t="shared" si="42"/>
        <v>0</v>
      </c>
      <c r="H944" s="3">
        <f t="shared" si="43"/>
        <v>0</v>
      </c>
      <c r="I944" s="3">
        <f t="shared" si="44"/>
        <v>0</v>
      </c>
    </row>
    <row r="945" spans="4:9" x14ac:dyDescent="0.35">
      <c r="D945" s="2"/>
      <c r="E945" s="2"/>
      <c r="F945" s="3"/>
      <c r="G945" s="3">
        <f t="shared" si="42"/>
        <v>0</v>
      </c>
      <c r="H945" s="3">
        <f t="shared" si="43"/>
        <v>0</v>
      </c>
      <c r="I945" s="3">
        <f t="shared" si="44"/>
        <v>0</v>
      </c>
    </row>
    <row r="946" spans="4:9" x14ac:dyDescent="0.35">
      <c r="D946" s="2"/>
      <c r="E946" s="2"/>
      <c r="F946" s="3"/>
      <c r="G946" s="3">
        <f t="shared" si="42"/>
        <v>0</v>
      </c>
      <c r="H946" s="3">
        <f t="shared" si="43"/>
        <v>0</v>
      </c>
      <c r="I946" s="3">
        <f t="shared" si="44"/>
        <v>0</v>
      </c>
    </row>
    <row r="947" spans="4:9" x14ac:dyDescent="0.35">
      <c r="D947" s="2"/>
      <c r="E947" s="2"/>
      <c r="F947" s="3"/>
      <c r="G947" s="3">
        <f t="shared" si="42"/>
        <v>0</v>
      </c>
      <c r="H947" s="3">
        <f t="shared" si="43"/>
        <v>0</v>
      </c>
      <c r="I947" s="3">
        <f t="shared" si="44"/>
        <v>0</v>
      </c>
    </row>
    <row r="948" spans="4:9" x14ac:dyDescent="0.35">
      <c r="D948" s="2"/>
      <c r="E948" s="2"/>
      <c r="F948" s="3"/>
      <c r="G948" s="3">
        <f t="shared" si="42"/>
        <v>0</v>
      </c>
      <c r="H948" s="3">
        <f t="shared" si="43"/>
        <v>0</v>
      </c>
      <c r="I948" s="3">
        <f t="shared" si="44"/>
        <v>0</v>
      </c>
    </row>
    <row r="949" spans="4:9" x14ac:dyDescent="0.35">
      <c r="D949" s="2"/>
      <c r="E949" s="2"/>
      <c r="F949" s="3"/>
      <c r="G949" s="3">
        <f t="shared" si="42"/>
        <v>0</v>
      </c>
      <c r="H949" s="3">
        <f t="shared" si="43"/>
        <v>0</v>
      </c>
      <c r="I949" s="3">
        <f t="shared" si="44"/>
        <v>0</v>
      </c>
    </row>
    <row r="950" spans="4:9" x14ac:dyDescent="0.35">
      <c r="D950" s="2"/>
      <c r="E950" s="2"/>
      <c r="F950" s="3"/>
      <c r="G950" s="3">
        <f t="shared" si="42"/>
        <v>0</v>
      </c>
      <c r="H950" s="3">
        <f t="shared" si="43"/>
        <v>0</v>
      </c>
      <c r="I950" s="3">
        <f t="shared" si="44"/>
        <v>0</v>
      </c>
    </row>
    <row r="951" spans="4:9" x14ac:dyDescent="0.35">
      <c r="D951" s="2"/>
      <c r="E951" s="2"/>
      <c r="F951" s="3"/>
      <c r="G951" s="3">
        <f t="shared" si="42"/>
        <v>0</v>
      </c>
      <c r="H951" s="3">
        <f t="shared" si="43"/>
        <v>0</v>
      </c>
      <c r="I951" s="3">
        <f t="shared" si="44"/>
        <v>0</v>
      </c>
    </row>
    <row r="952" spans="4:9" x14ac:dyDescent="0.35">
      <c r="D952" s="2"/>
      <c r="E952" s="2"/>
      <c r="F952" s="3"/>
      <c r="G952" s="3">
        <f t="shared" si="42"/>
        <v>0</v>
      </c>
      <c r="H952" s="3">
        <f t="shared" si="43"/>
        <v>0</v>
      </c>
      <c r="I952" s="3">
        <f t="shared" si="44"/>
        <v>0</v>
      </c>
    </row>
    <row r="953" spans="4:9" x14ac:dyDescent="0.35">
      <c r="D953" s="2"/>
      <c r="E953" s="2"/>
      <c r="F953" s="3"/>
      <c r="G953" s="3">
        <f t="shared" si="42"/>
        <v>0</v>
      </c>
      <c r="H953" s="3">
        <f t="shared" si="43"/>
        <v>0</v>
      </c>
      <c r="I953" s="3">
        <f t="shared" si="44"/>
        <v>0</v>
      </c>
    </row>
    <row r="954" spans="4:9" x14ac:dyDescent="0.35">
      <c r="D954" s="2"/>
      <c r="E954" s="2"/>
      <c r="F954" s="3"/>
      <c r="G954" s="3">
        <f t="shared" si="42"/>
        <v>0</v>
      </c>
      <c r="H954" s="3">
        <f t="shared" si="43"/>
        <v>0</v>
      </c>
      <c r="I954" s="3">
        <f t="shared" si="44"/>
        <v>0</v>
      </c>
    </row>
    <row r="955" spans="4:9" x14ac:dyDescent="0.35">
      <c r="D955" s="2"/>
      <c r="E955" s="2"/>
      <c r="F955" s="3"/>
      <c r="G955" s="3">
        <f t="shared" si="42"/>
        <v>0</v>
      </c>
      <c r="H955" s="3">
        <f t="shared" si="43"/>
        <v>0</v>
      </c>
      <c r="I955" s="3">
        <f t="shared" si="44"/>
        <v>0</v>
      </c>
    </row>
    <row r="956" spans="4:9" x14ac:dyDescent="0.35">
      <c r="D956" s="2"/>
      <c r="E956" s="2"/>
      <c r="F956" s="3"/>
      <c r="G956" s="3">
        <f t="shared" si="42"/>
        <v>0</v>
      </c>
      <c r="H956" s="3">
        <f t="shared" si="43"/>
        <v>0</v>
      </c>
      <c r="I956" s="3">
        <f t="shared" si="44"/>
        <v>0</v>
      </c>
    </row>
    <row r="957" spans="4:9" x14ac:dyDescent="0.35">
      <c r="D957" s="2"/>
      <c r="E957" s="2"/>
      <c r="F957" s="3"/>
      <c r="G957" s="3">
        <f t="shared" si="42"/>
        <v>0</v>
      </c>
      <c r="H957" s="3">
        <f t="shared" si="43"/>
        <v>0</v>
      </c>
      <c r="I957" s="3">
        <f t="shared" si="44"/>
        <v>0</v>
      </c>
    </row>
    <row r="958" spans="4:9" x14ac:dyDescent="0.35">
      <c r="D958" s="2"/>
      <c r="E958" s="2"/>
      <c r="F958" s="3"/>
      <c r="G958" s="3">
        <f t="shared" si="42"/>
        <v>0</v>
      </c>
      <c r="H958" s="3">
        <f t="shared" si="43"/>
        <v>0</v>
      </c>
      <c r="I958" s="3">
        <f t="shared" si="44"/>
        <v>0</v>
      </c>
    </row>
    <row r="959" spans="4:9" x14ac:dyDescent="0.35">
      <c r="D959" s="2"/>
      <c r="E959" s="2"/>
      <c r="F959" s="3"/>
      <c r="G959" s="3">
        <f t="shared" si="42"/>
        <v>0</v>
      </c>
      <c r="H959" s="3">
        <f t="shared" si="43"/>
        <v>0</v>
      </c>
      <c r="I959" s="3">
        <f t="shared" si="44"/>
        <v>0</v>
      </c>
    </row>
    <row r="960" spans="4:9" x14ac:dyDescent="0.35">
      <c r="D960" s="2"/>
      <c r="E960" s="2"/>
      <c r="F960" s="3"/>
      <c r="G960" s="3">
        <f t="shared" si="42"/>
        <v>0</v>
      </c>
      <c r="H960" s="3">
        <f t="shared" si="43"/>
        <v>0</v>
      </c>
      <c r="I960" s="3">
        <f t="shared" si="44"/>
        <v>0</v>
      </c>
    </row>
    <row r="961" spans="4:9" x14ac:dyDescent="0.35">
      <c r="D961" s="2"/>
      <c r="E961" s="2"/>
      <c r="F961" s="3"/>
      <c r="G961" s="3">
        <f t="shared" si="42"/>
        <v>0</v>
      </c>
      <c r="H961" s="3">
        <f t="shared" si="43"/>
        <v>0</v>
      </c>
      <c r="I961" s="3">
        <f t="shared" si="44"/>
        <v>0</v>
      </c>
    </row>
    <row r="962" spans="4:9" x14ac:dyDescent="0.35">
      <c r="D962" s="2"/>
      <c r="E962" s="2"/>
      <c r="F962" s="3"/>
      <c r="G962" s="3">
        <f t="shared" ref="G962:G1025" si="45">IF($F962&gt;0,$E962/(1-$F962),0)</f>
        <v>0</v>
      </c>
      <c r="H962" s="3">
        <f t="shared" ref="H962:H1025" si="46">IF($D962&gt;0,$G962/$D962,0)</f>
        <v>0</v>
      </c>
      <c r="I962" s="3">
        <f t="shared" ref="I962:I1025" si="47">$E962*1.1</f>
        <v>0</v>
      </c>
    </row>
    <row r="963" spans="4:9" x14ac:dyDescent="0.35">
      <c r="D963" s="2"/>
      <c r="E963" s="2"/>
      <c r="F963" s="3"/>
      <c r="G963" s="3">
        <f t="shared" si="45"/>
        <v>0</v>
      </c>
      <c r="H963" s="3">
        <f t="shared" si="46"/>
        <v>0</v>
      </c>
      <c r="I963" s="3">
        <f t="shared" si="47"/>
        <v>0</v>
      </c>
    </row>
    <row r="964" spans="4:9" x14ac:dyDescent="0.35">
      <c r="D964" s="2"/>
      <c r="E964" s="2"/>
      <c r="F964" s="3"/>
      <c r="G964" s="3">
        <f t="shared" si="45"/>
        <v>0</v>
      </c>
      <c r="H964" s="3">
        <f t="shared" si="46"/>
        <v>0</v>
      </c>
      <c r="I964" s="3">
        <f t="shared" si="47"/>
        <v>0</v>
      </c>
    </row>
    <row r="965" spans="4:9" x14ac:dyDescent="0.35">
      <c r="D965" s="2"/>
      <c r="E965" s="2"/>
      <c r="F965" s="3"/>
      <c r="G965" s="3">
        <f t="shared" si="45"/>
        <v>0</v>
      </c>
      <c r="H965" s="3">
        <f t="shared" si="46"/>
        <v>0</v>
      </c>
      <c r="I965" s="3">
        <f t="shared" si="47"/>
        <v>0</v>
      </c>
    </row>
    <row r="966" spans="4:9" x14ac:dyDescent="0.35">
      <c r="D966" s="2"/>
      <c r="E966" s="2"/>
      <c r="F966" s="3"/>
      <c r="G966" s="3">
        <f t="shared" si="45"/>
        <v>0</v>
      </c>
      <c r="H966" s="3">
        <f t="shared" si="46"/>
        <v>0</v>
      </c>
      <c r="I966" s="3">
        <f t="shared" si="47"/>
        <v>0</v>
      </c>
    </row>
    <row r="967" spans="4:9" x14ac:dyDescent="0.35">
      <c r="D967" s="2"/>
      <c r="E967" s="2"/>
      <c r="F967" s="3"/>
      <c r="G967" s="3">
        <f t="shared" si="45"/>
        <v>0</v>
      </c>
      <c r="H967" s="3">
        <f t="shared" si="46"/>
        <v>0</v>
      </c>
      <c r="I967" s="3">
        <f t="shared" si="47"/>
        <v>0</v>
      </c>
    </row>
    <row r="968" spans="4:9" x14ac:dyDescent="0.35">
      <c r="D968" s="2"/>
      <c r="E968" s="2"/>
      <c r="F968" s="3"/>
      <c r="G968" s="3">
        <f t="shared" si="45"/>
        <v>0</v>
      </c>
      <c r="H968" s="3">
        <f t="shared" si="46"/>
        <v>0</v>
      </c>
      <c r="I968" s="3">
        <f t="shared" si="47"/>
        <v>0</v>
      </c>
    </row>
    <row r="969" spans="4:9" x14ac:dyDescent="0.35">
      <c r="D969" s="2"/>
      <c r="E969" s="2"/>
      <c r="F969" s="3"/>
      <c r="G969" s="3">
        <f t="shared" si="45"/>
        <v>0</v>
      </c>
      <c r="H969" s="3">
        <f t="shared" si="46"/>
        <v>0</v>
      </c>
      <c r="I969" s="3">
        <f t="shared" si="47"/>
        <v>0</v>
      </c>
    </row>
    <row r="970" spans="4:9" x14ac:dyDescent="0.35">
      <c r="D970" s="2"/>
      <c r="E970" s="2"/>
      <c r="F970" s="3"/>
      <c r="G970" s="3">
        <f t="shared" si="45"/>
        <v>0</v>
      </c>
      <c r="H970" s="3">
        <f t="shared" si="46"/>
        <v>0</v>
      </c>
      <c r="I970" s="3">
        <f t="shared" si="47"/>
        <v>0</v>
      </c>
    </row>
    <row r="971" spans="4:9" x14ac:dyDescent="0.35">
      <c r="D971" s="2"/>
      <c r="E971" s="2"/>
      <c r="F971" s="3"/>
      <c r="G971" s="3">
        <f t="shared" si="45"/>
        <v>0</v>
      </c>
      <c r="H971" s="3">
        <f t="shared" si="46"/>
        <v>0</v>
      </c>
      <c r="I971" s="3">
        <f t="shared" si="47"/>
        <v>0</v>
      </c>
    </row>
    <row r="972" spans="4:9" x14ac:dyDescent="0.35">
      <c r="D972" s="2"/>
      <c r="E972" s="2"/>
      <c r="F972" s="3"/>
      <c r="G972" s="3">
        <f t="shared" si="45"/>
        <v>0</v>
      </c>
      <c r="H972" s="3">
        <f t="shared" si="46"/>
        <v>0</v>
      </c>
      <c r="I972" s="3">
        <f t="shared" si="47"/>
        <v>0</v>
      </c>
    </row>
    <row r="973" spans="4:9" x14ac:dyDescent="0.35">
      <c r="D973" s="2"/>
      <c r="E973" s="2"/>
      <c r="F973" s="3"/>
      <c r="G973" s="3">
        <f t="shared" si="45"/>
        <v>0</v>
      </c>
      <c r="H973" s="3">
        <f t="shared" si="46"/>
        <v>0</v>
      </c>
      <c r="I973" s="3">
        <f t="shared" si="47"/>
        <v>0</v>
      </c>
    </row>
    <row r="974" spans="4:9" x14ac:dyDescent="0.35">
      <c r="D974" s="2"/>
      <c r="E974" s="2"/>
      <c r="F974" s="3"/>
      <c r="G974" s="3">
        <f t="shared" si="45"/>
        <v>0</v>
      </c>
      <c r="H974" s="3">
        <f t="shared" si="46"/>
        <v>0</v>
      </c>
      <c r="I974" s="3">
        <f t="shared" si="47"/>
        <v>0</v>
      </c>
    </row>
    <row r="975" spans="4:9" x14ac:dyDescent="0.35">
      <c r="D975" s="2"/>
      <c r="E975" s="2"/>
      <c r="F975" s="3"/>
      <c r="G975" s="3">
        <f t="shared" si="45"/>
        <v>0</v>
      </c>
      <c r="H975" s="3">
        <f t="shared" si="46"/>
        <v>0</v>
      </c>
      <c r="I975" s="3">
        <f t="shared" si="47"/>
        <v>0</v>
      </c>
    </row>
    <row r="976" spans="4:9" x14ac:dyDescent="0.35">
      <c r="D976" s="2"/>
      <c r="E976" s="2"/>
      <c r="F976" s="3"/>
      <c r="G976" s="3">
        <f t="shared" si="45"/>
        <v>0</v>
      </c>
      <c r="H976" s="3">
        <f t="shared" si="46"/>
        <v>0</v>
      </c>
      <c r="I976" s="3">
        <f t="shared" si="47"/>
        <v>0</v>
      </c>
    </row>
    <row r="977" spans="4:9" x14ac:dyDescent="0.35">
      <c r="D977" s="2"/>
      <c r="E977" s="2"/>
      <c r="F977" s="3"/>
      <c r="G977" s="3">
        <f t="shared" si="45"/>
        <v>0</v>
      </c>
      <c r="H977" s="3">
        <f t="shared" si="46"/>
        <v>0</v>
      </c>
      <c r="I977" s="3">
        <f t="shared" si="47"/>
        <v>0</v>
      </c>
    </row>
    <row r="978" spans="4:9" x14ac:dyDescent="0.35">
      <c r="D978" s="2"/>
      <c r="E978" s="2"/>
      <c r="F978" s="3"/>
      <c r="G978" s="3">
        <f t="shared" si="45"/>
        <v>0</v>
      </c>
      <c r="H978" s="3">
        <f t="shared" si="46"/>
        <v>0</v>
      </c>
      <c r="I978" s="3">
        <f t="shared" si="47"/>
        <v>0</v>
      </c>
    </row>
    <row r="979" spans="4:9" x14ac:dyDescent="0.35">
      <c r="D979" s="2"/>
      <c r="E979" s="2"/>
      <c r="F979" s="3"/>
      <c r="G979" s="3">
        <f t="shared" si="45"/>
        <v>0</v>
      </c>
      <c r="H979" s="3">
        <f t="shared" si="46"/>
        <v>0</v>
      </c>
      <c r="I979" s="3">
        <f t="shared" si="47"/>
        <v>0</v>
      </c>
    </row>
    <row r="980" spans="4:9" x14ac:dyDescent="0.35">
      <c r="D980" s="2"/>
      <c r="E980" s="2"/>
      <c r="F980" s="3"/>
      <c r="G980" s="3">
        <f t="shared" si="45"/>
        <v>0</v>
      </c>
      <c r="H980" s="3">
        <f t="shared" si="46"/>
        <v>0</v>
      </c>
      <c r="I980" s="3">
        <f t="shared" si="47"/>
        <v>0</v>
      </c>
    </row>
    <row r="981" spans="4:9" x14ac:dyDescent="0.35">
      <c r="D981" s="2"/>
      <c r="E981" s="2"/>
      <c r="F981" s="3"/>
      <c r="G981" s="3">
        <f t="shared" si="45"/>
        <v>0</v>
      </c>
      <c r="H981" s="3">
        <f t="shared" si="46"/>
        <v>0</v>
      </c>
      <c r="I981" s="3">
        <f t="shared" si="47"/>
        <v>0</v>
      </c>
    </row>
    <row r="982" spans="4:9" x14ac:dyDescent="0.35">
      <c r="D982" s="2"/>
      <c r="E982" s="2"/>
      <c r="F982" s="3"/>
      <c r="G982" s="3">
        <f t="shared" si="45"/>
        <v>0</v>
      </c>
      <c r="H982" s="3">
        <f t="shared" si="46"/>
        <v>0</v>
      </c>
      <c r="I982" s="3">
        <f t="shared" si="47"/>
        <v>0</v>
      </c>
    </row>
    <row r="983" spans="4:9" x14ac:dyDescent="0.35">
      <c r="D983" s="2"/>
      <c r="E983" s="2"/>
      <c r="F983" s="3"/>
      <c r="G983" s="3">
        <f t="shared" si="45"/>
        <v>0</v>
      </c>
      <c r="H983" s="3">
        <f t="shared" si="46"/>
        <v>0</v>
      </c>
      <c r="I983" s="3">
        <f t="shared" si="47"/>
        <v>0</v>
      </c>
    </row>
    <row r="984" spans="4:9" x14ac:dyDescent="0.35">
      <c r="D984" s="2"/>
      <c r="E984" s="2"/>
      <c r="F984" s="3"/>
      <c r="G984" s="3">
        <f t="shared" si="45"/>
        <v>0</v>
      </c>
      <c r="H984" s="3">
        <f t="shared" si="46"/>
        <v>0</v>
      </c>
      <c r="I984" s="3">
        <f t="shared" si="47"/>
        <v>0</v>
      </c>
    </row>
    <row r="985" spans="4:9" x14ac:dyDescent="0.35">
      <c r="D985" s="2"/>
      <c r="E985" s="2"/>
      <c r="F985" s="3"/>
      <c r="G985" s="3">
        <f t="shared" si="45"/>
        <v>0</v>
      </c>
      <c r="H985" s="3">
        <f t="shared" si="46"/>
        <v>0</v>
      </c>
      <c r="I985" s="3">
        <f t="shared" si="47"/>
        <v>0</v>
      </c>
    </row>
    <row r="986" spans="4:9" x14ac:dyDescent="0.35">
      <c r="D986" s="2"/>
      <c r="E986" s="2"/>
      <c r="F986" s="3"/>
      <c r="G986" s="3">
        <f t="shared" si="45"/>
        <v>0</v>
      </c>
      <c r="H986" s="3">
        <f t="shared" si="46"/>
        <v>0</v>
      </c>
      <c r="I986" s="3">
        <f t="shared" si="47"/>
        <v>0</v>
      </c>
    </row>
    <row r="987" spans="4:9" x14ac:dyDescent="0.35">
      <c r="D987" s="2"/>
      <c r="E987" s="2"/>
      <c r="F987" s="3"/>
      <c r="G987" s="3">
        <f t="shared" si="45"/>
        <v>0</v>
      </c>
      <c r="H987" s="3">
        <f t="shared" si="46"/>
        <v>0</v>
      </c>
      <c r="I987" s="3">
        <f t="shared" si="47"/>
        <v>0</v>
      </c>
    </row>
    <row r="988" spans="4:9" x14ac:dyDescent="0.35">
      <c r="D988" s="2"/>
      <c r="E988" s="2"/>
      <c r="F988" s="3"/>
      <c r="G988" s="3">
        <f t="shared" si="45"/>
        <v>0</v>
      </c>
      <c r="H988" s="3">
        <f t="shared" si="46"/>
        <v>0</v>
      </c>
      <c r="I988" s="3">
        <f t="shared" si="47"/>
        <v>0</v>
      </c>
    </row>
    <row r="989" spans="4:9" x14ac:dyDescent="0.35">
      <c r="D989" s="2"/>
      <c r="E989" s="2"/>
      <c r="F989" s="3"/>
      <c r="G989" s="3">
        <f t="shared" si="45"/>
        <v>0</v>
      </c>
      <c r="H989" s="3">
        <f t="shared" si="46"/>
        <v>0</v>
      </c>
      <c r="I989" s="3">
        <f t="shared" si="47"/>
        <v>0</v>
      </c>
    </row>
    <row r="990" spans="4:9" x14ac:dyDescent="0.35">
      <c r="D990" s="2"/>
      <c r="E990" s="2"/>
      <c r="F990" s="3"/>
      <c r="G990" s="3">
        <f t="shared" si="45"/>
        <v>0</v>
      </c>
      <c r="H990" s="3">
        <f t="shared" si="46"/>
        <v>0</v>
      </c>
      <c r="I990" s="3">
        <f t="shared" si="47"/>
        <v>0</v>
      </c>
    </row>
    <row r="991" spans="4:9" x14ac:dyDescent="0.35">
      <c r="D991" s="2"/>
      <c r="E991" s="2"/>
      <c r="F991" s="3"/>
      <c r="G991" s="3">
        <f t="shared" si="45"/>
        <v>0</v>
      </c>
      <c r="H991" s="3">
        <f t="shared" si="46"/>
        <v>0</v>
      </c>
      <c r="I991" s="3">
        <f t="shared" si="47"/>
        <v>0</v>
      </c>
    </row>
    <row r="992" spans="4:9" x14ac:dyDescent="0.35">
      <c r="D992" s="2"/>
      <c r="E992" s="2"/>
      <c r="F992" s="3"/>
      <c r="G992" s="3">
        <f t="shared" si="45"/>
        <v>0</v>
      </c>
      <c r="H992" s="3">
        <f t="shared" si="46"/>
        <v>0</v>
      </c>
      <c r="I992" s="3">
        <f t="shared" si="47"/>
        <v>0</v>
      </c>
    </row>
    <row r="993" spans="4:9" x14ac:dyDescent="0.35">
      <c r="D993" s="2"/>
      <c r="E993" s="2"/>
      <c r="F993" s="3"/>
      <c r="G993" s="3">
        <f t="shared" si="45"/>
        <v>0</v>
      </c>
      <c r="H993" s="3">
        <f t="shared" si="46"/>
        <v>0</v>
      </c>
      <c r="I993" s="3">
        <f t="shared" si="47"/>
        <v>0</v>
      </c>
    </row>
    <row r="994" spans="4:9" x14ac:dyDescent="0.35">
      <c r="D994" s="2"/>
      <c r="E994" s="2"/>
      <c r="F994" s="3"/>
      <c r="G994" s="3">
        <f t="shared" si="45"/>
        <v>0</v>
      </c>
      <c r="H994" s="3">
        <f t="shared" si="46"/>
        <v>0</v>
      </c>
      <c r="I994" s="3">
        <f t="shared" si="47"/>
        <v>0</v>
      </c>
    </row>
    <row r="995" spans="4:9" x14ac:dyDescent="0.35">
      <c r="D995" s="2"/>
      <c r="E995" s="2"/>
      <c r="F995" s="3"/>
      <c r="G995" s="3">
        <f t="shared" si="45"/>
        <v>0</v>
      </c>
      <c r="H995" s="3">
        <f t="shared" si="46"/>
        <v>0</v>
      </c>
      <c r="I995" s="3">
        <f t="shared" si="47"/>
        <v>0</v>
      </c>
    </row>
    <row r="996" spans="4:9" x14ac:dyDescent="0.35">
      <c r="D996" s="2"/>
      <c r="E996" s="2"/>
      <c r="F996" s="3"/>
      <c r="G996" s="3">
        <f t="shared" si="45"/>
        <v>0</v>
      </c>
      <c r="H996" s="3">
        <f t="shared" si="46"/>
        <v>0</v>
      </c>
      <c r="I996" s="3">
        <f t="shared" si="47"/>
        <v>0</v>
      </c>
    </row>
    <row r="997" spans="4:9" x14ac:dyDescent="0.35">
      <c r="D997" s="2"/>
      <c r="E997" s="2"/>
      <c r="F997" s="3"/>
      <c r="G997" s="3">
        <f t="shared" si="45"/>
        <v>0</v>
      </c>
      <c r="H997" s="3">
        <f t="shared" si="46"/>
        <v>0</v>
      </c>
      <c r="I997" s="3">
        <f t="shared" si="47"/>
        <v>0</v>
      </c>
    </row>
    <row r="998" spans="4:9" x14ac:dyDescent="0.35">
      <c r="D998" s="2"/>
      <c r="E998" s="2"/>
      <c r="F998" s="3"/>
      <c r="G998" s="3">
        <f t="shared" si="45"/>
        <v>0</v>
      </c>
      <c r="H998" s="3">
        <f t="shared" si="46"/>
        <v>0</v>
      </c>
      <c r="I998" s="3">
        <f t="shared" si="47"/>
        <v>0</v>
      </c>
    </row>
    <row r="999" spans="4:9" x14ac:dyDescent="0.35">
      <c r="D999" s="2"/>
      <c r="E999" s="2"/>
      <c r="F999" s="3"/>
      <c r="G999" s="3">
        <f t="shared" si="45"/>
        <v>0</v>
      </c>
      <c r="H999" s="3">
        <f t="shared" si="46"/>
        <v>0</v>
      </c>
      <c r="I999" s="3">
        <f t="shared" si="47"/>
        <v>0</v>
      </c>
    </row>
    <row r="1000" spans="4:9" x14ac:dyDescent="0.35">
      <c r="D1000" s="2"/>
      <c r="E1000" s="2"/>
      <c r="F1000" s="3"/>
      <c r="G1000" s="3">
        <f t="shared" si="45"/>
        <v>0</v>
      </c>
      <c r="H1000" s="3">
        <f t="shared" si="46"/>
        <v>0</v>
      </c>
      <c r="I1000" s="3">
        <f t="shared" si="47"/>
        <v>0</v>
      </c>
    </row>
    <row r="1001" spans="4:9" x14ac:dyDescent="0.35">
      <c r="D1001" s="2"/>
      <c r="E1001" s="2"/>
      <c r="F1001" s="3"/>
      <c r="G1001" s="3">
        <f t="shared" si="45"/>
        <v>0</v>
      </c>
      <c r="H1001" s="3">
        <f t="shared" si="46"/>
        <v>0</v>
      </c>
      <c r="I1001" s="3">
        <f t="shared" si="47"/>
        <v>0</v>
      </c>
    </row>
    <row r="1002" spans="4:9" x14ac:dyDescent="0.35">
      <c r="D1002" s="2"/>
      <c r="E1002" s="2"/>
      <c r="F1002" s="3"/>
      <c r="G1002" s="3">
        <f t="shared" si="45"/>
        <v>0</v>
      </c>
      <c r="H1002" s="3">
        <f t="shared" si="46"/>
        <v>0</v>
      </c>
      <c r="I1002" s="3">
        <f t="shared" si="47"/>
        <v>0</v>
      </c>
    </row>
    <row r="1003" spans="4:9" x14ac:dyDescent="0.35">
      <c r="D1003" s="2"/>
      <c r="E1003" s="2"/>
      <c r="F1003" s="3"/>
      <c r="G1003" s="3">
        <f t="shared" si="45"/>
        <v>0</v>
      </c>
      <c r="H1003" s="3">
        <f t="shared" si="46"/>
        <v>0</v>
      </c>
      <c r="I1003" s="3">
        <f t="shared" si="47"/>
        <v>0</v>
      </c>
    </row>
    <row r="1004" spans="4:9" x14ac:dyDescent="0.35">
      <c r="D1004" s="2"/>
      <c r="E1004" s="2"/>
      <c r="F1004" s="3"/>
      <c r="G1004" s="3">
        <f t="shared" si="45"/>
        <v>0</v>
      </c>
      <c r="H1004" s="3">
        <f t="shared" si="46"/>
        <v>0</v>
      </c>
      <c r="I1004" s="3">
        <f t="shared" si="47"/>
        <v>0</v>
      </c>
    </row>
    <row r="1005" spans="4:9" x14ac:dyDescent="0.35">
      <c r="D1005" s="2"/>
      <c r="E1005" s="2"/>
      <c r="F1005" s="3"/>
      <c r="G1005" s="3">
        <f t="shared" si="45"/>
        <v>0</v>
      </c>
      <c r="H1005" s="3">
        <f t="shared" si="46"/>
        <v>0</v>
      </c>
      <c r="I1005" s="3">
        <f t="shared" si="47"/>
        <v>0</v>
      </c>
    </row>
    <row r="1006" spans="4:9" x14ac:dyDescent="0.35">
      <c r="D1006" s="2"/>
      <c r="E1006" s="2"/>
      <c r="F1006" s="3"/>
      <c r="G1006" s="3">
        <f t="shared" si="45"/>
        <v>0</v>
      </c>
      <c r="H1006" s="3">
        <f t="shared" si="46"/>
        <v>0</v>
      </c>
      <c r="I1006" s="3">
        <f t="shared" si="47"/>
        <v>0</v>
      </c>
    </row>
    <row r="1007" spans="4:9" x14ac:dyDescent="0.35">
      <c r="D1007" s="2"/>
      <c r="E1007" s="2"/>
      <c r="F1007" s="3"/>
      <c r="G1007" s="3">
        <f t="shared" si="45"/>
        <v>0</v>
      </c>
      <c r="H1007" s="3">
        <f t="shared" si="46"/>
        <v>0</v>
      </c>
      <c r="I1007" s="3">
        <f t="shared" si="47"/>
        <v>0</v>
      </c>
    </row>
    <row r="1008" spans="4:9" x14ac:dyDescent="0.35">
      <c r="D1008" s="2"/>
      <c r="E1008" s="2"/>
      <c r="F1008" s="3"/>
      <c r="G1008" s="3">
        <f t="shared" si="45"/>
        <v>0</v>
      </c>
      <c r="H1008" s="3">
        <f t="shared" si="46"/>
        <v>0</v>
      </c>
      <c r="I1008" s="3">
        <f t="shared" si="47"/>
        <v>0</v>
      </c>
    </row>
    <row r="1009" spans="4:9" x14ac:dyDescent="0.35">
      <c r="D1009" s="2"/>
      <c r="E1009" s="2"/>
      <c r="F1009" s="3"/>
      <c r="G1009" s="3">
        <f t="shared" si="45"/>
        <v>0</v>
      </c>
      <c r="H1009" s="3">
        <f t="shared" si="46"/>
        <v>0</v>
      </c>
      <c r="I1009" s="3">
        <f t="shared" si="47"/>
        <v>0</v>
      </c>
    </row>
    <row r="1010" spans="4:9" x14ac:dyDescent="0.35">
      <c r="D1010" s="2"/>
      <c r="E1010" s="2"/>
      <c r="F1010" s="3"/>
      <c r="G1010" s="3">
        <f t="shared" si="45"/>
        <v>0</v>
      </c>
      <c r="H1010" s="3">
        <f t="shared" si="46"/>
        <v>0</v>
      </c>
      <c r="I1010" s="3">
        <f t="shared" si="47"/>
        <v>0</v>
      </c>
    </row>
    <row r="1011" spans="4:9" x14ac:dyDescent="0.35">
      <c r="D1011" s="2"/>
      <c r="E1011" s="2"/>
      <c r="F1011" s="3"/>
      <c r="G1011" s="3">
        <f t="shared" si="45"/>
        <v>0</v>
      </c>
      <c r="H1011" s="3">
        <f t="shared" si="46"/>
        <v>0</v>
      </c>
      <c r="I1011" s="3">
        <f t="shared" si="47"/>
        <v>0</v>
      </c>
    </row>
    <row r="1012" spans="4:9" x14ac:dyDescent="0.35">
      <c r="D1012" s="2"/>
      <c r="E1012" s="2"/>
      <c r="F1012" s="3"/>
      <c r="G1012" s="3">
        <f t="shared" si="45"/>
        <v>0</v>
      </c>
      <c r="H1012" s="3">
        <f t="shared" si="46"/>
        <v>0</v>
      </c>
      <c r="I1012" s="3">
        <f t="shared" si="47"/>
        <v>0</v>
      </c>
    </row>
    <row r="1013" spans="4:9" x14ac:dyDescent="0.35">
      <c r="D1013" s="2"/>
      <c r="E1013" s="2"/>
      <c r="F1013" s="3"/>
      <c r="G1013" s="3">
        <f t="shared" si="45"/>
        <v>0</v>
      </c>
      <c r="H1013" s="3">
        <f t="shared" si="46"/>
        <v>0</v>
      </c>
      <c r="I1013" s="3">
        <f t="shared" si="47"/>
        <v>0</v>
      </c>
    </row>
    <row r="1014" spans="4:9" x14ac:dyDescent="0.35">
      <c r="D1014" s="2"/>
      <c r="E1014" s="2"/>
      <c r="F1014" s="3"/>
      <c r="G1014" s="3">
        <f t="shared" si="45"/>
        <v>0</v>
      </c>
      <c r="H1014" s="3">
        <f t="shared" si="46"/>
        <v>0</v>
      </c>
      <c r="I1014" s="3">
        <f t="shared" si="47"/>
        <v>0</v>
      </c>
    </row>
    <row r="1015" spans="4:9" x14ac:dyDescent="0.35">
      <c r="D1015" s="2"/>
      <c r="E1015" s="2"/>
      <c r="F1015" s="3"/>
      <c r="G1015" s="3">
        <f t="shared" si="45"/>
        <v>0</v>
      </c>
      <c r="H1015" s="3">
        <f t="shared" si="46"/>
        <v>0</v>
      </c>
      <c r="I1015" s="3">
        <f t="shared" si="47"/>
        <v>0</v>
      </c>
    </row>
    <row r="1016" spans="4:9" x14ac:dyDescent="0.35">
      <c r="D1016" s="2"/>
      <c r="E1016" s="2"/>
      <c r="F1016" s="3"/>
      <c r="G1016" s="3">
        <f t="shared" si="45"/>
        <v>0</v>
      </c>
      <c r="H1016" s="3">
        <f t="shared" si="46"/>
        <v>0</v>
      </c>
      <c r="I1016" s="3">
        <f t="shared" si="47"/>
        <v>0</v>
      </c>
    </row>
    <row r="1017" spans="4:9" x14ac:dyDescent="0.35">
      <c r="D1017" s="2"/>
      <c r="E1017" s="2"/>
      <c r="F1017" s="3"/>
      <c r="G1017" s="3">
        <f t="shared" si="45"/>
        <v>0</v>
      </c>
      <c r="H1017" s="3">
        <f t="shared" si="46"/>
        <v>0</v>
      </c>
      <c r="I1017" s="3">
        <f t="shared" si="47"/>
        <v>0</v>
      </c>
    </row>
    <row r="1018" spans="4:9" x14ac:dyDescent="0.35">
      <c r="D1018" s="2"/>
      <c r="E1018" s="2"/>
      <c r="F1018" s="3"/>
      <c r="G1018" s="3">
        <f t="shared" si="45"/>
        <v>0</v>
      </c>
      <c r="H1018" s="3">
        <f t="shared" si="46"/>
        <v>0</v>
      </c>
      <c r="I1018" s="3">
        <f t="shared" si="47"/>
        <v>0</v>
      </c>
    </row>
    <row r="1019" spans="4:9" x14ac:dyDescent="0.35">
      <c r="D1019" s="2"/>
      <c r="E1019" s="2"/>
      <c r="F1019" s="3"/>
      <c r="G1019" s="3">
        <f t="shared" si="45"/>
        <v>0</v>
      </c>
      <c r="H1019" s="3">
        <f t="shared" si="46"/>
        <v>0</v>
      </c>
      <c r="I1019" s="3">
        <f t="shared" si="47"/>
        <v>0</v>
      </c>
    </row>
    <row r="1020" spans="4:9" x14ac:dyDescent="0.35">
      <c r="D1020" s="2"/>
      <c r="E1020" s="2"/>
      <c r="F1020" s="3"/>
      <c r="G1020" s="3">
        <f t="shared" si="45"/>
        <v>0</v>
      </c>
      <c r="H1020" s="3">
        <f t="shared" si="46"/>
        <v>0</v>
      </c>
      <c r="I1020" s="3">
        <f t="shared" si="47"/>
        <v>0</v>
      </c>
    </row>
    <row r="1021" spans="4:9" x14ac:dyDescent="0.35">
      <c r="D1021" s="2"/>
      <c r="E1021" s="2"/>
      <c r="F1021" s="3"/>
      <c r="G1021" s="3">
        <f t="shared" si="45"/>
        <v>0</v>
      </c>
      <c r="H1021" s="3">
        <f t="shared" si="46"/>
        <v>0</v>
      </c>
      <c r="I1021" s="3">
        <f t="shared" si="47"/>
        <v>0</v>
      </c>
    </row>
    <row r="1022" spans="4:9" x14ac:dyDescent="0.35">
      <c r="D1022" s="2"/>
      <c r="E1022" s="2"/>
      <c r="F1022" s="3"/>
      <c r="G1022" s="3">
        <f t="shared" si="45"/>
        <v>0</v>
      </c>
      <c r="H1022" s="3">
        <f t="shared" si="46"/>
        <v>0</v>
      </c>
      <c r="I1022" s="3">
        <f t="shared" si="47"/>
        <v>0</v>
      </c>
    </row>
    <row r="1023" spans="4:9" x14ac:dyDescent="0.35">
      <c r="D1023" s="2"/>
      <c r="E1023" s="2"/>
      <c r="F1023" s="3"/>
      <c r="G1023" s="3">
        <f t="shared" si="45"/>
        <v>0</v>
      </c>
      <c r="H1023" s="3">
        <f t="shared" si="46"/>
        <v>0</v>
      </c>
      <c r="I1023" s="3">
        <f t="shared" si="47"/>
        <v>0</v>
      </c>
    </row>
    <row r="1024" spans="4:9" x14ac:dyDescent="0.35">
      <c r="D1024" s="2"/>
      <c r="E1024" s="2"/>
      <c r="F1024" s="3"/>
      <c r="G1024" s="3">
        <f t="shared" si="45"/>
        <v>0</v>
      </c>
      <c r="H1024" s="3">
        <f t="shared" si="46"/>
        <v>0</v>
      </c>
      <c r="I1024" s="3">
        <f t="shared" si="47"/>
        <v>0</v>
      </c>
    </row>
    <row r="1025" spans="4:9" x14ac:dyDescent="0.35">
      <c r="D1025" s="2"/>
      <c r="E1025" s="2"/>
      <c r="F1025" s="3"/>
      <c r="G1025" s="3">
        <f t="shared" si="45"/>
        <v>0</v>
      </c>
      <c r="H1025" s="3">
        <f t="shared" si="46"/>
        <v>0</v>
      </c>
      <c r="I1025" s="3">
        <f t="shared" si="47"/>
        <v>0</v>
      </c>
    </row>
    <row r="1026" spans="4:9" x14ac:dyDescent="0.35">
      <c r="D1026" s="2"/>
      <c r="E1026" s="2"/>
      <c r="F1026" s="3"/>
      <c r="G1026" s="3">
        <f t="shared" ref="G1026:G1089" si="48">IF($F1026&gt;0,$E1026/(1-$F1026),0)</f>
        <v>0</v>
      </c>
      <c r="H1026" s="3">
        <f t="shared" ref="H1026:H1089" si="49">IF($D1026&gt;0,$G1026/$D1026,0)</f>
        <v>0</v>
      </c>
      <c r="I1026" s="3">
        <f t="shared" ref="I1026:I1089" si="50">$E1026*1.1</f>
        <v>0</v>
      </c>
    </row>
    <row r="1027" spans="4:9" x14ac:dyDescent="0.35">
      <c r="D1027" s="2"/>
      <c r="E1027" s="2"/>
      <c r="F1027" s="3"/>
      <c r="G1027" s="3">
        <f t="shared" si="48"/>
        <v>0</v>
      </c>
      <c r="H1027" s="3">
        <f t="shared" si="49"/>
        <v>0</v>
      </c>
      <c r="I1027" s="3">
        <f t="shared" si="50"/>
        <v>0</v>
      </c>
    </row>
    <row r="1028" spans="4:9" x14ac:dyDescent="0.35">
      <c r="D1028" s="2"/>
      <c r="E1028" s="2"/>
      <c r="F1028" s="3"/>
      <c r="G1028" s="3">
        <f t="shared" si="48"/>
        <v>0</v>
      </c>
      <c r="H1028" s="3">
        <f t="shared" si="49"/>
        <v>0</v>
      </c>
      <c r="I1028" s="3">
        <f t="shared" si="50"/>
        <v>0</v>
      </c>
    </row>
    <row r="1029" spans="4:9" x14ac:dyDescent="0.35">
      <c r="D1029" s="2"/>
      <c r="E1029" s="2"/>
      <c r="F1029" s="3"/>
      <c r="G1029" s="3">
        <f t="shared" si="48"/>
        <v>0</v>
      </c>
      <c r="H1029" s="3">
        <f t="shared" si="49"/>
        <v>0</v>
      </c>
      <c r="I1029" s="3">
        <f t="shared" si="50"/>
        <v>0</v>
      </c>
    </row>
    <row r="1030" spans="4:9" x14ac:dyDescent="0.35">
      <c r="D1030" s="2"/>
      <c r="E1030" s="2"/>
      <c r="F1030" s="3"/>
      <c r="G1030" s="3">
        <f t="shared" si="48"/>
        <v>0</v>
      </c>
      <c r="H1030" s="3">
        <f t="shared" si="49"/>
        <v>0</v>
      </c>
      <c r="I1030" s="3">
        <f t="shared" si="50"/>
        <v>0</v>
      </c>
    </row>
    <row r="1031" spans="4:9" x14ac:dyDescent="0.35">
      <c r="D1031" s="2"/>
      <c r="E1031" s="2"/>
      <c r="F1031" s="3"/>
      <c r="G1031" s="3">
        <f t="shared" si="48"/>
        <v>0</v>
      </c>
      <c r="H1031" s="3">
        <f t="shared" si="49"/>
        <v>0</v>
      </c>
      <c r="I1031" s="3">
        <f t="shared" si="50"/>
        <v>0</v>
      </c>
    </row>
    <row r="1032" spans="4:9" x14ac:dyDescent="0.35">
      <c r="D1032" s="2"/>
      <c r="E1032" s="2"/>
      <c r="F1032" s="3"/>
      <c r="G1032" s="3">
        <f t="shared" si="48"/>
        <v>0</v>
      </c>
      <c r="H1032" s="3">
        <f t="shared" si="49"/>
        <v>0</v>
      </c>
      <c r="I1032" s="3">
        <f t="shared" si="50"/>
        <v>0</v>
      </c>
    </row>
    <row r="1033" spans="4:9" x14ac:dyDescent="0.35">
      <c r="D1033" s="2"/>
      <c r="E1033" s="2"/>
      <c r="F1033" s="3"/>
      <c r="G1033" s="3">
        <f t="shared" si="48"/>
        <v>0</v>
      </c>
      <c r="H1033" s="3">
        <f t="shared" si="49"/>
        <v>0</v>
      </c>
      <c r="I1033" s="3">
        <f t="shared" si="50"/>
        <v>0</v>
      </c>
    </row>
    <row r="1034" spans="4:9" x14ac:dyDescent="0.35">
      <c r="D1034" s="2"/>
      <c r="E1034" s="2"/>
      <c r="F1034" s="3"/>
      <c r="G1034" s="3">
        <f t="shared" si="48"/>
        <v>0</v>
      </c>
      <c r="H1034" s="3">
        <f t="shared" si="49"/>
        <v>0</v>
      </c>
      <c r="I1034" s="3">
        <f t="shared" si="50"/>
        <v>0</v>
      </c>
    </row>
    <row r="1035" spans="4:9" x14ac:dyDescent="0.35">
      <c r="D1035" s="2"/>
      <c r="E1035" s="2"/>
      <c r="F1035" s="3"/>
      <c r="G1035" s="3">
        <f t="shared" si="48"/>
        <v>0</v>
      </c>
      <c r="H1035" s="3">
        <f t="shared" si="49"/>
        <v>0</v>
      </c>
      <c r="I1035" s="3">
        <f t="shared" si="50"/>
        <v>0</v>
      </c>
    </row>
    <row r="1036" spans="4:9" x14ac:dyDescent="0.35">
      <c r="D1036" s="2"/>
      <c r="E1036" s="2"/>
      <c r="F1036" s="3"/>
      <c r="G1036" s="3">
        <f t="shared" si="48"/>
        <v>0</v>
      </c>
      <c r="H1036" s="3">
        <f t="shared" si="49"/>
        <v>0</v>
      </c>
      <c r="I1036" s="3">
        <f t="shared" si="50"/>
        <v>0</v>
      </c>
    </row>
    <row r="1037" spans="4:9" x14ac:dyDescent="0.35">
      <c r="D1037" s="2"/>
      <c r="E1037" s="2"/>
      <c r="F1037" s="3"/>
      <c r="G1037" s="3">
        <f t="shared" si="48"/>
        <v>0</v>
      </c>
      <c r="H1037" s="3">
        <f t="shared" si="49"/>
        <v>0</v>
      </c>
      <c r="I1037" s="3">
        <f t="shared" si="50"/>
        <v>0</v>
      </c>
    </row>
    <row r="1038" spans="4:9" x14ac:dyDescent="0.35">
      <c r="D1038" s="2"/>
      <c r="E1038" s="2"/>
      <c r="F1038" s="3"/>
      <c r="G1038" s="3">
        <f t="shared" si="48"/>
        <v>0</v>
      </c>
      <c r="H1038" s="3">
        <f t="shared" si="49"/>
        <v>0</v>
      </c>
      <c r="I1038" s="3">
        <f t="shared" si="50"/>
        <v>0</v>
      </c>
    </row>
    <row r="1039" spans="4:9" x14ac:dyDescent="0.35">
      <c r="D1039" s="2"/>
      <c r="E1039" s="2"/>
      <c r="F1039" s="3"/>
      <c r="G1039" s="3">
        <f t="shared" si="48"/>
        <v>0</v>
      </c>
      <c r="H1039" s="3">
        <f t="shared" si="49"/>
        <v>0</v>
      </c>
      <c r="I1039" s="3">
        <f t="shared" si="50"/>
        <v>0</v>
      </c>
    </row>
    <row r="1040" spans="4:9" x14ac:dyDescent="0.35">
      <c r="D1040" s="2"/>
      <c r="E1040" s="2"/>
      <c r="F1040" s="3"/>
      <c r="G1040" s="3">
        <f t="shared" si="48"/>
        <v>0</v>
      </c>
      <c r="H1040" s="3">
        <f t="shared" si="49"/>
        <v>0</v>
      </c>
      <c r="I1040" s="3">
        <f t="shared" si="50"/>
        <v>0</v>
      </c>
    </row>
    <row r="1041" spans="4:9" x14ac:dyDescent="0.35">
      <c r="D1041" s="2"/>
      <c r="E1041" s="2"/>
      <c r="F1041" s="3"/>
      <c r="G1041" s="3">
        <f t="shared" si="48"/>
        <v>0</v>
      </c>
      <c r="H1041" s="3">
        <f t="shared" si="49"/>
        <v>0</v>
      </c>
      <c r="I1041" s="3">
        <f t="shared" si="50"/>
        <v>0</v>
      </c>
    </row>
    <row r="1042" spans="4:9" x14ac:dyDescent="0.35">
      <c r="D1042" s="2"/>
      <c r="E1042" s="2"/>
      <c r="F1042" s="3"/>
      <c r="G1042" s="3">
        <f t="shared" si="48"/>
        <v>0</v>
      </c>
      <c r="H1042" s="3">
        <f t="shared" si="49"/>
        <v>0</v>
      </c>
      <c r="I1042" s="3">
        <f t="shared" si="50"/>
        <v>0</v>
      </c>
    </row>
    <row r="1043" spans="4:9" x14ac:dyDescent="0.35">
      <c r="D1043" s="2"/>
      <c r="E1043" s="2"/>
      <c r="F1043" s="3"/>
      <c r="G1043" s="3">
        <f t="shared" si="48"/>
        <v>0</v>
      </c>
      <c r="H1043" s="3">
        <f t="shared" si="49"/>
        <v>0</v>
      </c>
      <c r="I1043" s="3">
        <f t="shared" si="50"/>
        <v>0</v>
      </c>
    </row>
    <row r="1044" spans="4:9" x14ac:dyDescent="0.35">
      <c r="D1044" s="2"/>
      <c r="E1044" s="2"/>
      <c r="F1044" s="3"/>
      <c r="G1044" s="3">
        <f t="shared" si="48"/>
        <v>0</v>
      </c>
      <c r="H1044" s="3">
        <f t="shared" si="49"/>
        <v>0</v>
      </c>
      <c r="I1044" s="3">
        <f t="shared" si="50"/>
        <v>0</v>
      </c>
    </row>
    <row r="1045" spans="4:9" x14ac:dyDescent="0.35">
      <c r="D1045" s="2"/>
      <c r="E1045" s="2"/>
      <c r="F1045" s="3"/>
      <c r="G1045" s="3">
        <f t="shared" si="48"/>
        <v>0</v>
      </c>
      <c r="H1045" s="3">
        <f t="shared" si="49"/>
        <v>0</v>
      </c>
      <c r="I1045" s="3">
        <f t="shared" si="50"/>
        <v>0</v>
      </c>
    </row>
    <row r="1046" spans="4:9" x14ac:dyDescent="0.35">
      <c r="D1046" s="2"/>
      <c r="E1046" s="2"/>
      <c r="F1046" s="3"/>
      <c r="G1046" s="3">
        <f t="shared" si="48"/>
        <v>0</v>
      </c>
      <c r="H1046" s="3">
        <f t="shared" si="49"/>
        <v>0</v>
      </c>
      <c r="I1046" s="3">
        <f t="shared" si="50"/>
        <v>0</v>
      </c>
    </row>
    <row r="1047" spans="4:9" x14ac:dyDescent="0.35">
      <c r="D1047" s="2"/>
      <c r="E1047" s="2"/>
      <c r="F1047" s="3"/>
      <c r="G1047" s="3">
        <f t="shared" si="48"/>
        <v>0</v>
      </c>
      <c r="H1047" s="3">
        <f t="shared" si="49"/>
        <v>0</v>
      </c>
      <c r="I1047" s="3">
        <f t="shared" si="50"/>
        <v>0</v>
      </c>
    </row>
    <row r="1048" spans="4:9" x14ac:dyDescent="0.35">
      <c r="D1048" s="2"/>
      <c r="E1048" s="2"/>
      <c r="F1048" s="3"/>
      <c r="G1048" s="3">
        <f t="shared" si="48"/>
        <v>0</v>
      </c>
      <c r="H1048" s="3">
        <f t="shared" si="49"/>
        <v>0</v>
      </c>
      <c r="I1048" s="3">
        <f t="shared" si="50"/>
        <v>0</v>
      </c>
    </row>
    <row r="1049" spans="4:9" x14ac:dyDescent="0.35">
      <c r="D1049" s="2"/>
      <c r="E1049" s="2"/>
      <c r="F1049" s="3"/>
      <c r="G1049" s="3">
        <f t="shared" si="48"/>
        <v>0</v>
      </c>
      <c r="H1049" s="3">
        <f t="shared" si="49"/>
        <v>0</v>
      </c>
      <c r="I1049" s="3">
        <f t="shared" si="50"/>
        <v>0</v>
      </c>
    </row>
    <row r="1050" spans="4:9" x14ac:dyDescent="0.35">
      <c r="D1050" s="2"/>
      <c r="E1050" s="2"/>
      <c r="F1050" s="3"/>
      <c r="G1050" s="3">
        <f t="shared" si="48"/>
        <v>0</v>
      </c>
      <c r="H1050" s="3">
        <f t="shared" si="49"/>
        <v>0</v>
      </c>
      <c r="I1050" s="3">
        <f t="shared" si="50"/>
        <v>0</v>
      </c>
    </row>
    <row r="1051" spans="4:9" x14ac:dyDescent="0.35">
      <c r="D1051" s="2"/>
      <c r="E1051" s="2"/>
      <c r="F1051" s="3"/>
      <c r="G1051" s="3">
        <f t="shared" si="48"/>
        <v>0</v>
      </c>
      <c r="H1051" s="3">
        <f t="shared" si="49"/>
        <v>0</v>
      </c>
      <c r="I1051" s="3">
        <f t="shared" si="50"/>
        <v>0</v>
      </c>
    </row>
    <row r="1052" spans="4:9" x14ac:dyDescent="0.35">
      <c r="D1052" s="2"/>
      <c r="E1052" s="2"/>
      <c r="F1052" s="3"/>
      <c r="G1052" s="3">
        <f t="shared" si="48"/>
        <v>0</v>
      </c>
      <c r="H1052" s="3">
        <f t="shared" si="49"/>
        <v>0</v>
      </c>
      <c r="I1052" s="3">
        <f t="shared" si="50"/>
        <v>0</v>
      </c>
    </row>
    <row r="1053" spans="4:9" x14ac:dyDescent="0.35">
      <c r="D1053" s="2"/>
      <c r="E1053" s="2"/>
      <c r="F1053" s="3"/>
      <c r="G1053" s="3">
        <f t="shared" si="48"/>
        <v>0</v>
      </c>
      <c r="H1053" s="3">
        <f t="shared" si="49"/>
        <v>0</v>
      </c>
      <c r="I1053" s="3">
        <f t="shared" si="50"/>
        <v>0</v>
      </c>
    </row>
    <row r="1054" spans="4:9" x14ac:dyDescent="0.35">
      <c r="D1054" s="2"/>
      <c r="E1054" s="2"/>
      <c r="F1054" s="3"/>
      <c r="G1054" s="3">
        <f t="shared" si="48"/>
        <v>0</v>
      </c>
      <c r="H1054" s="3">
        <f t="shared" si="49"/>
        <v>0</v>
      </c>
      <c r="I1054" s="3">
        <f t="shared" si="50"/>
        <v>0</v>
      </c>
    </row>
    <row r="1055" spans="4:9" x14ac:dyDescent="0.35">
      <c r="D1055" s="2"/>
      <c r="E1055" s="2"/>
      <c r="F1055" s="3"/>
      <c r="G1055" s="3">
        <f t="shared" si="48"/>
        <v>0</v>
      </c>
      <c r="H1055" s="3">
        <f t="shared" si="49"/>
        <v>0</v>
      </c>
      <c r="I1055" s="3">
        <f t="shared" si="50"/>
        <v>0</v>
      </c>
    </row>
    <row r="1056" spans="4:9" x14ac:dyDescent="0.35">
      <c r="D1056" s="2"/>
      <c r="E1056" s="2"/>
      <c r="F1056" s="3"/>
      <c r="G1056" s="3">
        <f t="shared" si="48"/>
        <v>0</v>
      </c>
      <c r="H1056" s="3">
        <f t="shared" si="49"/>
        <v>0</v>
      </c>
      <c r="I1056" s="3">
        <f t="shared" si="50"/>
        <v>0</v>
      </c>
    </row>
    <row r="1057" spans="4:9" x14ac:dyDescent="0.35">
      <c r="D1057" s="2"/>
      <c r="E1057" s="2"/>
      <c r="F1057" s="3"/>
      <c r="G1057" s="3">
        <f t="shared" si="48"/>
        <v>0</v>
      </c>
      <c r="H1057" s="3">
        <f t="shared" si="49"/>
        <v>0</v>
      </c>
      <c r="I1057" s="3">
        <f t="shared" si="50"/>
        <v>0</v>
      </c>
    </row>
    <row r="1058" spans="4:9" x14ac:dyDescent="0.35">
      <c r="D1058" s="2"/>
      <c r="E1058" s="2"/>
      <c r="F1058" s="3"/>
      <c r="G1058" s="3">
        <f t="shared" si="48"/>
        <v>0</v>
      </c>
      <c r="H1058" s="3">
        <f t="shared" si="49"/>
        <v>0</v>
      </c>
      <c r="I1058" s="3">
        <f t="shared" si="50"/>
        <v>0</v>
      </c>
    </row>
    <row r="1059" spans="4:9" x14ac:dyDescent="0.35">
      <c r="D1059" s="2"/>
      <c r="E1059" s="2"/>
      <c r="F1059" s="3"/>
      <c r="G1059" s="3">
        <f t="shared" si="48"/>
        <v>0</v>
      </c>
      <c r="H1059" s="3">
        <f t="shared" si="49"/>
        <v>0</v>
      </c>
      <c r="I1059" s="3">
        <f t="shared" si="50"/>
        <v>0</v>
      </c>
    </row>
    <row r="1060" spans="4:9" x14ac:dyDescent="0.35">
      <c r="D1060" s="2"/>
      <c r="E1060" s="2"/>
      <c r="F1060" s="3"/>
      <c r="G1060" s="3">
        <f t="shared" si="48"/>
        <v>0</v>
      </c>
      <c r="H1060" s="3">
        <f t="shared" si="49"/>
        <v>0</v>
      </c>
      <c r="I1060" s="3">
        <f t="shared" si="50"/>
        <v>0</v>
      </c>
    </row>
    <row r="1061" spans="4:9" x14ac:dyDescent="0.35">
      <c r="D1061" s="2"/>
      <c r="E1061" s="2"/>
      <c r="F1061" s="3"/>
      <c r="G1061" s="3">
        <f t="shared" si="48"/>
        <v>0</v>
      </c>
      <c r="H1061" s="3">
        <f t="shared" si="49"/>
        <v>0</v>
      </c>
      <c r="I1061" s="3">
        <f t="shared" si="50"/>
        <v>0</v>
      </c>
    </row>
    <row r="1062" spans="4:9" x14ac:dyDescent="0.35">
      <c r="D1062" s="2"/>
      <c r="E1062" s="2"/>
      <c r="F1062" s="3"/>
      <c r="G1062" s="3">
        <f t="shared" si="48"/>
        <v>0</v>
      </c>
      <c r="H1062" s="3">
        <f t="shared" si="49"/>
        <v>0</v>
      </c>
      <c r="I1062" s="3">
        <f t="shared" si="50"/>
        <v>0</v>
      </c>
    </row>
    <row r="1063" spans="4:9" x14ac:dyDescent="0.35">
      <c r="D1063" s="2"/>
      <c r="E1063" s="2"/>
      <c r="F1063" s="3"/>
      <c r="G1063" s="3">
        <f t="shared" si="48"/>
        <v>0</v>
      </c>
      <c r="H1063" s="3">
        <f t="shared" si="49"/>
        <v>0</v>
      </c>
      <c r="I1063" s="3">
        <f t="shared" si="50"/>
        <v>0</v>
      </c>
    </row>
    <row r="1064" spans="4:9" x14ac:dyDescent="0.35">
      <c r="D1064" s="2"/>
      <c r="E1064" s="2"/>
      <c r="F1064" s="3"/>
      <c r="G1064" s="3">
        <f t="shared" si="48"/>
        <v>0</v>
      </c>
      <c r="H1064" s="3">
        <f t="shared" si="49"/>
        <v>0</v>
      </c>
      <c r="I1064" s="3">
        <f t="shared" si="50"/>
        <v>0</v>
      </c>
    </row>
    <row r="1065" spans="4:9" x14ac:dyDescent="0.35">
      <c r="D1065" s="2"/>
      <c r="E1065" s="2"/>
      <c r="F1065" s="3"/>
      <c r="G1065" s="3">
        <f t="shared" si="48"/>
        <v>0</v>
      </c>
      <c r="H1065" s="3">
        <f t="shared" si="49"/>
        <v>0</v>
      </c>
      <c r="I1065" s="3">
        <f t="shared" si="50"/>
        <v>0</v>
      </c>
    </row>
    <row r="1066" spans="4:9" x14ac:dyDescent="0.35">
      <c r="D1066" s="2"/>
      <c r="E1066" s="2"/>
      <c r="F1066" s="3"/>
      <c r="G1066" s="3">
        <f t="shared" si="48"/>
        <v>0</v>
      </c>
      <c r="H1066" s="3">
        <f t="shared" si="49"/>
        <v>0</v>
      </c>
      <c r="I1066" s="3">
        <f t="shared" si="50"/>
        <v>0</v>
      </c>
    </row>
    <row r="1067" spans="4:9" x14ac:dyDescent="0.35">
      <c r="D1067" s="2"/>
      <c r="E1067" s="2"/>
      <c r="F1067" s="3"/>
      <c r="G1067" s="3">
        <f t="shared" si="48"/>
        <v>0</v>
      </c>
      <c r="H1067" s="3">
        <f t="shared" si="49"/>
        <v>0</v>
      </c>
      <c r="I1067" s="3">
        <f t="shared" si="50"/>
        <v>0</v>
      </c>
    </row>
    <row r="1068" spans="4:9" x14ac:dyDescent="0.35">
      <c r="D1068" s="2"/>
      <c r="E1068" s="2"/>
      <c r="F1068" s="3"/>
      <c r="G1068" s="3">
        <f t="shared" si="48"/>
        <v>0</v>
      </c>
      <c r="H1068" s="3">
        <f t="shared" si="49"/>
        <v>0</v>
      </c>
      <c r="I1068" s="3">
        <f t="shared" si="50"/>
        <v>0</v>
      </c>
    </row>
    <row r="1069" spans="4:9" x14ac:dyDescent="0.35">
      <c r="D1069" s="2"/>
      <c r="E1069" s="2"/>
      <c r="F1069" s="3"/>
      <c r="G1069" s="3">
        <f t="shared" si="48"/>
        <v>0</v>
      </c>
      <c r="H1069" s="3">
        <f t="shared" si="49"/>
        <v>0</v>
      </c>
      <c r="I1069" s="3">
        <f t="shared" si="50"/>
        <v>0</v>
      </c>
    </row>
    <row r="1070" spans="4:9" x14ac:dyDescent="0.35">
      <c r="D1070" s="2"/>
      <c r="E1070" s="2"/>
      <c r="F1070" s="3"/>
      <c r="G1070" s="3">
        <f t="shared" si="48"/>
        <v>0</v>
      </c>
      <c r="H1070" s="3">
        <f t="shared" si="49"/>
        <v>0</v>
      </c>
      <c r="I1070" s="3">
        <f t="shared" si="50"/>
        <v>0</v>
      </c>
    </row>
    <row r="1071" spans="4:9" x14ac:dyDescent="0.35">
      <c r="D1071" s="2"/>
      <c r="E1071" s="2"/>
      <c r="F1071" s="3"/>
      <c r="G1071" s="3">
        <f t="shared" si="48"/>
        <v>0</v>
      </c>
      <c r="H1071" s="3">
        <f t="shared" si="49"/>
        <v>0</v>
      </c>
      <c r="I1071" s="3">
        <f t="shared" si="50"/>
        <v>0</v>
      </c>
    </row>
    <row r="1072" spans="4:9" x14ac:dyDescent="0.35">
      <c r="D1072" s="2"/>
      <c r="E1072" s="2"/>
      <c r="F1072" s="3"/>
      <c r="G1072" s="3">
        <f t="shared" si="48"/>
        <v>0</v>
      </c>
      <c r="H1072" s="3">
        <f t="shared" si="49"/>
        <v>0</v>
      </c>
      <c r="I1072" s="3">
        <f t="shared" si="50"/>
        <v>0</v>
      </c>
    </row>
    <row r="1073" spans="4:9" x14ac:dyDescent="0.35">
      <c r="D1073" s="2"/>
      <c r="E1073" s="2"/>
      <c r="F1073" s="3"/>
      <c r="G1073" s="3">
        <f t="shared" si="48"/>
        <v>0</v>
      </c>
      <c r="H1073" s="3">
        <f t="shared" si="49"/>
        <v>0</v>
      </c>
      <c r="I1073" s="3">
        <f t="shared" si="50"/>
        <v>0</v>
      </c>
    </row>
    <row r="1074" spans="4:9" x14ac:dyDescent="0.35">
      <c r="D1074" s="2"/>
      <c r="E1074" s="2"/>
      <c r="F1074" s="3"/>
      <c r="G1074" s="3">
        <f t="shared" si="48"/>
        <v>0</v>
      </c>
      <c r="H1074" s="3">
        <f t="shared" si="49"/>
        <v>0</v>
      </c>
      <c r="I1074" s="3">
        <f t="shared" si="50"/>
        <v>0</v>
      </c>
    </row>
    <row r="1075" spans="4:9" x14ac:dyDescent="0.35">
      <c r="D1075" s="2"/>
      <c r="E1075" s="2"/>
      <c r="F1075" s="3"/>
      <c r="G1075" s="3">
        <f t="shared" si="48"/>
        <v>0</v>
      </c>
      <c r="H1075" s="3">
        <f t="shared" si="49"/>
        <v>0</v>
      </c>
      <c r="I1075" s="3">
        <f t="shared" si="50"/>
        <v>0</v>
      </c>
    </row>
    <row r="1076" spans="4:9" x14ac:dyDescent="0.35">
      <c r="D1076" s="2"/>
      <c r="E1076" s="2"/>
      <c r="F1076" s="3"/>
      <c r="G1076" s="3">
        <f t="shared" si="48"/>
        <v>0</v>
      </c>
      <c r="H1076" s="3">
        <f t="shared" si="49"/>
        <v>0</v>
      </c>
      <c r="I1076" s="3">
        <f t="shared" si="50"/>
        <v>0</v>
      </c>
    </row>
    <row r="1077" spans="4:9" x14ac:dyDescent="0.35">
      <c r="D1077" s="2"/>
      <c r="E1077" s="2"/>
      <c r="F1077" s="3"/>
      <c r="G1077" s="3">
        <f t="shared" si="48"/>
        <v>0</v>
      </c>
      <c r="H1077" s="3">
        <f t="shared" si="49"/>
        <v>0</v>
      </c>
      <c r="I1077" s="3">
        <f t="shared" si="50"/>
        <v>0</v>
      </c>
    </row>
    <row r="1078" spans="4:9" x14ac:dyDescent="0.35">
      <c r="D1078" s="2"/>
      <c r="E1078" s="2"/>
      <c r="F1078" s="3"/>
      <c r="G1078" s="3">
        <f t="shared" si="48"/>
        <v>0</v>
      </c>
      <c r="H1078" s="3">
        <f t="shared" si="49"/>
        <v>0</v>
      </c>
      <c r="I1078" s="3">
        <f t="shared" si="50"/>
        <v>0</v>
      </c>
    </row>
    <row r="1079" spans="4:9" x14ac:dyDescent="0.35">
      <c r="D1079" s="2"/>
      <c r="E1079" s="2"/>
      <c r="F1079" s="3"/>
      <c r="G1079" s="3">
        <f t="shared" si="48"/>
        <v>0</v>
      </c>
      <c r="H1079" s="3">
        <f t="shared" si="49"/>
        <v>0</v>
      </c>
      <c r="I1079" s="3">
        <f t="shared" si="50"/>
        <v>0</v>
      </c>
    </row>
    <row r="1080" spans="4:9" x14ac:dyDescent="0.35">
      <c r="D1080" s="2"/>
      <c r="E1080" s="2"/>
      <c r="F1080" s="3"/>
      <c r="G1080" s="3">
        <f t="shared" si="48"/>
        <v>0</v>
      </c>
      <c r="H1080" s="3">
        <f t="shared" si="49"/>
        <v>0</v>
      </c>
      <c r="I1080" s="3">
        <f t="shared" si="50"/>
        <v>0</v>
      </c>
    </row>
    <row r="1081" spans="4:9" x14ac:dyDescent="0.35">
      <c r="D1081" s="2"/>
      <c r="E1081" s="2"/>
      <c r="F1081" s="3"/>
      <c r="G1081" s="3">
        <f t="shared" si="48"/>
        <v>0</v>
      </c>
      <c r="H1081" s="3">
        <f t="shared" si="49"/>
        <v>0</v>
      </c>
      <c r="I1081" s="3">
        <f t="shared" si="50"/>
        <v>0</v>
      </c>
    </row>
    <row r="1082" spans="4:9" x14ac:dyDescent="0.35">
      <c r="D1082" s="2"/>
      <c r="E1082" s="2"/>
      <c r="F1082" s="3"/>
      <c r="G1082" s="3">
        <f t="shared" si="48"/>
        <v>0</v>
      </c>
      <c r="H1082" s="3">
        <f t="shared" si="49"/>
        <v>0</v>
      </c>
      <c r="I1082" s="3">
        <f t="shared" si="50"/>
        <v>0</v>
      </c>
    </row>
    <row r="1083" spans="4:9" x14ac:dyDescent="0.35">
      <c r="D1083" s="2"/>
      <c r="E1083" s="2"/>
      <c r="F1083" s="3"/>
      <c r="G1083" s="3">
        <f t="shared" si="48"/>
        <v>0</v>
      </c>
      <c r="H1083" s="3">
        <f t="shared" si="49"/>
        <v>0</v>
      </c>
      <c r="I1083" s="3">
        <f t="shared" si="50"/>
        <v>0</v>
      </c>
    </row>
    <row r="1084" spans="4:9" x14ac:dyDescent="0.35">
      <c r="D1084" s="2"/>
      <c r="E1084" s="2"/>
      <c r="F1084" s="3"/>
      <c r="G1084" s="3">
        <f t="shared" si="48"/>
        <v>0</v>
      </c>
      <c r="H1084" s="3">
        <f t="shared" si="49"/>
        <v>0</v>
      </c>
      <c r="I1084" s="3">
        <f t="shared" si="50"/>
        <v>0</v>
      </c>
    </row>
    <row r="1085" spans="4:9" x14ac:dyDescent="0.35">
      <c r="D1085" s="2"/>
      <c r="E1085" s="2"/>
      <c r="F1085" s="3"/>
      <c r="G1085" s="3">
        <f t="shared" si="48"/>
        <v>0</v>
      </c>
      <c r="H1085" s="3">
        <f t="shared" si="49"/>
        <v>0</v>
      </c>
      <c r="I1085" s="3">
        <f t="shared" si="50"/>
        <v>0</v>
      </c>
    </row>
    <row r="1086" spans="4:9" x14ac:dyDescent="0.35">
      <c r="D1086" s="2"/>
      <c r="E1086" s="2"/>
      <c r="F1086" s="3"/>
      <c r="G1086" s="3">
        <f t="shared" si="48"/>
        <v>0</v>
      </c>
      <c r="H1086" s="3">
        <f t="shared" si="49"/>
        <v>0</v>
      </c>
      <c r="I1086" s="3">
        <f t="shared" si="50"/>
        <v>0</v>
      </c>
    </row>
    <row r="1087" spans="4:9" x14ac:dyDescent="0.35">
      <c r="D1087" s="2"/>
      <c r="E1087" s="2"/>
      <c r="F1087" s="3"/>
      <c r="G1087" s="3">
        <f t="shared" si="48"/>
        <v>0</v>
      </c>
      <c r="H1087" s="3">
        <f t="shared" si="49"/>
        <v>0</v>
      </c>
      <c r="I1087" s="3">
        <f t="shared" si="50"/>
        <v>0</v>
      </c>
    </row>
    <row r="1088" spans="4:9" x14ac:dyDescent="0.35">
      <c r="D1088" s="2"/>
      <c r="E1088" s="2"/>
      <c r="F1088" s="3"/>
      <c r="G1088" s="3">
        <f t="shared" si="48"/>
        <v>0</v>
      </c>
      <c r="H1088" s="3">
        <f t="shared" si="49"/>
        <v>0</v>
      </c>
      <c r="I1088" s="3">
        <f t="shared" si="50"/>
        <v>0</v>
      </c>
    </row>
    <row r="1089" spans="4:9" x14ac:dyDescent="0.35">
      <c r="D1089" s="2"/>
      <c r="E1089" s="2"/>
      <c r="F1089" s="3"/>
      <c r="G1089" s="3">
        <f t="shared" si="48"/>
        <v>0</v>
      </c>
      <c r="H1089" s="3">
        <f t="shared" si="49"/>
        <v>0</v>
      </c>
      <c r="I1089" s="3">
        <f t="shared" si="50"/>
        <v>0</v>
      </c>
    </row>
    <row r="1090" spans="4:9" x14ac:dyDescent="0.35">
      <c r="D1090" s="2"/>
      <c r="E1090" s="2"/>
      <c r="F1090" s="3"/>
      <c r="G1090" s="3">
        <f t="shared" ref="G1090:G1153" si="51">IF($F1090&gt;0,$E1090/(1-$F1090),0)</f>
        <v>0</v>
      </c>
      <c r="H1090" s="3">
        <f t="shared" ref="H1090:H1153" si="52">IF($D1090&gt;0,$G1090/$D1090,0)</f>
        <v>0</v>
      </c>
      <c r="I1090" s="3">
        <f t="shared" ref="I1090:I1153" si="53">$E1090*1.1</f>
        <v>0</v>
      </c>
    </row>
    <row r="1091" spans="4:9" x14ac:dyDescent="0.35">
      <c r="D1091" s="2"/>
      <c r="E1091" s="2"/>
      <c r="F1091" s="3"/>
      <c r="G1091" s="3">
        <f t="shared" si="51"/>
        <v>0</v>
      </c>
      <c r="H1091" s="3">
        <f t="shared" si="52"/>
        <v>0</v>
      </c>
      <c r="I1091" s="3">
        <f t="shared" si="53"/>
        <v>0</v>
      </c>
    </row>
    <row r="1092" spans="4:9" x14ac:dyDescent="0.35">
      <c r="D1092" s="2"/>
      <c r="E1092" s="2"/>
      <c r="F1092" s="3"/>
      <c r="G1092" s="3">
        <f t="shared" si="51"/>
        <v>0</v>
      </c>
      <c r="H1092" s="3">
        <f t="shared" si="52"/>
        <v>0</v>
      </c>
      <c r="I1092" s="3">
        <f t="shared" si="53"/>
        <v>0</v>
      </c>
    </row>
    <row r="1093" spans="4:9" x14ac:dyDescent="0.35">
      <c r="D1093" s="2"/>
      <c r="E1093" s="2"/>
      <c r="F1093" s="3"/>
      <c r="G1093" s="3">
        <f t="shared" si="51"/>
        <v>0</v>
      </c>
      <c r="H1093" s="3">
        <f t="shared" si="52"/>
        <v>0</v>
      </c>
      <c r="I1093" s="3">
        <f t="shared" si="53"/>
        <v>0</v>
      </c>
    </row>
    <row r="1094" spans="4:9" x14ac:dyDescent="0.35">
      <c r="D1094" s="2"/>
      <c r="E1094" s="2"/>
      <c r="F1094" s="3"/>
      <c r="G1094" s="3">
        <f t="shared" si="51"/>
        <v>0</v>
      </c>
      <c r="H1094" s="3">
        <f t="shared" si="52"/>
        <v>0</v>
      </c>
      <c r="I1094" s="3">
        <f t="shared" si="53"/>
        <v>0</v>
      </c>
    </row>
    <row r="1095" spans="4:9" x14ac:dyDescent="0.35">
      <c r="D1095" s="2"/>
      <c r="E1095" s="2"/>
      <c r="F1095" s="3"/>
      <c r="G1095" s="3">
        <f t="shared" si="51"/>
        <v>0</v>
      </c>
      <c r="H1095" s="3">
        <f t="shared" si="52"/>
        <v>0</v>
      </c>
      <c r="I1095" s="3">
        <f t="shared" si="53"/>
        <v>0</v>
      </c>
    </row>
    <row r="1096" spans="4:9" x14ac:dyDescent="0.35">
      <c r="D1096" s="2"/>
      <c r="E1096" s="2"/>
      <c r="F1096" s="3"/>
      <c r="G1096" s="3">
        <f t="shared" si="51"/>
        <v>0</v>
      </c>
      <c r="H1096" s="3">
        <f t="shared" si="52"/>
        <v>0</v>
      </c>
      <c r="I1096" s="3">
        <f t="shared" si="53"/>
        <v>0</v>
      </c>
    </row>
    <row r="1097" spans="4:9" x14ac:dyDescent="0.35">
      <c r="D1097" s="2"/>
      <c r="E1097" s="2"/>
      <c r="F1097" s="3"/>
      <c r="G1097" s="3">
        <f t="shared" si="51"/>
        <v>0</v>
      </c>
      <c r="H1097" s="3">
        <f t="shared" si="52"/>
        <v>0</v>
      </c>
      <c r="I1097" s="3">
        <f t="shared" si="53"/>
        <v>0</v>
      </c>
    </row>
    <row r="1098" spans="4:9" x14ac:dyDescent="0.35">
      <c r="D1098" s="2"/>
      <c r="E1098" s="2"/>
      <c r="F1098" s="3"/>
      <c r="G1098" s="3">
        <f t="shared" si="51"/>
        <v>0</v>
      </c>
      <c r="H1098" s="3">
        <f t="shared" si="52"/>
        <v>0</v>
      </c>
      <c r="I1098" s="3">
        <f t="shared" si="53"/>
        <v>0</v>
      </c>
    </row>
    <row r="1099" spans="4:9" x14ac:dyDescent="0.35">
      <c r="D1099" s="2"/>
      <c r="E1099" s="2"/>
      <c r="F1099" s="3"/>
      <c r="G1099" s="3">
        <f t="shared" si="51"/>
        <v>0</v>
      </c>
      <c r="H1099" s="3">
        <f t="shared" si="52"/>
        <v>0</v>
      </c>
      <c r="I1099" s="3">
        <f t="shared" si="53"/>
        <v>0</v>
      </c>
    </row>
    <row r="1100" spans="4:9" x14ac:dyDescent="0.35">
      <c r="D1100" s="2"/>
      <c r="E1100" s="2"/>
      <c r="F1100" s="3"/>
      <c r="G1100" s="3">
        <f t="shared" si="51"/>
        <v>0</v>
      </c>
      <c r="H1100" s="3">
        <f t="shared" si="52"/>
        <v>0</v>
      </c>
      <c r="I1100" s="3">
        <f t="shared" si="53"/>
        <v>0</v>
      </c>
    </row>
    <row r="1101" spans="4:9" x14ac:dyDescent="0.35">
      <c r="D1101" s="2"/>
      <c r="E1101" s="2"/>
      <c r="F1101" s="3"/>
      <c r="G1101" s="3">
        <f t="shared" si="51"/>
        <v>0</v>
      </c>
      <c r="H1101" s="3">
        <f t="shared" si="52"/>
        <v>0</v>
      </c>
      <c r="I1101" s="3">
        <f t="shared" si="53"/>
        <v>0</v>
      </c>
    </row>
    <row r="1102" spans="4:9" x14ac:dyDescent="0.35">
      <c r="D1102" s="2"/>
      <c r="E1102" s="2"/>
      <c r="F1102" s="3"/>
      <c r="G1102" s="3">
        <f t="shared" si="51"/>
        <v>0</v>
      </c>
      <c r="H1102" s="3">
        <f t="shared" si="52"/>
        <v>0</v>
      </c>
      <c r="I1102" s="3">
        <f t="shared" si="53"/>
        <v>0</v>
      </c>
    </row>
    <row r="1103" spans="4:9" x14ac:dyDescent="0.35">
      <c r="D1103" s="2"/>
      <c r="E1103" s="2"/>
      <c r="F1103" s="3"/>
      <c r="G1103" s="3">
        <f t="shared" si="51"/>
        <v>0</v>
      </c>
      <c r="H1103" s="3">
        <f t="shared" si="52"/>
        <v>0</v>
      </c>
      <c r="I1103" s="3">
        <f t="shared" si="53"/>
        <v>0</v>
      </c>
    </row>
    <row r="1104" spans="4:9" x14ac:dyDescent="0.35">
      <c r="D1104" s="2"/>
      <c r="E1104" s="2"/>
      <c r="F1104" s="3"/>
      <c r="G1104" s="3">
        <f t="shared" si="51"/>
        <v>0</v>
      </c>
      <c r="H1104" s="3">
        <f t="shared" si="52"/>
        <v>0</v>
      </c>
      <c r="I1104" s="3">
        <f t="shared" si="53"/>
        <v>0</v>
      </c>
    </row>
    <row r="1105" spans="4:9" x14ac:dyDescent="0.35">
      <c r="D1105" s="2"/>
      <c r="E1105" s="2"/>
      <c r="F1105" s="3"/>
      <c r="G1105" s="3">
        <f t="shared" si="51"/>
        <v>0</v>
      </c>
      <c r="H1105" s="3">
        <f t="shared" si="52"/>
        <v>0</v>
      </c>
      <c r="I1105" s="3">
        <f t="shared" si="53"/>
        <v>0</v>
      </c>
    </row>
    <row r="1106" spans="4:9" x14ac:dyDescent="0.35">
      <c r="D1106" s="2"/>
      <c r="E1106" s="2"/>
      <c r="F1106" s="3"/>
      <c r="G1106" s="3">
        <f t="shared" si="51"/>
        <v>0</v>
      </c>
      <c r="H1106" s="3">
        <f t="shared" si="52"/>
        <v>0</v>
      </c>
      <c r="I1106" s="3">
        <f t="shared" si="53"/>
        <v>0</v>
      </c>
    </row>
    <row r="1107" spans="4:9" x14ac:dyDescent="0.35">
      <c r="D1107" s="2"/>
      <c r="E1107" s="2"/>
      <c r="F1107" s="3"/>
      <c r="G1107" s="3">
        <f t="shared" si="51"/>
        <v>0</v>
      </c>
      <c r="H1107" s="3">
        <f t="shared" si="52"/>
        <v>0</v>
      </c>
      <c r="I1107" s="3">
        <f t="shared" si="53"/>
        <v>0</v>
      </c>
    </row>
    <row r="1108" spans="4:9" x14ac:dyDescent="0.35">
      <c r="D1108" s="2"/>
      <c r="E1108" s="2"/>
      <c r="F1108" s="3"/>
      <c r="G1108" s="3">
        <f t="shared" si="51"/>
        <v>0</v>
      </c>
      <c r="H1108" s="3">
        <f t="shared" si="52"/>
        <v>0</v>
      </c>
      <c r="I1108" s="3">
        <f t="shared" si="53"/>
        <v>0</v>
      </c>
    </row>
    <row r="1109" spans="4:9" x14ac:dyDescent="0.35">
      <c r="D1109" s="2"/>
      <c r="E1109" s="2"/>
      <c r="F1109" s="3"/>
      <c r="G1109" s="3">
        <f t="shared" si="51"/>
        <v>0</v>
      </c>
      <c r="H1109" s="3">
        <f t="shared" si="52"/>
        <v>0</v>
      </c>
      <c r="I1109" s="3">
        <f t="shared" si="53"/>
        <v>0</v>
      </c>
    </row>
    <row r="1110" spans="4:9" x14ac:dyDescent="0.35">
      <c r="D1110" s="2"/>
      <c r="E1110" s="2"/>
      <c r="F1110" s="3"/>
      <c r="G1110" s="3">
        <f t="shared" si="51"/>
        <v>0</v>
      </c>
      <c r="H1110" s="3">
        <f t="shared" si="52"/>
        <v>0</v>
      </c>
      <c r="I1110" s="3">
        <f t="shared" si="53"/>
        <v>0</v>
      </c>
    </row>
    <row r="1111" spans="4:9" x14ac:dyDescent="0.35">
      <c r="D1111" s="2"/>
      <c r="E1111" s="2"/>
      <c r="F1111" s="3"/>
      <c r="G1111" s="3">
        <f t="shared" si="51"/>
        <v>0</v>
      </c>
      <c r="H1111" s="3">
        <f t="shared" si="52"/>
        <v>0</v>
      </c>
      <c r="I1111" s="3">
        <f t="shared" si="53"/>
        <v>0</v>
      </c>
    </row>
    <row r="1112" spans="4:9" x14ac:dyDescent="0.35">
      <c r="D1112" s="2"/>
      <c r="E1112" s="2"/>
      <c r="F1112" s="3"/>
      <c r="G1112" s="3">
        <f t="shared" si="51"/>
        <v>0</v>
      </c>
      <c r="H1112" s="3">
        <f t="shared" si="52"/>
        <v>0</v>
      </c>
      <c r="I1112" s="3">
        <f t="shared" si="53"/>
        <v>0</v>
      </c>
    </row>
    <row r="1113" spans="4:9" x14ac:dyDescent="0.35">
      <c r="D1113" s="2"/>
      <c r="E1113" s="2"/>
      <c r="F1113" s="3"/>
      <c r="G1113" s="3">
        <f t="shared" si="51"/>
        <v>0</v>
      </c>
      <c r="H1113" s="3">
        <f t="shared" si="52"/>
        <v>0</v>
      </c>
      <c r="I1113" s="3">
        <f t="shared" si="53"/>
        <v>0</v>
      </c>
    </row>
    <row r="1114" spans="4:9" x14ac:dyDescent="0.35">
      <c r="D1114" s="2"/>
      <c r="E1114" s="2"/>
      <c r="F1114" s="3"/>
      <c r="G1114" s="3">
        <f t="shared" si="51"/>
        <v>0</v>
      </c>
      <c r="H1114" s="3">
        <f t="shared" si="52"/>
        <v>0</v>
      </c>
      <c r="I1114" s="3">
        <f t="shared" si="53"/>
        <v>0</v>
      </c>
    </row>
    <row r="1115" spans="4:9" x14ac:dyDescent="0.35">
      <c r="D1115" s="2"/>
      <c r="E1115" s="2"/>
      <c r="F1115" s="3"/>
      <c r="G1115" s="3">
        <f t="shared" si="51"/>
        <v>0</v>
      </c>
      <c r="H1115" s="3">
        <f t="shared" si="52"/>
        <v>0</v>
      </c>
      <c r="I1115" s="3">
        <f t="shared" si="53"/>
        <v>0</v>
      </c>
    </row>
    <row r="1116" spans="4:9" x14ac:dyDescent="0.35">
      <c r="D1116" s="2"/>
      <c r="E1116" s="2"/>
      <c r="F1116" s="3"/>
      <c r="G1116" s="3">
        <f t="shared" si="51"/>
        <v>0</v>
      </c>
      <c r="H1116" s="3">
        <f t="shared" si="52"/>
        <v>0</v>
      </c>
      <c r="I1116" s="3">
        <f t="shared" si="53"/>
        <v>0</v>
      </c>
    </row>
    <row r="1117" spans="4:9" x14ac:dyDescent="0.35">
      <c r="D1117" s="2"/>
      <c r="E1117" s="2"/>
      <c r="F1117" s="3"/>
      <c r="G1117" s="3">
        <f t="shared" si="51"/>
        <v>0</v>
      </c>
      <c r="H1117" s="3">
        <f t="shared" si="52"/>
        <v>0</v>
      </c>
      <c r="I1117" s="3">
        <f t="shared" si="53"/>
        <v>0</v>
      </c>
    </row>
    <row r="1118" spans="4:9" x14ac:dyDescent="0.35">
      <c r="D1118" s="2"/>
      <c r="E1118" s="2"/>
      <c r="F1118" s="3"/>
      <c r="G1118" s="3">
        <f t="shared" si="51"/>
        <v>0</v>
      </c>
      <c r="H1118" s="3">
        <f t="shared" si="52"/>
        <v>0</v>
      </c>
      <c r="I1118" s="3">
        <f t="shared" si="53"/>
        <v>0</v>
      </c>
    </row>
    <row r="1119" spans="4:9" x14ac:dyDescent="0.35">
      <c r="D1119" s="2"/>
      <c r="E1119" s="2"/>
      <c r="F1119" s="3"/>
      <c r="G1119" s="3">
        <f t="shared" si="51"/>
        <v>0</v>
      </c>
      <c r="H1119" s="3">
        <f t="shared" si="52"/>
        <v>0</v>
      </c>
      <c r="I1119" s="3">
        <f t="shared" si="53"/>
        <v>0</v>
      </c>
    </row>
    <row r="1120" spans="4:9" x14ac:dyDescent="0.35">
      <c r="D1120" s="2"/>
      <c r="E1120" s="2"/>
      <c r="F1120" s="3"/>
      <c r="G1120" s="3">
        <f t="shared" si="51"/>
        <v>0</v>
      </c>
      <c r="H1120" s="3">
        <f t="shared" si="52"/>
        <v>0</v>
      </c>
      <c r="I1120" s="3">
        <f t="shared" si="53"/>
        <v>0</v>
      </c>
    </row>
    <row r="1121" spans="4:9" x14ac:dyDescent="0.35">
      <c r="D1121" s="2"/>
      <c r="E1121" s="2"/>
      <c r="F1121" s="3"/>
      <c r="G1121" s="3">
        <f t="shared" si="51"/>
        <v>0</v>
      </c>
      <c r="H1121" s="3">
        <f t="shared" si="52"/>
        <v>0</v>
      </c>
      <c r="I1121" s="3">
        <f t="shared" si="53"/>
        <v>0</v>
      </c>
    </row>
    <row r="1122" spans="4:9" x14ac:dyDescent="0.35">
      <c r="D1122" s="2"/>
      <c r="E1122" s="2"/>
      <c r="F1122" s="3"/>
      <c r="G1122" s="3">
        <f t="shared" si="51"/>
        <v>0</v>
      </c>
      <c r="H1122" s="3">
        <f t="shared" si="52"/>
        <v>0</v>
      </c>
      <c r="I1122" s="3">
        <f t="shared" si="53"/>
        <v>0</v>
      </c>
    </row>
    <row r="1123" spans="4:9" x14ac:dyDescent="0.35">
      <c r="D1123" s="2"/>
      <c r="E1123" s="2"/>
      <c r="F1123" s="3"/>
      <c r="G1123" s="3">
        <f t="shared" si="51"/>
        <v>0</v>
      </c>
      <c r="H1123" s="3">
        <f t="shared" si="52"/>
        <v>0</v>
      </c>
      <c r="I1123" s="3">
        <f t="shared" si="53"/>
        <v>0</v>
      </c>
    </row>
    <row r="1124" spans="4:9" x14ac:dyDescent="0.35">
      <c r="D1124" s="2"/>
      <c r="E1124" s="2"/>
      <c r="F1124" s="3"/>
      <c r="G1124" s="3">
        <f t="shared" si="51"/>
        <v>0</v>
      </c>
      <c r="H1124" s="3">
        <f t="shared" si="52"/>
        <v>0</v>
      </c>
      <c r="I1124" s="3">
        <f t="shared" si="53"/>
        <v>0</v>
      </c>
    </row>
    <row r="1125" spans="4:9" x14ac:dyDescent="0.35">
      <c r="D1125" s="2"/>
      <c r="E1125" s="2"/>
      <c r="F1125" s="3"/>
      <c r="G1125" s="3">
        <f t="shared" si="51"/>
        <v>0</v>
      </c>
      <c r="H1125" s="3">
        <f t="shared" si="52"/>
        <v>0</v>
      </c>
      <c r="I1125" s="3">
        <f t="shared" si="53"/>
        <v>0</v>
      </c>
    </row>
    <row r="1126" spans="4:9" x14ac:dyDescent="0.35">
      <c r="D1126" s="2"/>
      <c r="E1126" s="2"/>
      <c r="F1126" s="3"/>
      <c r="G1126" s="3">
        <f t="shared" si="51"/>
        <v>0</v>
      </c>
      <c r="H1126" s="3">
        <f t="shared" si="52"/>
        <v>0</v>
      </c>
      <c r="I1126" s="3">
        <f t="shared" si="53"/>
        <v>0</v>
      </c>
    </row>
    <row r="1127" spans="4:9" x14ac:dyDescent="0.35">
      <c r="D1127" s="2"/>
      <c r="E1127" s="2"/>
      <c r="F1127" s="3"/>
      <c r="G1127" s="3">
        <f t="shared" si="51"/>
        <v>0</v>
      </c>
      <c r="H1127" s="3">
        <f t="shared" si="52"/>
        <v>0</v>
      </c>
      <c r="I1127" s="3">
        <f t="shared" si="53"/>
        <v>0</v>
      </c>
    </row>
    <row r="1128" spans="4:9" x14ac:dyDescent="0.35">
      <c r="D1128" s="2"/>
      <c r="E1128" s="2"/>
      <c r="F1128" s="3"/>
      <c r="G1128" s="3">
        <f t="shared" si="51"/>
        <v>0</v>
      </c>
      <c r="H1128" s="3">
        <f t="shared" si="52"/>
        <v>0</v>
      </c>
      <c r="I1128" s="3">
        <f t="shared" si="53"/>
        <v>0</v>
      </c>
    </row>
    <row r="1129" spans="4:9" x14ac:dyDescent="0.35">
      <c r="D1129" s="2"/>
      <c r="E1129" s="2"/>
      <c r="F1129" s="3"/>
      <c r="G1129" s="3">
        <f t="shared" si="51"/>
        <v>0</v>
      </c>
      <c r="H1129" s="3">
        <f t="shared" si="52"/>
        <v>0</v>
      </c>
      <c r="I1129" s="3">
        <f t="shared" si="53"/>
        <v>0</v>
      </c>
    </row>
    <row r="1130" spans="4:9" x14ac:dyDescent="0.35">
      <c r="D1130" s="2"/>
      <c r="E1130" s="2"/>
      <c r="F1130" s="3"/>
      <c r="G1130" s="3">
        <f t="shared" si="51"/>
        <v>0</v>
      </c>
      <c r="H1130" s="3">
        <f t="shared" si="52"/>
        <v>0</v>
      </c>
      <c r="I1130" s="3">
        <f t="shared" si="53"/>
        <v>0</v>
      </c>
    </row>
    <row r="1131" spans="4:9" x14ac:dyDescent="0.35">
      <c r="D1131" s="2"/>
      <c r="E1131" s="2"/>
      <c r="F1131" s="3"/>
      <c r="G1131" s="3">
        <f t="shared" si="51"/>
        <v>0</v>
      </c>
      <c r="H1131" s="3">
        <f t="shared" si="52"/>
        <v>0</v>
      </c>
      <c r="I1131" s="3">
        <f t="shared" si="53"/>
        <v>0</v>
      </c>
    </row>
    <row r="1132" spans="4:9" x14ac:dyDescent="0.35">
      <c r="D1132" s="2"/>
      <c r="E1132" s="2"/>
      <c r="F1132" s="3"/>
      <c r="G1132" s="3">
        <f t="shared" si="51"/>
        <v>0</v>
      </c>
      <c r="H1132" s="3">
        <f t="shared" si="52"/>
        <v>0</v>
      </c>
      <c r="I1132" s="3">
        <f t="shared" si="53"/>
        <v>0</v>
      </c>
    </row>
    <row r="1133" spans="4:9" x14ac:dyDescent="0.35">
      <c r="D1133" s="2"/>
      <c r="E1133" s="2"/>
      <c r="F1133" s="3"/>
      <c r="G1133" s="3">
        <f t="shared" si="51"/>
        <v>0</v>
      </c>
      <c r="H1133" s="3">
        <f t="shared" si="52"/>
        <v>0</v>
      </c>
      <c r="I1133" s="3">
        <f t="shared" si="53"/>
        <v>0</v>
      </c>
    </row>
    <row r="1134" spans="4:9" x14ac:dyDescent="0.35">
      <c r="D1134" s="2"/>
      <c r="E1134" s="2"/>
      <c r="F1134" s="3"/>
      <c r="G1134" s="3">
        <f t="shared" si="51"/>
        <v>0</v>
      </c>
      <c r="H1134" s="3">
        <f t="shared" si="52"/>
        <v>0</v>
      </c>
      <c r="I1134" s="3">
        <f t="shared" si="53"/>
        <v>0</v>
      </c>
    </row>
    <row r="1135" spans="4:9" x14ac:dyDescent="0.35">
      <c r="D1135" s="2"/>
      <c r="E1135" s="2"/>
      <c r="F1135" s="3"/>
      <c r="G1135" s="3">
        <f t="shared" si="51"/>
        <v>0</v>
      </c>
      <c r="H1135" s="3">
        <f t="shared" si="52"/>
        <v>0</v>
      </c>
      <c r="I1135" s="3">
        <f t="shared" si="53"/>
        <v>0</v>
      </c>
    </row>
    <row r="1136" spans="4:9" x14ac:dyDescent="0.35">
      <c r="D1136" s="2"/>
      <c r="E1136" s="2"/>
      <c r="F1136" s="3"/>
      <c r="G1136" s="3">
        <f t="shared" si="51"/>
        <v>0</v>
      </c>
      <c r="H1136" s="3">
        <f t="shared" si="52"/>
        <v>0</v>
      </c>
      <c r="I1136" s="3">
        <f t="shared" si="53"/>
        <v>0</v>
      </c>
    </row>
    <row r="1137" spans="4:9" x14ac:dyDescent="0.35">
      <c r="D1137" s="2"/>
      <c r="E1137" s="2"/>
      <c r="F1137" s="3"/>
      <c r="G1137" s="3">
        <f t="shared" si="51"/>
        <v>0</v>
      </c>
      <c r="H1137" s="3">
        <f t="shared" si="52"/>
        <v>0</v>
      </c>
      <c r="I1137" s="3">
        <f t="shared" si="53"/>
        <v>0</v>
      </c>
    </row>
    <row r="1138" spans="4:9" x14ac:dyDescent="0.35">
      <c r="D1138" s="2"/>
      <c r="E1138" s="2"/>
      <c r="F1138" s="3"/>
      <c r="G1138" s="3">
        <f t="shared" si="51"/>
        <v>0</v>
      </c>
      <c r="H1138" s="3">
        <f t="shared" si="52"/>
        <v>0</v>
      </c>
      <c r="I1138" s="3">
        <f t="shared" si="53"/>
        <v>0</v>
      </c>
    </row>
    <row r="1139" spans="4:9" x14ac:dyDescent="0.35">
      <c r="D1139" s="2"/>
      <c r="E1139" s="2"/>
      <c r="F1139" s="3"/>
      <c r="G1139" s="3">
        <f t="shared" si="51"/>
        <v>0</v>
      </c>
      <c r="H1139" s="3">
        <f t="shared" si="52"/>
        <v>0</v>
      </c>
      <c r="I1139" s="3">
        <f t="shared" si="53"/>
        <v>0</v>
      </c>
    </row>
    <row r="1140" spans="4:9" x14ac:dyDescent="0.35">
      <c r="D1140" s="2"/>
      <c r="E1140" s="2"/>
      <c r="F1140" s="3"/>
      <c r="G1140" s="3">
        <f t="shared" si="51"/>
        <v>0</v>
      </c>
      <c r="H1140" s="3">
        <f t="shared" si="52"/>
        <v>0</v>
      </c>
      <c r="I1140" s="3">
        <f t="shared" si="53"/>
        <v>0</v>
      </c>
    </row>
    <row r="1141" spans="4:9" x14ac:dyDescent="0.35">
      <c r="D1141" s="2"/>
      <c r="E1141" s="2"/>
      <c r="F1141" s="3"/>
      <c r="G1141" s="3">
        <f t="shared" si="51"/>
        <v>0</v>
      </c>
      <c r="H1141" s="3">
        <f t="shared" si="52"/>
        <v>0</v>
      </c>
      <c r="I1141" s="3">
        <f t="shared" si="53"/>
        <v>0</v>
      </c>
    </row>
    <row r="1142" spans="4:9" x14ac:dyDescent="0.35">
      <c r="D1142" s="2"/>
      <c r="E1142" s="2"/>
      <c r="F1142" s="3"/>
      <c r="G1142" s="3">
        <f t="shared" si="51"/>
        <v>0</v>
      </c>
      <c r="H1142" s="3">
        <f t="shared" si="52"/>
        <v>0</v>
      </c>
      <c r="I1142" s="3">
        <f t="shared" si="53"/>
        <v>0</v>
      </c>
    </row>
    <row r="1143" spans="4:9" x14ac:dyDescent="0.35">
      <c r="D1143" s="2"/>
      <c r="E1143" s="2"/>
      <c r="F1143" s="3"/>
      <c r="G1143" s="3">
        <f t="shared" si="51"/>
        <v>0</v>
      </c>
      <c r="H1143" s="3">
        <f t="shared" si="52"/>
        <v>0</v>
      </c>
      <c r="I1143" s="3">
        <f t="shared" si="53"/>
        <v>0</v>
      </c>
    </row>
    <row r="1144" spans="4:9" x14ac:dyDescent="0.35">
      <c r="D1144" s="2"/>
      <c r="E1144" s="2"/>
      <c r="F1144" s="3"/>
      <c r="G1144" s="3">
        <f t="shared" si="51"/>
        <v>0</v>
      </c>
      <c r="H1144" s="3">
        <f t="shared" si="52"/>
        <v>0</v>
      </c>
      <c r="I1144" s="3">
        <f t="shared" si="53"/>
        <v>0</v>
      </c>
    </row>
    <row r="1145" spans="4:9" x14ac:dyDescent="0.35">
      <c r="D1145" s="2"/>
      <c r="E1145" s="2"/>
      <c r="F1145" s="3"/>
      <c r="G1145" s="3">
        <f t="shared" si="51"/>
        <v>0</v>
      </c>
      <c r="H1145" s="3">
        <f t="shared" si="52"/>
        <v>0</v>
      </c>
      <c r="I1145" s="3">
        <f t="shared" si="53"/>
        <v>0</v>
      </c>
    </row>
    <row r="1146" spans="4:9" x14ac:dyDescent="0.35">
      <c r="D1146" s="2"/>
      <c r="E1146" s="2"/>
      <c r="F1146" s="3"/>
      <c r="G1146" s="3">
        <f t="shared" si="51"/>
        <v>0</v>
      </c>
      <c r="H1146" s="3">
        <f t="shared" si="52"/>
        <v>0</v>
      </c>
      <c r="I1146" s="3">
        <f t="shared" si="53"/>
        <v>0</v>
      </c>
    </row>
    <row r="1147" spans="4:9" x14ac:dyDescent="0.35">
      <c r="D1147" s="2"/>
      <c r="E1147" s="2"/>
      <c r="F1147" s="3"/>
      <c r="G1147" s="3">
        <f t="shared" si="51"/>
        <v>0</v>
      </c>
      <c r="H1147" s="3">
        <f t="shared" si="52"/>
        <v>0</v>
      </c>
      <c r="I1147" s="3">
        <f t="shared" si="53"/>
        <v>0</v>
      </c>
    </row>
    <row r="1148" spans="4:9" x14ac:dyDescent="0.35">
      <c r="D1148" s="2"/>
      <c r="E1148" s="2"/>
      <c r="F1148" s="3"/>
      <c r="G1148" s="3">
        <f t="shared" si="51"/>
        <v>0</v>
      </c>
      <c r="H1148" s="3">
        <f t="shared" si="52"/>
        <v>0</v>
      </c>
      <c r="I1148" s="3">
        <f t="shared" si="53"/>
        <v>0</v>
      </c>
    </row>
    <row r="1149" spans="4:9" x14ac:dyDescent="0.35">
      <c r="D1149" s="2"/>
      <c r="E1149" s="2"/>
      <c r="F1149" s="3"/>
      <c r="G1149" s="3">
        <f t="shared" si="51"/>
        <v>0</v>
      </c>
      <c r="H1149" s="3">
        <f t="shared" si="52"/>
        <v>0</v>
      </c>
      <c r="I1149" s="3">
        <f t="shared" si="53"/>
        <v>0</v>
      </c>
    </row>
    <row r="1150" spans="4:9" x14ac:dyDescent="0.35">
      <c r="D1150" s="2"/>
      <c r="E1150" s="2"/>
      <c r="F1150" s="3"/>
      <c r="G1150" s="3">
        <f t="shared" si="51"/>
        <v>0</v>
      </c>
      <c r="H1150" s="3">
        <f t="shared" si="52"/>
        <v>0</v>
      </c>
      <c r="I1150" s="3">
        <f t="shared" si="53"/>
        <v>0</v>
      </c>
    </row>
    <row r="1151" spans="4:9" x14ac:dyDescent="0.35">
      <c r="D1151" s="2"/>
      <c r="E1151" s="2"/>
      <c r="F1151" s="3"/>
      <c r="G1151" s="3">
        <f t="shared" si="51"/>
        <v>0</v>
      </c>
      <c r="H1151" s="3">
        <f t="shared" si="52"/>
        <v>0</v>
      </c>
      <c r="I1151" s="3">
        <f t="shared" si="53"/>
        <v>0</v>
      </c>
    </row>
    <row r="1152" spans="4:9" x14ac:dyDescent="0.35">
      <c r="D1152" s="2"/>
      <c r="E1152" s="2"/>
      <c r="F1152" s="3"/>
      <c r="G1152" s="3">
        <f t="shared" si="51"/>
        <v>0</v>
      </c>
      <c r="H1152" s="3">
        <f t="shared" si="52"/>
        <v>0</v>
      </c>
      <c r="I1152" s="3">
        <f t="shared" si="53"/>
        <v>0</v>
      </c>
    </row>
    <row r="1153" spans="4:9" x14ac:dyDescent="0.35">
      <c r="D1153" s="2"/>
      <c r="E1153" s="2"/>
      <c r="F1153" s="3"/>
      <c r="G1153" s="3">
        <f t="shared" si="51"/>
        <v>0</v>
      </c>
      <c r="H1153" s="3">
        <f t="shared" si="52"/>
        <v>0</v>
      </c>
      <c r="I1153" s="3">
        <f t="shared" si="53"/>
        <v>0</v>
      </c>
    </row>
    <row r="1154" spans="4:9" x14ac:dyDescent="0.35">
      <c r="D1154" s="2"/>
      <c r="E1154" s="2"/>
      <c r="F1154" s="3"/>
      <c r="G1154" s="3">
        <f t="shared" ref="G1154:G1217" si="54">IF($F1154&gt;0,$E1154/(1-$F1154),0)</f>
        <v>0</v>
      </c>
      <c r="H1154" s="3">
        <f t="shared" ref="H1154:H1217" si="55">IF($D1154&gt;0,$G1154/$D1154,0)</f>
        <v>0</v>
      </c>
      <c r="I1154" s="3">
        <f t="shared" ref="I1154:I1217" si="56">$E1154*1.1</f>
        <v>0</v>
      </c>
    </row>
    <row r="1155" spans="4:9" x14ac:dyDescent="0.35">
      <c r="D1155" s="2"/>
      <c r="E1155" s="2"/>
      <c r="F1155" s="3"/>
      <c r="G1155" s="3">
        <f t="shared" si="54"/>
        <v>0</v>
      </c>
      <c r="H1155" s="3">
        <f t="shared" si="55"/>
        <v>0</v>
      </c>
      <c r="I1155" s="3">
        <f t="shared" si="56"/>
        <v>0</v>
      </c>
    </row>
    <row r="1156" spans="4:9" x14ac:dyDescent="0.35">
      <c r="D1156" s="2"/>
      <c r="E1156" s="2"/>
      <c r="F1156" s="3"/>
      <c r="G1156" s="3">
        <f t="shared" si="54"/>
        <v>0</v>
      </c>
      <c r="H1156" s="3">
        <f t="shared" si="55"/>
        <v>0</v>
      </c>
      <c r="I1156" s="3">
        <f t="shared" si="56"/>
        <v>0</v>
      </c>
    </row>
    <row r="1157" spans="4:9" x14ac:dyDescent="0.35">
      <c r="D1157" s="2"/>
      <c r="E1157" s="2"/>
      <c r="F1157" s="3"/>
      <c r="G1157" s="3">
        <f t="shared" si="54"/>
        <v>0</v>
      </c>
      <c r="H1157" s="3">
        <f t="shared" si="55"/>
        <v>0</v>
      </c>
      <c r="I1157" s="3">
        <f t="shared" si="56"/>
        <v>0</v>
      </c>
    </row>
    <row r="1158" spans="4:9" x14ac:dyDescent="0.35">
      <c r="D1158" s="2"/>
      <c r="E1158" s="2"/>
      <c r="F1158" s="3"/>
      <c r="G1158" s="3">
        <f t="shared" si="54"/>
        <v>0</v>
      </c>
      <c r="H1158" s="3">
        <f t="shared" si="55"/>
        <v>0</v>
      </c>
      <c r="I1158" s="3">
        <f t="shared" si="56"/>
        <v>0</v>
      </c>
    </row>
    <row r="1159" spans="4:9" x14ac:dyDescent="0.35">
      <c r="D1159" s="2"/>
      <c r="E1159" s="2"/>
      <c r="F1159" s="3"/>
      <c r="G1159" s="3">
        <f t="shared" si="54"/>
        <v>0</v>
      </c>
      <c r="H1159" s="3">
        <f t="shared" si="55"/>
        <v>0</v>
      </c>
      <c r="I1159" s="3">
        <f t="shared" si="56"/>
        <v>0</v>
      </c>
    </row>
    <row r="1160" spans="4:9" x14ac:dyDescent="0.35">
      <c r="D1160" s="2"/>
      <c r="E1160" s="2"/>
      <c r="F1160" s="3"/>
      <c r="G1160" s="3">
        <f t="shared" si="54"/>
        <v>0</v>
      </c>
      <c r="H1160" s="3">
        <f t="shared" si="55"/>
        <v>0</v>
      </c>
      <c r="I1160" s="3">
        <f t="shared" si="56"/>
        <v>0</v>
      </c>
    </row>
    <row r="1161" spans="4:9" x14ac:dyDescent="0.35">
      <c r="D1161" s="2"/>
      <c r="E1161" s="2"/>
      <c r="F1161" s="3"/>
      <c r="G1161" s="3">
        <f t="shared" si="54"/>
        <v>0</v>
      </c>
      <c r="H1161" s="3">
        <f t="shared" si="55"/>
        <v>0</v>
      </c>
      <c r="I1161" s="3">
        <f t="shared" si="56"/>
        <v>0</v>
      </c>
    </row>
    <row r="1162" spans="4:9" x14ac:dyDescent="0.35">
      <c r="D1162" s="2"/>
      <c r="E1162" s="2"/>
      <c r="F1162" s="3"/>
      <c r="G1162" s="3">
        <f t="shared" si="54"/>
        <v>0</v>
      </c>
      <c r="H1162" s="3">
        <f t="shared" si="55"/>
        <v>0</v>
      </c>
      <c r="I1162" s="3">
        <f t="shared" si="56"/>
        <v>0</v>
      </c>
    </row>
    <row r="1163" spans="4:9" x14ac:dyDescent="0.35">
      <c r="D1163" s="2"/>
      <c r="E1163" s="2"/>
      <c r="F1163" s="3"/>
      <c r="G1163" s="3">
        <f t="shared" si="54"/>
        <v>0</v>
      </c>
      <c r="H1163" s="3">
        <f t="shared" si="55"/>
        <v>0</v>
      </c>
      <c r="I1163" s="3">
        <f t="shared" si="56"/>
        <v>0</v>
      </c>
    </row>
    <row r="1164" spans="4:9" x14ac:dyDescent="0.35">
      <c r="D1164" s="2"/>
      <c r="E1164" s="2"/>
      <c r="F1164" s="3"/>
      <c r="G1164" s="3">
        <f t="shared" si="54"/>
        <v>0</v>
      </c>
      <c r="H1164" s="3">
        <f t="shared" si="55"/>
        <v>0</v>
      </c>
      <c r="I1164" s="3">
        <f t="shared" si="56"/>
        <v>0</v>
      </c>
    </row>
    <row r="1165" spans="4:9" x14ac:dyDescent="0.35">
      <c r="D1165" s="2"/>
      <c r="E1165" s="2"/>
      <c r="F1165" s="3"/>
      <c r="G1165" s="3">
        <f t="shared" si="54"/>
        <v>0</v>
      </c>
      <c r="H1165" s="3">
        <f t="shared" si="55"/>
        <v>0</v>
      </c>
      <c r="I1165" s="3">
        <f t="shared" si="56"/>
        <v>0</v>
      </c>
    </row>
    <row r="1166" spans="4:9" x14ac:dyDescent="0.35">
      <c r="D1166" s="2"/>
      <c r="E1166" s="2"/>
      <c r="F1166" s="3"/>
      <c r="G1166" s="3">
        <f t="shared" si="54"/>
        <v>0</v>
      </c>
      <c r="H1166" s="3">
        <f t="shared" si="55"/>
        <v>0</v>
      </c>
      <c r="I1166" s="3">
        <f t="shared" si="56"/>
        <v>0</v>
      </c>
    </row>
    <row r="1167" spans="4:9" x14ac:dyDescent="0.35">
      <c r="D1167" s="2"/>
      <c r="E1167" s="2"/>
      <c r="F1167" s="3"/>
      <c r="G1167" s="3">
        <f t="shared" si="54"/>
        <v>0</v>
      </c>
      <c r="H1167" s="3">
        <f t="shared" si="55"/>
        <v>0</v>
      </c>
      <c r="I1167" s="3">
        <f t="shared" si="56"/>
        <v>0</v>
      </c>
    </row>
    <row r="1168" spans="4:9" x14ac:dyDescent="0.35">
      <c r="D1168" s="2"/>
      <c r="E1168" s="2"/>
      <c r="F1168" s="3"/>
      <c r="G1168" s="3">
        <f t="shared" si="54"/>
        <v>0</v>
      </c>
      <c r="H1168" s="3">
        <f t="shared" si="55"/>
        <v>0</v>
      </c>
      <c r="I1168" s="3">
        <f t="shared" si="56"/>
        <v>0</v>
      </c>
    </row>
    <row r="1169" spans="4:9" x14ac:dyDescent="0.35">
      <c r="D1169" s="2"/>
      <c r="E1169" s="2"/>
      <c r="F1169" s="3"/>
      <c r="G1169" s="3">
        <f t="shared" si="54"/>
        <v>0</v>
      </c>
      <c r="H1169" s="3">
        <f t="shared" si="55"/>
        <v>0</v>
      </c>
      <c r="I1169" s="3">
        <f t="shared" si="56"/>
        <v>0</v>
      </c>
    </row>
    <row r="1170" spans="4:9" x14ac:dyDescent="0.35">
      <c r="D1170" s="2"/>
      <c r="E1170" s="2"/>
      <c r="F1170" s="3"/>
      <c r="G1170" s="3">
        <f t="shared" si="54"/>
        <v>0</v>
      </c>
      <c r="H1170" s="3">
        <f t="shared" si="55"/>
        <v>0</v>
      </c>
      <c r="I1170" s="3">
        <f t="shared" si="56"/>
        <v>0</v>
      </c>
    </row>
    <row r="1171" spans="4:9" x14ac:dyDescent="0.35">
      <c r="D1171" s="2"/>
      <c r="E1171" s="2"/>
      <c r="F1171" s="3"/>
      <c r="G1171" s="3">
        <f t="shared" si="54"/>
        <v>0</v>
      </c>
      <c r="H1171" s="3">
        <f t="shared" si="55"/>
        <v>0</v>
      </c>
      <c r="I1171" s="3">
        <f t="shared" si="56"/>
        <v>0</v>
      </c>
    </row>
    <row r="1172" spans="4:9" x14ac:dyDescent="0.35">
      <c r="D1172" s="2"/>
      <c r="E1172" s="2"/>
      <c r="F1172" s="3"/>
      <c r="G1172" s="3">
        <f t="shared" si="54"/>
        <v>0</v>
      </c>
      <c r="H1172" s="3">
        <f t="shared" si="55"/>
        <v>0</v>
      </c>
      <c r="I1172" s="3">
        <f t="shared" si="56"/>
        <v>0</v>
      </c>
    </row>
    <row r="1173" spans="4:9" x14ac:dyDescent="0.35">
      <c r="D1173" s="2"/>
      <c r="E1173" s="2"/>
      <c r="F1173" s="3"/>
      <c r="G1173" s="3">
        <f t="shared" si="54"/>
        <v>0</v>
      </c>
      <c r="H1173" s="3">
        <f t="shared" si="55"/>
        <v>0</v>
      </c>
      <c r="I1173" s="3">
        <f t="shared" si="56"/>
        <v>0</v>
      </c>
    </row>
    <row r="1174" spans="4:9" x14ac:dyDescent="0.35">
      <c r="D1174" s="2"/>
      <c r="E1174" s="2"/>
      <c r="F1174" s="3"/>
      <c r="G1174" s="3">
        <f t="shared" si="54"/>
        <v>0</v>
      </c>
      <c r="H1174" s="3">
        <f t="shared" si="55"/>
        <v>0</v>
      </c>
      <c r="I1174" s="3">
        <f t="shared" si="56"/>
        <v>0</v>
      </c>
    </row>
    <row r="1175" spans="4:9" x14ac:dyDescent="0.35">
      <c r="D1175" s="2"/>
      <c r="E1175" s="2"/>
      <c r="F1175" s="3"/>
      <c r="G1175" s="3">
        <f t="shared" si="54"/>
        <v>0</v>
      </c>
      <c r="H1175" s="3">
        <f t="shared" si="55"/>
        <v>0</v>
      </c>
      <c r="I1175" s="3">
        <f t="shared" si="56"/>
        <v>0</v>
      </c>
    </row>
    <row r="1176" spans="4:9" x14ac:dyDescent="0.35">
      <c r="D1176" s="2"/>
      <c r="E1176" s="2"/>
      <c r="F1176" s="3"/>
      <c r="G1176" s="3">
        <f t="shared" si="54"/>
        <v>0</v>
      </c>
      <c r="H1176" s="3">
        <f t="shared" si="55"/>
        <v>0</v>
      </c>
      <c r="I1176" s="3">
        <f t="shared" si="56"/>
        <v>0</v>
      </c>
    </row>
    <row r="1177" spans="4:9" x14ac:dyDescent="0.35">
      <c r="D1177" s="2"/>
      <c r="E1177" s="2"/>
      <c r="F1177" s="3"/>
      <c r="G1177" s="3">
        <f t="shared" si="54"/>
        <v>0</v>
      </c>
      <c r="H1177" s="3">
        <f t="shared" si="55"/>
        <v>0</v>
      </c>
      <c r="I1177" s="3">
        <f t="shared" si="56"/>
        <v>0</v>
      </c>
    </row>
    <row r="1178" spans="4:9" x14ac:dyDescent="0.35">
      <c r="D1178" s="2"/>
      <c r="E1178" s="2"/>
      <c r="F1178" s="3"/>
      <c r="G1178" s="3">
        <f t="shared" si="54"/>
        <v>0</v>
      </c>
      <c r="H1178" s="3">
        <f t="shared" si="55"/>
        <v>0</v>
      </c>
      <c r="I1178" s="3">
        <f t="shared" si="56"/>
        <v>0</v>
      </c>
    </row>
    <row r="1179" spans="4:9" x14ac:dyDescent="0.35">
      <c r="D1179" s="2"/>
      <c r="E1179" s="2"/>
      <c r="F1179" s="3"/>
      <c r="G1179" s="3">
        <f t="shared" si="54"/>
        <v>0</v>
      </c>
      <c r="H1179" s="3">
        <f t="shared" si="55"/>
        <v>0</v>
      </c>
      <c r="I1179" s="3">
        <f t="shared" si="56"/>
        <v>0</v>
      </c>
    </row>
    <row r="1180" spans="4:9" x14ac:dyDescent="0.35">
      <c r="D1180" s="2"/>
      <c r="E1180" s="2"/>
      <c r="F1180" s="3"/>
      <c r="G1180" s="3">
        <f t="shared" si="54"/>
        <v>0</v>
      </c>
      <c r="H1180" s="3">
        <f t="shared" si="55"/>
        <v>0</v>
      </c>
      <c r="I1180" s="3">
        <f t="shared" si="56"/>
        <v>0</v>
      </c>
    </row>
    <row r="1181" spans="4:9" x14ac:dyDescent="0.35">
      <c r="D1181" s="2"/>
      <c r="E1181" s="2"/>
      <c r="F1181" s="3"/>
      <c r="G1181" s="3">
        <f t="shared" si="54"/>
        <v>0</v>
      </c>
      <c r="H1181" s="3">
        <f t="shared" si="55"/>
        <v>0</v>
      </c>
      <c r="I1181" s="3">
        <f t="shared" si="56"/>
        <v>0</v>
      </c>
    </row>
    <row r="1182" spans="4:9" x14ac:dyDescent="0.35">
      <c r="D1182" s="2"/>
      <c r="E1182" s="2"/>
      <c r="F1182" s="3"/>
      <c r="G1182" s="3">
        <f t="shared" si="54"/>
        <v>0</v>
      </c>
      <c r="H1182" s="3">
        <f t="shared" si="55"/>
        <v>0</v>
      </c>
      <c r="I1182" s="3">
        <f t="shared" si="56"/>
        <v>0</v>
      </c>
    </row>
    <row r="1183" spans="4:9" x14ac:dyDescent="0.35">
      <c r="D1183" s="2"/>
      <c r="E1183" s="2"/>
      <c r="F1183" s="3"/>
      <c r="G1183" s="3">
        <f t="shared" si="54"/>
        <v>0</v>
      </c>
      <c r="H1183" s="3">
        <f t="shared" si="55"/>
        <v>0</v>
      </c>
      <c r="I1183" s="3">
        <f t="shared" si="56"/>
        <v>0</v>
      </c>
    </row>
    <row r="1184" spans="4:9" x14ac:dyDescent="0.35">
      <c r="D1184" s="2"/>
      <c r="E1184" s="2"/>
      <c r="F1184" s="3"/>
      <c r="G1184" s="3">
        <f t="shared" si="54"/>
        <v>0</v>
      </c>
      <c r="H1184" s="3">
        <f t="shared" si="55"/>
        <v>0</v>
      </c>
      <c r="I1184" s="3">
        <f t="shared" si="56"/>
        <v>0</v>
      </c>
    </row>
    <row r="1185" spans="4:9" x14ac:dyDescent="0.35">
      <c r="D1185" s="2"/>
      <c r="E1185" s="2"/>
      <c r="F1185" s="3"/>
      <c r="G1185" s="3">
        <f t="shared" si="54"/>
        <v>0</v>
      </c>
      <c r="H1185" s="3">
        <f t="shared" si="55"/>
        <v>0</v>
      </c>
      <c r="I1185" s="3">
        <f t="shared" si="56"/>
        <v>0</v>
      </c>
    </row>
    <row r="1186" spans="4:9" x14ac:dyDescent="0.35">
      <c r="D1186" s="2"/>
      <c r="E1186" s="2"/>
      <c r="F1186" s="3"/>
      <c r="G1186" s="3">
        <f t="shared" si="54"/>
        <v>0</v>
      </c>
      <c r="H1186" s="3">
        <f t="shared" si="55"/>
        <v>0</v>
      </c>
      <c r="I1186" s="3">
        <f t="shared" si="56"/>
        <v>0</v>
      </c>
    </row>
    <row r="1187" spans="4:9" x14ac:dyDescent="0.35">
      <c r="D1187" s="2"/>
      <c r="E1187" s="2"/>
      <c r="F1187" s="3"/>
      <c r="G1187" s="3">
        <f t="shared" si="54"/>
        <v>0</v>
      </c>
      <c r="H1187" s="3">
        <f t="shared" si="55"/>
        <v>0</v>
      </c>
      <c r="I1187" s="3">
        <f t="shared" si="56"/>
        <v>0</v>
      </c>
    </row>
    <row r="1188" spans="4:9" x14ac:dyDescent="0.35">
      <c r="D1188" s="2"/>
      <c r="E1188" s="2"/>
      <c r="F1188" s="3"/>
      <c r="G1188" s="3">
        <f t="shared" si="54"/>
        <v>0</v>
      </c>
      <c r="H1188" s="3">
        <f t="shared" si="55"/>
        <v>0</v>
      </c>
      <c r="I1188" s="3">
        <f t="shared" si="56"/>
        <v>0</v>
      </c>
    </row>
    <row r="1189" spans="4:9" x14ac:dyDescent="0.35">
      <c r="D1189" s="2"/>
      <c r="E1189" s="2"/>
      <c r="F1189" s="3"/>
      <c r="G1189" s="3">
        <f t="shared" si="54"/>
        <v>0</v>
      </c>
      <c r="H1189" s="3">
        <f t="shared" si="55"/>
        <v>0</v>
      </c>
      <c r="I1189" s="3">
        <f t="shared" si="56"/>
        <v>0</v>
      </c>
    </row>
    <row r="1190" spans="4:9" x14ac:dyDescent="0.35">
      <c r="D1190" s="2"/>
      <c r="E1190" s="2"/>
      <c r="F1190" s="3"/>
      <c r="G1190" s="3">
        <f t="shared" si="54"/>
        <v>0</v>
      </c>
      <c r="H1190" s="3">
        <f t="shared" si="55"/>
        <v>0</v>
      </c>
      <c r="I1190" s="3">
        <f t="shared" si="56"/>
        <v>0</v>
      </c>
    </row>
    <row r="1191" spans="4:9" x14ac:dyDescent="0.35">
      <c r="D1191" s="2"/>
      <c r="E1191" s="2"/>
      <c r="F1191" s="3"/>
      <c r="G1191" s="3">
        <f t="shared" si="54"/>
        <v>0</v>
      </c>
      <c r="H1191" s="3">
        <f t="shared" si="55"/>
        <v>0</v>
      </c>
      <c r="I1191" s="3">
        <f t="shared" si="56"/>
        <v>0</v>
      </c>
    </row>
    <row r="1192" spans="4:9" x14ac:dyDescent="0.35">
      <c r="D1192" s="2"/>
      <c r="E1192" s="2"/>
      <c r="F1192" s="3"/>
      <c r="G1192" s="3">
        <f t="shared" si="54"/>
        <v>0</v>
      </c>
      <c r="H1192" s="3">
        <f t="shared" si="55"/>
        <v>0</v>
      </c>
      <c r="I1192" s="3">
        <f t="shared" si="56"/>
        <v>0</v>
      </c>
    </row>
    <row r="1193" spans="4:9" x14ac:dyDescent="0.35">
      <c r="D1193" s="2"/>
      <c r="E1193" s="2"/>
      <c r="F1193" s="3"/>
      <c r="G1193" s="3">
        <f t="shared" si="54"/>
        <v>0</v>
      </c>
      <c r="H1193" s="3">
        <f t="shared" si="55"/>
        <v>0</v>
      </c>
      <c r="I1193" s="3">
        <f t="shared" si="56"/>
        <v>0</v>
      </c>
    </row>
    <row r="1194" spans="4:9" x14ac:dyDescent="0.35">
      <c r="D1194" s="2"/>
      <c r="E1194" s="2"/>
      <c r="F1194" s="3"/>
      <c r="G1194" s="3">
        <f t="shared" si="54"/>
        <v>0</v>
      </c>
      <c r="H1194" s="3">
        <f t="shared" si="55"/>
        <v>0</v>
      </c>
      <c r="I1194" s="3">
        <f t="shared" si="56"/>
        <v>0</v>
      </c>
    </row>
    <row r="1195" spans="4:9" x14ac:dyDescent="0.35">
      <c r="D1195" s="2"/>
      <c r="E1195" s="2"/>
      <c r="F1195" s="3"/>
      <c r="G1195" s="3">
        <f t="shared" si="54"/>
        <v>0</v>
      </c>
      <c r="H1195" s="3">
        <f t="shared" si="55"/>
        <v>0</v>
      </c>
      <c r="I1195" s="3">
        <f t="shared" si="56"/>
        <v>0</v>
      </c>
    </row>
    <row r="1196" spans="4:9" x14ac:dyDescent="0.35">
      <c r="D1196" s="2"/>
      <c r="E1196" s="2"/>
      <c r="F1196" s="3"/>
      <c r="G1196" s="3">
        <f t="shared" si="54"/>
        <v>0</v>
      </c>
      <c r="H1196" s="3">
        <f t="shared" si="55"/>
        <v>0</v>
      </c>
      <c r="I1196" s="3">
        <f t="shared" si="56"/>
        <v>0</v>
      </c>
    </row>
    <row r="1197" spans="4:9" x14ac:dyDescent="0.35">
      <c r="D1197" s="2"/>
      <c r="E1197" s="2"/>
      <c r="F1197" s="3"/>
      <c r="G1197" s="3">
        <f t="shared" si="54"/>
        <v>0</v>
      </c>
      <c r="H1197" s="3">
        <f t="shared" si="55"/>
        <v>0</v>
      </c>
      <c r="I1197" s="3">
        <f t="shared" si="56"/>
        <v>0</v>
      </c>
    </row>
    <row r="1198" spans="4:9" x14ac:dyDescent="0.35">
      <c r="D1198" s="2"/>
      <c r="E1198" s="2"/>
      <c r="F1198" s="3"/>
      <c r="G1198" s="3">
        <f t="shared" si="54"/>
        <v>0</v>
      </c>
      <c r="H1198" s="3">
        <f t="shared" si="55"/>
        <v>0</v>
      </c>
      <c r="I1198" s="3">
        <f t="shared" si="56"/>
        <v>0</v>
      </c>
    </row>
    <row r="1199" spans="4:9" x14ac:dyDescent="0.35">
      <c r="D1199" s="2"/>
      <c r="E1199" s="2"/>
      <c r="F1199" s="3"/>
      <c r="G1199" s="3">
        <f t="shared" si="54"/>
        <v>0</v>
      </c>
      <c r="H1199" s="3">
        <f t="shared" si="55"/>
        <v>0</v>
      </c>
      <c r="I1199" s="3">
        <f t="shared" si="56"/>
        <v>0</v>
      </c>
    </row>
    <row r="1200" spans="4:9" x14ac:dyDescent="0.35">
      <c r="D1200" s="2"/>
      <c r="E1200" s="2"/>
      <c r="F1200" s="3"/>
      <c r="G1200" s="3">
        <f t="shared" si="54"/>
        <v>0</v>
      </c>
      <c r="H1200" s="3">
        <f t="shared" si="55"/>
        <v>0</v>
      </c>
      <c r="I1200" s="3">
        <f t="shared" si="56"/>
        <v>0</v>
      </c>
    </row>
    <row r="1201" spans="4:9" x14ac:dyDescent="0.35">
      <c r="D1201" s="2"/>
      <c r="E1201" s="2"/>
      <c r="F1201" s="3"/>
      <c r="G1201" s="3">
        <f t="shared" si="54"/>
        <v>0</v>
      </c>
      <c r="H1201" s="3">
        <f t="shared" si="55"/>
        <v>0</v>
      </c>
      <c r="I1201" s="3">
        <f t="shared" si="56"/>
        <v>0</v>
      </c>
    </row>
    <row r="1202" spans="4:9" x14ac:dyDescent="0.35">
      <c r="D1202" s="2"/>
      <c r="E1202" s="2"/>
      <c r="F1202" s="3"/>
      <c r="G1202" s="3">
        <f t="shared" si="54"/>
        <v>0</v>
      </c>
      <c r="H1202" s="3">
        <f t="shared" si="55"/>
        <v>0</v>
      </c>
      <c r="I1202" s="3">
        <f t="shared" si="56"/>
        <v>0</v>
      </c>
    </row>
    <row r="1203" spans="4:9" x14ac:dyDescent="0.35">
      <c r="D1203" s="2"/>
      <c r="E1203" s="2"/>
      <c r="F1203" s="3"/>
      <c r="G1203" s="3">
        <f t="shared" si="54"/>
        <v>0</v>
      </c>
      <c r="H1203" s="3">
        <f t="shared" si="55"/>
        <v>0</v>
      </c>
      <c r="I1203" s="3">
        <f t="shared" si="56"/>
        <v>0</v>
      </c>
    </row>
    <row r="1204" spans="4:9" x14ac:dyDescent="0.35">
      <c r="D1204" s="2"/>
      <c r="E1204" s="2"/>
      <c r="F1204" s="3"/>
      <c r="G1204" s="3">
        <f t="shared" si="54"/>
        <v>0</v>
      </c>
      <c r="H1204" s="3">
        <f t="shared" si="55"/>
        <v>0</v>
      </c>
      <c r="I1204" s="3">
        <f t="shared" si="56"/>
        <v>0</v>
      </c>
    </row>
    <row r="1205" spans="4:9" x14ac:dyDescent="0.35">
      <c r="D1205" s="2"/>
      <c r="E1205" s="2"/>
      <c r="F1205" s="3"/>
      <c r="G1205" s="3">
        <f t="shared" si="54"/>
        <v>0</v>
      </c>
      <c r="H1205" s="3">
        <f t="shared" si="55"/>
        <v>0</v>
      </c>
      <c r="I1205" s="3">
        <f t="shared" si="56"/>
        <v>0</v>
      </c>
    </row>
    <row r="1206" spans="4:9" x14ac:dyDescent="0.35">
      <c r="D1206" s="2"/>
      <c r="E1206" s="2"/>
      <c r="F1206" s="3"/>
      <c r="G1206" s="3">
        <f t="shared" si="54"/>
        <v>0</v>
      </c>
      <c r="H1206" s="3">
        <f t="shared" si="55"/>
        <v>0</v>
      </c>
      <c r="I1206" s="3">
        <f t="shared" si="56"/>
        <v>0</v>
      </c>
    </row>
    <row r="1207" spans="4:9" x14ac:dyDescent="0.35">
      <c r="D1207" s="2"/>
      <c r="E1207" s="2"/>
      <c r="F1207" s="3"/>
      <c r="G1207" s="3">
        <f t="shared" si="54"/>
        <v>0</v>
      </c>
      <c r="H1207" s="3">
        <f t="shared" si="55"/>
        <v>0</v>
      </c>
      <c r="I1207" s="3">
        <f t="shared" si="56"/>
        <v>0</v>
      </c>
    </row>
    <row r="1208" spans="4:9" x14ac:dyDescent="0.35">
      <c r="D1208" s="2"/>
      <c r="E1208" s="2"/>
      <c r="F1208" s="3"/>
      <c r="G1208" s="3">
        <f t="shared" si="54"/>
        <v>0</v>
      </c>
      <c r="H1208" s="3">
        <f t="shared" si="55"/>
        <v>0</v>
      </c>
      <c r="I1208" s="3">
        <f t="shared" si="56"/>
        <v>0</v>
      </c>
    </row>
    <row r="1209" spans="4:9" x14ac:dyDescent="0.35">
      <c r="D1209" s="2"/>
      <c r="E1209" s="2"/>
      <c r="F1209" s="3"/>
      <c r="G1209" s="3">
        <f t="shared" si="54"/>
        <v>0</v>
      </c>
      <c r="H1209" s="3">
        <f t="shared" si="55"/>
        <v>0</v>
      </c>
      <c r="I1209" s="3">
        <f t="shared" si="56"/>
        <v>0</v>
      </c>
    </row>
    <row r="1210" spans="4:9" x14ac:dyDescent="0.35">
      <c r="D1210" s="2"/>
      <c r="E1210" s="2"/>
      <c r="F1210" s="3"/>
      <c r="G1210" s="3">
        <f t="shared" si="54"/>
        <v>0</v>
      </c>
      <c r="H1210" s="3">
        <f t="shared" si="55"/>
        <v>0</v>
      </c>
      <c r="I1210" s="3">
        <f t="shared" si="56"/>
        <v>0</v>
      </c>
    </row>
    <row r="1211" spans="4:9" x14ac:dyDescent="0.35">
      <c r="D1211" s="2"/>
      <c r="E1211" s="2"/>
      <c r="F1211" s="3"/>
      <c r="G1211" s="3">
        <f t="shared" si="54"/>
        <v>0</v>
      </c>
      <c r="H1211" s="3">
        <f t="shared" si="55"/>
        <v>0</v>
      </c>
      <c r="I1211" s="3">
        <f t="shared" si="56"/>
        <v>0</v>
      </c>
    </row>
    <row r="1212" spans="4:9" x14ac:dyDescent="0.35">
      <c r="D1212" s="2"/>
      <c r="E1212" s="2"/>
      <c r="F1212" s="3"/>
      <c r="G1212" s="3">
        <f t="shared" si="54"/>
        <v>0</v>
      </c>
      <c r="H1212" s="3">
        <f t="shared" si="55"/>
        <v>0</v>
      </c>
      <c r="I1212" s="3">
        <f t="shared" si="56"/>
        <v>0</v>
      </c>
    </row>
    <row r="1213" spans="4:9" x14ac:dyDescent="0.35">
      <c r="D1213" s="2"/>
      <c r="E1213" s="2"/>
      <c r="F1213" s="3"/>
      <c r="G1213" s="3">
        <f t="shared" si="54"/>
        <v>0</v>
      </c>
      <c r="H1213" s="3">
        <f t="shared" si="55"/>
        <v>0</v>
      </c>
      <c r="I1213" s="3">
        <f t="shared" si="56"/>
        <v>0</v>
      </c>
    </row>
    <row r="1214" spans="4:9" x14ac:dyDescent="0.35">
      <c r="D1214" s="2"/>
      <c r="E1214" s="2"/>
      <c r="F1214" s="3"/>
      <c r="G1214" s="3">
        <f t="shared" si="54"/>
        <v>0</v>
      </c>
      <c r="H1214" s="3">
        <f t="shared" si="55"/>
        <v>0</v>
      </c>
      <c r="I1214" s="3">
        <f t="shared" si="56"/>
        <v>0</v>
      </c>
    </row>
    <row r="1215" spans="4:9" x14ac:dyDescent="0.35">
      <c r="D1215" s="2"/>
      <c r="E1215" s="2"/>
      <c r="F1215" s="3"/>
      <c r="G1215" s="3">
        <f t="shared" si="54"/>
        <v>0</v>
      </c>
      <c r="H1215" s="3">
        <f t="shared" si="55"/>
        <v>0</v>
      </c>
      <c r="I1215" s="3">
        <f t="shared" si="56"/>
        <v>0</v>
      </c>
    </row>
    <row r="1216" spans="4:9" x14ac:dyDescent="0.35">
      <c r="D1216" s="2"/>
      <c r="E1216" s="2"/>
      <c r="F1216" s="3"/>
      <c r="G1216" s="3">
        <f t="shared" si="54"/>
        <v>0</v>
      </c>
      <c r="H1216" s="3">
        <f t="shared" si="55"/>
        <v>0</v>
      </c>
      <c r="I1216" s="3">
        <f t="shared" si="56"/>
        <v>0</v>
      </c>
    </row>
    <row r="1217" spans="4:9" x14ac:dyDescent="0.35">
      <c r="D1217" s="2"/>
      <c r="E1217" s="2"/>
      <c r="F1217" s="3"/>
      <c r="G1217" s="3">
        <f t="shared" si="54"/>
        <v>0</v>
      </c>
      <c r="H1217" s="3">
        <f t="shared" si="55"/>
        <v>0</v>
      </c>
      <c r="I1217" s="3">
        <f t="shared" si="56"/>
        <v>0</v>
      </c>
    </row>
    <row r="1218" spans="4:9" x14ac:dyDescent="0.35">
      <c r="D1218" s="2"/>
      <c r="E1218" s="2"/>
      <c r="F1218" s="3"/>
      <c r="G1218" s="3">
        <f t="shared" ref="G1218:G1281" si="57">IF($F1218&gt;0,$E1218/(1-$F1218),0)</f>
        <v>0</v>
      </c>
      <c r="H1218" s="3">
        <f t="shared" ref="H1218:H1281" si="58">IF($D1218&gt;0,$G1218/$D1218,0)</f>
        <v>0</v>
      </c>
      <c r="I1218" s="3">
        <f t="shared" ref="I1218:I1281" si="59">$E1218*1.1</f>
        <v>0</v>
      </c>
    </row>
    <row r="1219" spans="4:9" x14ac:dyDescent="0.35">
      <c r="D1219" s="2"/>
      <c r="E1219" s="2"/>
      <c r="F1219" s="3"/>
      <c r="G1219" s="3">
        <f t="shared" si="57"/>
        <v>0</v>
      </c>
      <c r="H1219" s="3">
        <f t="shared" si="58"/>
        <v>0</v>
      </c>
      <c r="I1219" s="3">
        <f t="shared" si="59"/>
        <v>0</v>
      </c>
    </row>
    <row r="1220" spans="4:9" x14ac:dyDescent="0.35">
      <c r="D1220" s="2"/>
      <c r="E1220" s="2"/>
      <c r="F1220" s="3"/>
      <c r="G1220" s="3">
        <f t="shared" si="57"/>
        <v>0</v>
      </c>
      <c r="H1220" s="3">
        <f t="shared" si="58"/>
        <v>0</v>
      </c>
      <c r="I1220" s="3">
        <f t="shared" si="59"/>
        <v>0</v>
      </c>
    </row>
    <row r="1221" spans="4:9" x14ac:dyDescent="0.35">
      <c r="D1221" s="2"/>
      <c r="E1221" s="2"/>
      <c r="F1221" s="3"/>
      <c r="G1221" s="3">
        <f t="shared" si="57"/>
        <v>0</v>
      </c>
      <c r="H1221" s="3">
        <f t="shared" si="58"/>
        <v>0</v>
      </c>
      <c r="I1221" s="3">
        <f t="shared" si="59"/>
        <v>0</v>
      </c>
    </row>
    <row r="1222" spans="4:9" x14ac:dyDescent="0.35">
      <c r="D1222" s="2"/>
      <c r="E1222" s="2"/>
      <c r="F1222" s="3"/>
      <c r="G1222" s="3">
        <f t="shared" si="57"/>
        <v>0</v>
      </c>
      <c r="H1222" s="3">
        <f t="shared" si="58"/>
        <v>0</v>
      </c>
      <c r="I1222" s="3">
        <f t="shared" si="59"/>
        <v>0</v>
      </c>
    </row>
    <row r="1223" spans="4:9" x14ac:dyDescent="0.35">
      <c r="D1223" s="2"/>
      <c r="E1223" s="2"/>
      <c r="F1223" s="3"/>
      <c r="G1223" s="3">
        <f t="shared" si="57"/>
        <v>0</v>
      </c>
      <c r="H1223" s="3">
        <f t="shared" si="58"/>
        <v>0</v>
      </c>
      <c r="I1223" s="3">
        <f t="shared" si="59"/>
        <v>0</v>
      </c>
    </row>
    <row r="1224" spans="4:9" x14ac:dyDescent="0.35">
      <c r="D1224" s="2"/>
      <c r="E1224" s="2"/>
      <c r="F1224" s="3"/>
      <c r="G1224" s="3">
        <f t="shared" si="57"/>
        <v>0</v>
      </c>
      <c r="H1224" s="3">
        <f t="shared" si="58"/>
        <v>0</v>
      </c>
      <c r="I1224" s="3">
        <f t="shared" si="59"/>
        <v>0</v>
      </c>
    </row>
    <row r="1225" spans="4:9" x14ac:dyDescent="0.35">
      <c r="D1225" s="2"/>
      <c r="E1225" s="2"/>
      <c r="F1225" s="3"/>
      <c r="G1225" s="3">
        <f t="shared" si="57"/>
        <v>0</v>
      </c>
      <c r="H1225" s="3">
        <f t="shared" si="58"/>
        <v>0</v>
      </c>
      <c r="I1225" s="3">
        <f t="shared" si="59"/>
        <v>0</v>
      </c>
    </row>
    <row r="1226" spans="4:9" x14ac:dyDescent="0.35">
      <c r="D1226" s="2"/>
      <c r="E1226" s="2"/>
      <c r="F1226" s="3"/>
      <c r="G1226" s="3">
        <f t="shared" si="57"/>
        <v>0</v>
      </c>
      <c r="H1226" s="3">
        <f t="shared" si="58"/>
        <v>0</v>
      </c>
      <c r="I1226" s="3">
        <f t="shared" si="59"/>
        <v>0</v>
      </c>
    </row>
    <row r="1227" spans="4:9" x14ac:dyDescent="0.35">
      <c r="D1227" s="2"/>
      <c r="E1227" s="2"/>
      <c r="F1227" s="3"/>
      <c r="G1227" s="3">
        <f t="shared" si="57"/>
        <v>0</v>
      </c>
      <c r="H1227" s="3">
        <f t="shared" si="58"/>
        <v>0</v>
      </c>
      <c r="I1227" s="3">
        <f t="shared" si="59"/>
        <v>0</v>
      </c>
    </row>
    <row r="1228" spans="4:9" x14ac:dyDescent="0.35">
      <c r="D1228" s="2"/>
      <c r="E1228" s="2"/>
      <c r="F1228" s="3"/>
      <c r="G1228" s="3">
        <f t="shared" si="57"/>
        <v>0</v>
      </c>
      <c r="H1228" s="3">
        <f t="shared" si="58"/>
        <v>0</v>
      </c>
      <c r="I1228" s="3">
        <f t="shared" si="59"/>
        <v>0</v>
      </c>
    </row>
    <row r="1229" spans="4:9" x14ac:dyDescent="0.35">
      <c r="D1229" s="2"/>
      <c r="E1229" s="2"/>
      <c r="F1229" s="3"/>
      <c r="G1229" s="3">
        <f t="shared" si="57"/>
        <v>0</v>
      </c>
      <c r="H1229" s="3">
        <f t="shared" si="58"/>
        <v>0</v>
      </c>
      <c r="I1229" s="3">
        <f t="shared" si="59"/>
        <v>0</v>
      </c>
    </row>
    <row r="1230" spans="4:9" x14ac:dyDescent="0.35">
      <c r="D1230" s="2"/>
      <c r="E1230" s="2"/>
      <c r="F1230" s="3"/>
      <c r="G1230" s="3">
        <f t="shared" si="57"/>
        <v>0</v>
      </c>
      <c r="H1230" s="3">
        <f t="shared" si="58"/>
        <v>0</v>
      </c>
      <c r="I1230" s="3">
        <f t="shared" si="59"/>
        <v>0</v>
      </c>
    </row>
    <row r="1231" spans="4:9" x14ac:dyDescent="0.35">
      <c r="D1231" s="2"/>
      <c r="E1231" s="2"/>
      <c r="F1231" s="3"/>
      <c r="G1231" s="3">
        <f t="shared" si="57"/>
        <v>0</v>
      </c>
      <c r="H1231" s="3">
        <f t="shared" si="58"/>
        <v>0</v>
      </c>
      <c r="I1231" s="3">
        <f t="shared" si="59"/>
        <v>0</v>
      </c>
    </row>
    <row r="1232" spans="4:9" x14ac:dyDescent="0.35">
      <c r="D1232" s="2"/>
      <c r="E1232" s="2"/>
      <c r="F1232" s="3"/>
      <c r="G1232" s="3">
        <f t="shared" si="57"/>
        <v>0</v>
      </c>
      <c r="H1232" s="3">
        <f t="shared" si="58"/>
        <v>0</v>
      </c>
      <c r="I1232" s="3">
        <f t="shared" si="59"/>
        <v>0</v>
      </c>
    </row>
    <row r="1233" spans="4:9" x14ac:dyDescent="0.35">
      <c r="D1233" s="2"/>
      <c r="E1233" s="2"/>
      <c r="F1233" s="3"/>
      <c r="G1233" s="3">
        <f t="shared" si="57"/>
        <v>0</v>
      </c>
      <c r="H1233" s="3">
        <f t="shared" si="58"/>
        <v>0</v>
      </c>
      <c r="I1233" s="3">
        <f t="shared" si="59"/>
        <v>0</v>
      </c>
    </row>
    <row r="1234" spans="4:9" x14ac:dyDescent="0.35">
      <c r="D1234" s="2"/>
      <c r="E1234" s="2"/>
      <c r="F1234" s="3"/>
      <c r="G1234" s="3">
        <f t="shared" si="57"/>
        <v>0</v>
      </c>
      <c r="H1234" s="3">
        <f t="shared" si="58"/>
        <v>0</v>
      </c>
      <c r="I1234" s="3">
        <f t="shared" si="59"/>
        <v>0</v>
      </c>
    </row>
    <row r="1235" spans="4:9" x14ac:dyDescent="0.35">
      <c r="D1235" s="2"/>
      <c r="E1235" s="2"/>
      <c r="F1235" s="3"/>
      <c r="G1235" s="3">
        <f t="shared" si="57"/>
        <v>0</v>
      </c>
      <c r="H1235" s="3">
        <f t="shared" si="58"/>
        <v>0</v>
      </c>
      <c r="I1235" s="3">
        <f t="shared" si="59"/>
        <v>0</v>
      </c>
    </row>
    <row r="1236" spans="4:9" x14ac:dyDescent="0.35">
      <c r="D1236" s="2"/>
      <c r="E1236" s="2"/>
      <c r="F1236" s="3"/>
      <c r="G1236" s="3">
        <f t="shared" si="57"/>
        <v>0</v>
      </c>
      <c r="H1236" s="3">
        <f t="shared" si="58"/>
        <v>0</v>
      </c>
      <c r="I1236" s="3">
        <f t="shared" si="59"/>
        <v>0</v>
      </c>
    </row>
    <row r="1237" spans="4:9" x14ac:dyDescent="0.35">
      <c r="D1237" s="2"/>
      <c r="E1237" s="2"/>
      <c r="F1237" s="3"/>
      <c r="G1237" s="3">
        <f t="shared" si="57"/>
        <v>0</v>
      </c>
      <c r="H1237" s="3">
        <f t="shared" si="58"/>
        <v>0</v>
      </c>
      <c r="I1237" s="3">
        <f t="shared" si="59"/>
        <v>0</v>
      </c>
    </row>
    <row r="1238" spans="4:9" x14ac:dyDescent="0.35">
      <c r="D1238" s="2"/>
      <c r="E1238" s="2"/>
      <c r="F1238" s="3"/>
      <c r="G1238" s="3">
        <f t="shared" si="57"/>
        <v>0</v>
      </c>
      <c r="H1238" s="3">
        <f t="shared" si="58"/>
        <v>0</v>
      </c>
      <c r="I1238" s="3">
        <f t="shared" si="59"/>
        <v>0</v>
      </c>
    </row>
    <row r="1239" spans="4:9" x14ac:dyDescent="0.35">
      <c r="D1239" s="2"/>
      <c r="E1239" s="2"/>
      <c r="F1239" s="3"/>
      <c r="G1239" s="3">
        <f t="shared" si="57"/>
        <v>0</v>
      </c>
      <c r="H1239" s="3">
        <f t="shared" si="58"/>
        <v>0</v>
      </c>
      <c r="I1239" s="3">
        <f t="shared" si="59"/>
        <v>0</v>
      </c>
    </row>
    <row r="1240" spans="4:9" x14ac:dyDescent="0.35">
      <c r="D1240" s="2"/>
      <c r="E1240" s="2"/>
      <c r="F1240" s="3"/>
      <c r="G1240" s="3">
        <f t="shared" si="57"/>
        <v>0</v>
      </c>
      <c r="H1240" s="3">
        <f t="shared" si="58"/>
        <v>0</v>
      </c>
      <c r="I1240" s="3">
        <f t="shared" si="59"/>
        <v>0</v>
      </c>
    </row>
    <row r="1241" spans="4:9" x14ac:dyDescent="0.35">
      <c r="D1241" s="2"/>
      <c r="E1241" s="2"/>
      <c r="F1241" s="3"/>
      <c r="G1241" s="3">
        <f t="shared" si="57"/>
        <v>0</v>
      </c>
      <c r="H1241" s="3">
        <f t="shared" si="58"/>
        <v>0</v>
      </c>
      <c r="I1241" s="3">
        <f t="shared" si="59"/>
        <v>0</v>
      </c>
    </row>
    <row r="1242" spans="4:9" x14ac:dyDescent="0.35">
      <c r="D1242" s="2"/>
      <c r="E1242" s="2"/>
      <c r="F1242" s="3"/>
      <c r="G1242" s="3">
        <f t="shared" si="57"/>
        <v>0</v>
      </c>
      <c r="H1242" s="3">
        <f t="shared" si="58"/>
        <v>0</v>
      </c>
      <c r="I1242" s="3">
        <f t="shared" si="59"/>
        <v>0</v>
      </c>
    </row>
    <row r="1243" spans="4:9" x14ac:dyDescent="0.35">
      <c r="D1243" s="2"/>
      <c r="E1243" s="2"/>
      <c r="F1243" s="3"/>
      <c r="G1243" s="3">
        <f t="shared" si="57"/>
        <v>0</v>
      </c>
      <c r="H1243" s="3">
        <f t="shared" si="58"/>
        <v>0</v>
      </c>
      <c r="I1243" s="3">
        <f t="shared" si="59"/>
        <v>0</v>
      </c>
    </row>
    <row r="1244" spans="4:9" x14ac:dyDescent="0.35">
      <c r="D1244" s="2"/>
      <c r="E1244" s="2"/>
      <c r="F1244" s="3"/>
      <c r="G1244" s="3">
        <f t="shared" si="57"/>
        <v>0</v>
      </c>
      <c r="H1244" s="3">
        <f t="shared" si="58"/>
        <v>0</v>
      </c>
      <c r="I1244" s="3">
        <f t="shared" si="59"/>
        <v>0</v>
      </c>
    </row>
    <row r="1245" spans="4:9" x14ac:dyDescent="0.35">
      <c r="D1245" s="2"/>
      <c r="E1245" s="2"/>
      <c r="F1245" s="3"/>
      <c r="G1245" s="3">
        <f t="shared" si="57"/>
        <v>0</v>
      </c>
      <c r="H1245" s="3">
        <f t="shared" si="58"/>
        <v>0</v>
      </c>
      <c r="I1245" s="3">
        <f t="shared" si="59"/>
        <v>0</v>
      </c>
    </row>
    <row r="1246" spans="4:9" x14ac:dyDescent="0.35">
      <c r="D1246" s="2"/>
      <c r="E1246" s="2"/>
      <c r="F1246" s="3"/>
      <c r="G1246" s="3">
        <f t="shared" si="57"/>
        <v>0</v>
      </c>
      <c r="H1246" s="3">
        <f t="shared" si="58"/>
        <v>0</v>
      </c>
      <c r="I1246" s="3">
        <f t="shared" si="59"/>
        <v>0</v>
      </c>
    </row>
    <row r="1247" spans="4:9" x14ac:dyDescent="0.35">
      <c r="D1247" s="2"/>
      <c r="E1247" s="2"/>
      <c r="F1247" s="3"/>
      <c r="G1247" s="3">
        <f t="shared" si="57"/>
        <v>0</v>
      </c>
      <c r="H1247" s="3">
        <f t="shared" si="58"/>
        <v>0</v>
      </c>
      <c r="I1247" s="3">
        <f t="shared" si="59"/>
        <v>0</v>
      </c>
    </row>
    <row r="1248" spans="4:9" x14ac:dyDescent="0.35">
      <c r="D1248" s="2"/>
      <c r="E1248" s="2"/>
      <c r="F1248" s="3"/>
      <c r="G1248" s="3">
        <f t="shared" si="57"/>
        <v>0</v>
      </c>
      <c r="H1248" s="3">
        <f t="shared" si="58"/>
        <v>0</v>
      </c>
      <c r="I1248" s="3">
        <f t="shared" si="59"/>
        <v>0</v>
      </c>
    </row>
    <row r="1249" spans="4:9" x14ac:dyDescent="0.35">
      <c r="D1249" s="2"/>
      <c r="E1249" s="2"/>
      <c r="F1249" s="3"/>
      <c r="G1249" s="3">
        <f t="shared" si="57"/>
        <v>0</v>
      </c>
      <c r="H1249" s="3">
        <f t="shared" si="58"/>
        <v>0</v>
      </c>
      <c r="I1249" s="3">
        <f t="shared" si="59"/>
        <v>0</v>
      </c>
    </row>
    <row r="1250" spans="4:9" x14ac:dyDescent="0.35">
      <c r="D1250" s="2"/>
      <c r="E1250" s="2"/>
      <c r="F1250" s="3"/>
      <c r="G1250" s="3">
        <f t="shared" si="57"/>
        <v>0</v>
      </c>
      <c r="H1250" s="3">
        <f t="shared" si="58"/>
        <v>0</v>
      </c>
      <c r="I1250" s="3">
        <f t="shared" si="59"/>
        <v>0</v>
      </c>
    </row>
    <row r="1251" spans="4:9" x14ac:dyDescent="0.35">
      <c r="D1251" s="2"/>
      <c r="E1251" s="2"/>
      <c r="F1251" s="3"/>
      <c r="G1251" s="3">
        <f t="shared" si="57"/>
        <v>0</v>
      </c>
      <c r="H1251" s="3">
        <f t="shared" si="58"/>
        <v>0</v>
      </c>
      <c r="I1251" s="3">
        <f t="shared" si="59"/>
        <v>0</v>
      </c>
    </row>
    <row r="1252" spans="4:9" x14ac:dyDescent="0.35">
      <c r="D1252" s="2"/>
      <c r="E1252" s="2"/>
      <c r="F1252" s="3"/>
      <c r="G1252" s="3">
        <f t="shared" si="57"/>
        <v>0</v>
      </c>
      <c r="H1252" s="3">
        <f t="shared" si="58"/>
        <v>0</v>
      </c>
      <c r="I1252" s="3">
        <f t="shared" si="59"/>
        <v>0</v>
      </c>
    </row>
    <row r="1253" spans="4:9" x14ac:dyDescent="0.35">
      <c r="D1253" s="2"/>
      <c r="E1253" s="2"/>
      <c r="F1253" s="3"/>
      <c r="G1253" s="3">
        <f t="shared" si="57"/>
        <v>0</v>
      </c>
      <c r="H1253" s="3">
        <f t="shared" si="58"/>
        <v>0</v>
      </c>
      <c r="I1253" s="3">
        <f t="shared" si="59"/>
        <v>0</v>
      </c>
    </row>
    <row r="1254" spans="4:9" x14ac:dyDescent="0.35">
      <c r="D1254" s="2"/>
      <c r="E1254" s="2"/>
      <c r="F1254" s="3"/>
      <c r="G1254" s="3">
        <f t="shared" si="57"/>
        <v>0</v>
      </c>
      <c r="H1254" s="3">
        <f t="shared" si="58"/>
        <v>0</v>
      </c>
      <c r="I1254" s="3">
        <f t="shared" si="59"/>
        <v>0</v>
      </c>
    </row>
    <row r="1255" spans="4:9" x14ac:dyDescent="0.35">
      <c r="D1255" s="2"/>
      <c r="E1255" s="2"/>
      <c r="F1255" s="3"/>
      <c r="G1255" s="3">
        <f t="shared" si="57"/>
        <v>0</v>
      </c>
      <c r="H1255" s="3">
        <f t="shared" si="58"/>
        <v>0</v>
      </c>
      <c r="I1255" s="3">
        <f t="shared" si="59"/>
        <v>0</v>
      </c>
    </row>
    <row r="1256" spans="4:9" x14ac:dyDescent="0.35">
      <c r="D1256" s="2"/>
      <c r="E1256" s="2"/>
      <c r="F1256" s="3"/>
      <c r="G1256" s="3">
        <f t="shared" si="57"/>
        <v>0</v>
      </c>
      <c r="H1256" s="3">
        <f t="shared" si="58"/>
        <v>0</v>
      </c>
      <c r="I1256" s="3">
        <f t="shared" si="59"/>
        <v>0</v>
      </c>
    </row>
    <row r="1257" spans="4:9" x14ac:dyDescent="0.35">
      <c r="D1257" s="2"/>
      <c r="E1257" s="2"/>
      <c r="F1257" s="3"/>
      <c r="G1257" s="3">
        <f t="shared" si="57"/>
        <v>0</v>
      </c>
      <c r="H1257" s="3">
        <f t="shared" si="58"/>
        <v>0</v>
      </c>
      <c r="I1257" s="3">
        <f t="shared" si="59"/>
        <v>0</v>
      </c>
    </row>
    <row r="1258" spans="4:9" x14ac:dyDescent="0.35">
      <c r="D1258" s="2"/>
      <c r="E1258" s="2"/>
      <c r="F1258" s="3"/>
      <c r="G1258" s="3">
        <f t="shared" si="57"/>
        <v>0</v>
      </c>
      <c r="H1258" s="3">
        <f t="shared" si="58"/>
        <v>0</v>
      </c>
      <c r="I1258" s="3">
        <f t="shared" si="59"/>
        <v>0</v>
      </c>
    </row>
    <row r="1259" spans="4:9" x14ac:dyDescent="0.35">
      <c r="D1259" s="2"/>
      <c r="E1259" s="2"/>
      <c r="F1259" s="3"/>
      <c r="G1259" s="3">
        <f t="shared" si="57"/>
        <v>0</v>
      </c>
      <c r="H1259" s="3">
        <f t="shared" si="58"/>
        <v>0</v>
      </c>
      <c r="I1259" s="3">
        <f t="shared" si="59"/>
        <v>0</v>
      </c>
    </row>
    <row r="1260" spans="4:9" x14ac:dyDescent="0.35">
      <c r="D1260" s="2"/>
      <c r="E1260" s="2"/>
      <c r="F1260" s="3"/>
      <c r="G1260" s="3">
        <f t="shared" si="57"/>
        <v>0</v>
      </c>
      <c r="H1260" s="3">
        <f t="shared" si="58"/>
        <v>0</v>
      </c>
      <c r="I1260" s="3">
        <f t="shared" si="59"/>
        <v>0</v>
      </c>
    </row>
    <row r="1261" spans="4:9" x14ac:dyDescent="0.35">
      <c r="D1261" s="2"/>
      <c r="E1261" s="2"/>
      <c r="F1261" s="3"/>
      <c r="G1261" s="3">
        <f t="shared" si="57"/>
        <v>0</v>
      </c>
      <c r="H1261" s="3">
        <f t="shared" si="58"/>
        <v>0</v>
      </c>
      <c r="I1261" s="3">
        <f t="shared" si="59"/>
        <v>0</v>
      </c>
    </row>
    <row r="1262" spans="4:9" x14ac:dyDescent="0.35">
      <c r="D1262" s="2"/>
      <c r="E1262" s="2"/>
      <c r="F1262" s="3"/>
      <c r="G1262" s="3">
        <f t="shared" si="57"/>
        <v>0</v>
      </c>
      <c r="H1262" s="3">
        <f t="shared" si="58"/>
        <v>0</v>
      </c>
      <c r="I1262" s="3">
        <f t="shared" si="59"/>
        <v>0</v>
      </c>
    </row>
    <row r="1263" spans="4:9" x14ac:dyDescent="0.35">
      <c r="D1263" s="2"/>
      <c r="E1263" s="2"/>
      <c r="F1263" s="3"/>
      <c r="G1263" s="3">
        <f t="shared" si="57"/>
        <v>0</v>
      </c>
      <c r="H1263" s="3">
        <f t="shared" si="58"/>
        <v>0</v>
      </c>
      <c r="I1263" s="3">
        <f t="shared" si="59"/>
        <v>0</v>
      </c>
    </row>
    <row r="1264" spans="4:9" x14ac:dyDescent="0.35">
      <c r="D1264" s="2"/>
      <c r="E1264" s="2"/>
      <c r="F1264" s="3"/>
      <c r="G1264" s="3">
        <f t="shared" si="57"/>
        <v>0</v>
      </c>
      <c r="H1264" s="3">
        <f t="shared" si="58"/>
        <v>0</v>
      </c>
      <c r="I1264" s="3">
        <f t="shared" si="59"/>
        <v>0</v>
      </c>
    </row>
    <row r="1265" spans="4:9" x14ac:dyDescent="0.35">
      <c r="D1265" s="2"/>
      <c r="E1265" s="2"/>
      <c r="F1265" s="3"/>
      <c r="G1265" s="3">
        <f t="shared" si="57"/>
        <v>0</v>
      </c>
      <c r="H1265" s="3">
        <f t="shared" si="58"/>
        <v>0</v>
      </c>
      <c r="I1265" s="3">
        <f t="shared" si="59"/>
        <v>0</v>
      </c>
    </row>
    <row r="1266" spans="4:9" x14ac:dyDescent="0.35">
      <c r="D1266" s="2"/>
      <c r="E1266" s="2"/>
      <c r="F1266" s="3"/>
      <c r="G1266" s="3">
        <f t="shared" si="57"/>
        <v>0</v>
      </c>
      <c r="H1266" s="3">
        <f t="shared" si="58"/>
        <v>0</v>
      </c>
      <c r="I1266" s="3">
        <f t="shared" si="59"/>
        <v>0</v>
      </c>
    </row>
    <row r="1267" spans="4:9" x14ac:dyDescent="0.35">
      <c r="D1267" s="2"/>
      <c r="E1267" s="2"/>
      <c r="F1267" s="3"/>
      <c r="G1267" s="3">
        <f t="shared" si="57"/>
        <v>0</v>
      </c>
      <c r="H1267" s="3">
        <f t="shared" si="58"/>
        <v>0</v>
      </c>
      <c r="I1267" s="3">
        <f t="shared" si="59"/>
        <v>0</v>
      </c>
    </row>
    <row r="1268" spans="4:9" x14ac:dyDescent="0.35">
      <c r="D1268" s="2"/>
      <c r="E1268" s="2"/>
      <c r="F1268" s="3"/>
      <c r="G1268" s="3">
        <f t="shared" si="57"/>
        <v>0</v>
      </c>
      <c r="H1268" s="3">
        <f t="shared" si="58"/>
        <v>0</v>
      </c>
      <c r="I1268" s="3">
        <f t="shared" si="59"/>
        <v>0</v>
      </c>
    </row>
    <row r="1269" spans="4:9" x14ac:dyDescent="0.35">
      <c r="D1269" s="2"/>
      <c r="E1269" s="2"/>
      <c r="F1269" s="3"/>
      <c r="G1269" s="3">
        <f t="shared" si="57"/>
        <v>0</v>
      </c>
      <c r="H1269" s="3">
        <f t="shared" si="58"/>
        <v>0</v>
      </c>
      <c r="I1269" s="3">
        <f t="shared" si="59"/>
        <v>0</v>
      </c>
    </row>
    <row r="1270" spans="4:9" x14ac:dyDescent="0.35">
      <c r="D1270" s="2"/>
      <c r="E1270" s="2"/>
      <c r="F1270" s="3"/>
      <c r="G1270" s="3">
        <f t="shared" si="57"/>
        <v>0</v>
      </c>
      <c r="H1270" s="3">
        <f t="shared" si="58"/>
        <v>0</v>
      </c>
      <c r="I1270" s="3">
        <f t="shared" si="59"/>
        <v>0</v>
      </c>
    </row>
    <row r="1271" spans="4:9" x14ac:dyDescent="0.35">
      <c r="D1271" s="2"/>
      <c r="E1271" s="2"/>
      <c r="F1271" s="3"/>
      <c r="G1271" s="3">
        <f t="shared" si="57"/>
        <v>0</v>
      </c>
      <c r="H1271" s="3">
        <f t="shared" si="58"/>
        <v>0</v>
      </c>
      <c r="I1271" s="3">
        <f t="shared" si="59"/>
        <v>0</v>
      </c>
    </row>
    <row r="1272" spans="4:9" x14ac:dyDescent="0.35">
      <c r="D1272" s="2"/>
      <c r="E1272" s="2"/>
      <c r="F1272" s="3"/>
      <c r="G1272" s="3">
        <f t="shared" si="57"/>
        <v>0</v>
      </c>
      <c r="H1272" s="3">
        <f t="shared" si="58"/>
        <v>0</v>
      </c>
      <c r="I1272" s="3">
        <f t="shared" si="59"/>
        <v>0</v>
      </c>
    </row>
    <row r="1273" spans="4:9" x14ac:dyDescent="0.35">
      <c r="D1273" s="2"/>
      <c r="E1273" s="2"/>
      <c r="F1273" s="3"/>
      <c r="G1273" s="3">
        <f t="shared" si="57"/>
        <v>0</v>
      </c>
      <c r="H1273" s="3">
        <f t="shared" si="58"/>
        <v>0</v>
      </c>
      <c r="I1273" s="3">
        <f t="shared" si="59"/>
        <v>0</v>
      </c>
    </row>
    <row r="1274" spans="4:9" x14ac:dyDescent="0.35">
      <c r="D1274" s="2"/>
      <c r="E1274" s="2"/>
      <c r="F1274" s="3"/>
      <c r="G1274" s="3">
        <f t="shared" si="57"/>
        <v>0</v>
      </c>
      <c r="H1274" s="3">
        <f t="shared" si="58"/>
        <v>0</v>
      </c>
      <c r="I1274" s="3">
        <f t="shared" si="59"/>
        <v>0</v>
      </c>
    </row>
    <row r="1275" spans="4:9" x14ac:dyDescent="0.35">
      <c r="D1275" s="2"/>
      <c r="E1275" s="2"/>
      <c r="F1275" s="3"/>
      <c r="G1275" s="3">
        <f t="shared" si="57"/>
        <v>0</v>
      </c>
      <c r="H1275" s="3">
        <f t="shared" si="58"/>
        <v>0</v>
      </c>
      <c r="I1275" s="3">
        <f t="shared" si="59"/>
        <v>0</v>
      </c>
    </row>
    <row r="1276" spans="4:9" x14ac:dyDescent="0.35">
      <c r="D1276" s="2"/>
      <c r="E1276" s="2"/>
      <c r="F1276" s="3"/>
      <c r="G1276" s="3">
        <f t="shared" si="57"/>
        <v>0</v>
      </c>
      <c r="H1276" s="3">
        <f t="shared" si="58"/>
        <v>0</v>
      </c>
      <c r="I1276" s="3">
        <f t="shared" si="59"/>
        <v>0</v>
      </c>
    </row>
    <row r="1277" spans="4:9" x14ac:dyDescent="0.35">
      <c r="D1277" s="2"/>
      <c r="E1277" s="2"/>
      <c r="F1277" s="3"/>
      <c r="G1277" s="3">
        <f t="shared" si="57"/>
        <v>0</v>
      </c>
      <c r="H1277" s="3">
        <f t="shared" si="58"/>
        <v>0</v>
      </c>
      <c r="I1277" s="3">
        <f t="shared" si="59"/>
        <v>0</v>
      </c>
    </row>
    <row r="1278" spans="4:9" x14ac:dyDescent="0.35">
      <c r="D1278" s="2"/>
      <c r="E1278" s="2"/>
      <c r="F1278" s="3"/>
      <c r="G1278" s="3">
        <f t="shared" si="57"/>
        <v>0</v>
      </c>
      <c r="H1278" s="3">
        <f t="shared" si="58"/>
        <v>0</v>
      </c>
      <c r="I1278" s="3">
        <f t="shared" si="59"/>
        <v>0</v>
      </c>
    </row>
    <row r="1279" spans="4:9" x14ac:dyDescent="0.35">
      <c r="D1279" s="2"/>
      <c r="E1279" s="2"/>
      <c r="F1279" s="3"/>
      <c r="G1279" s="3">
        <f t="shared" si="57"/>
        <v>0</v>
      </c>
      <c r="H1279" s="3">
        <f t="shared" si="58"/>
        <v>0</v>
      </c>
      <c r="I1279" s="3">
        <f t="shared" si="59"/>
        <v>0</v>
      </c>
    </row>
    <row r="1280" spans="4:9" x14ac:dyDescent="0.35">
      <c r="D1280" s="2"/>
      <c r="E1280" s="2"/>
      <c r="F1280" s="3"/>
      <c r="G1280" s="3">
        <f t="shared" si="57"/>
        <v>0</v>
      </c>
      <c r="H1280" s="3">
        <f t="shared" si="58"/>
        <v>0</v>
      </c>
      <c r="I1280" s="3">
        <f t="shared" si="59"/>
        <v>0</v>
      </c>
    </row>
    <row r="1281" spans="4:9" x14ac:dyDescent="0.35">
      <c r="D1281" s="2"/>
      <c r="E1281" s="2"/>
      <c r="F1281" s="3"/>
      <c r="G1281" s="3">
        <f t="shared" si="57"/>
        <v>0</v>
      </c>
      <c r="H1281" s="3">
        <f t="shared" si="58"/>
        <v>0</v>
      </c>
      <c r="I1281" s="3">
        <f t="shared" si="59"/>
        <v>0</v>
      </c>
    </row>
    <row r="1282" spans="4:9" x14ac:dyDescent="0.35">
      <c r="D1282" s="2"/>
      <c r="E1282" s="2"/>
      <c r="F1282" s="3"/>
      <c r="G1282" s="3">
        <f t="shared" ref="G1282:G1345" si="60">IF($F1282&gt;0,$E1282/(1-$F1282),0)</f>
        <v>0</v>
      </c>
      <c r="H1282" s="3">
        <f t="shared" ref="H1282:H1345" si="61">IF($D1282&gt;0,$G1282/$D1282,0)</f>
        <v>0</v>
      </c>
      <c r="I1282" s="3">
        <f t="shared" ref="I1282:I1345" si="62">$E1282*1.1</f>
        <v>0</v>
      </c>
    </row>
    <row r="1283" spans="4:9" x14ac:dyDescent="0.35">
      <c r="D1283" s="2"/>
      <c r="E1283" s="2"/>
      <c r="F1283" s="3"/>
      <c r="G1283" s="3">
        <f t="shared" si="60"/>
        <v>0</v>
      </c>
      <c r="H1283" s="3">
        <f t="shared" si="61"/>
        <v>0</v>
      </c>
      <c r="I1283" s="3">
        <f t="shared" si="62"/>
        <v>0</v>
      </c>
    </row>
    <row r="1284" spans="4:9" x14ac:dyDescent="0.35">
      <c r="D1284" s="2"/>
      <c r="E1284" s="2"/>
      <c r="F1284" s="3"/>
      <c r="G1284" s="3">
        <f t="shared" si="60"/>
        <v>0</v>
      </c>
      <c r="H1284" s="3">
        <f t="shared" si="61"/>
        <v>0</v>
      </c>
      <c r="I1284" s="3">
        <f t="shared" si="62"/>
        <v>0</v>
      </c>
    </row>
    <row r="1285" spans="4:9" x14ac:dyDescent="0.35">
      <c r="D1285" s="2"/>
      <c r="E1285" s="2"/>
      <c r="F1285" s="3"/>
      <c r="G1285" s="3">
        <f t="shared" si="60"/>
        <v>0</v>
      </c>
      <c r="H1285" s="3">
        <f t="shared" si="61"/>
        <v>0</v>
      </c>
      <c r="I1285" s="3">
        <f t="shared" si="62"/>
        <v>0</v>
      </c>
    </row>
    <row r="1286" spans="4:9" x14ac:dyDescent="0.35">
      <c r="D1286" s="2"/>
      <c r="E1286" s="2"/>
      <c r="F1286" s="3"/>
      <c r="G1286" s="3">
        <f t="shared" si="60"/>
        <v>0</v>
      </c>
      <c r="H1286" s="3">
        <f t="shared" si="61"/>
        <v>0</v>
      </c>
      <c r="I1286" s="3">
        <f t="shared" si="62"/>
        <v>0</v>
      </c>
    </row>
    <row r="1287" spans="4:9" x14ac:dyDescent="0.35">
      <c r="D1287" s="2"/>
      <c r="E1287" s="2"/>
      <c r="F1287" s="3"/>
      <c r="G1287" s="3">
        <f t="shared" si="60"/>
        <v>0</v>
      </c>
      <c r="H1287" s="3">
        <f t="shared" si="61"/>
        <v>0</v>
      </c>
      <c r="I1287" s="3">
        <f t="shared" si="62"/>
        <v>0</v>
      </c>
    </row>
    <row r="1288" spans="4:9" x14ac:dyDescent="0.35">
      <c r="D1288" s="2"/>
      <c r="E1288" s="2"/>
      <c r="F1288" s="3"/>
      <c r="G1288" s="3">
        <f t="shared" si="60"/>
        <v>0</v>
      </c>
      <c r="H1288" s="3">
        <f t="shared" si="61"/>
        <v>0</v>
      </c>
      <c r="I1288" s="3">
        <f t="shared" si="62"/>
        <v>0</v>
      </c>
    </row>
    <row r="1289" spans="4:9" x14ac:dyDescent="0.35">
      <c r="D1289" s="2"/>
      <c r="E1289" s="2"/>
      <c r="F1289" s="3"/>
      <c r="G1289" s="3">
        <f t="shared" si="60"/>
        <v>0</v>
      </c>
      <c r="H1289" s="3">
        <f t="shared" si="61"/>
        <v>0</v>
      </c>
      <c r="I1289" s="3">
        <f t="shared" si="62"/>
        <v>0</v>
      </c>
    </row>
    <row r="1290" spans="4:9" x14ac:dyDescent="0.35">
      <c r="D1290" s="2"/>
      <c r="E1290" s="2"/>
      <c r="F1290" s="3"/>
      <c r="G1290" s="3">
        <f t="shared" si="60"/>
        <v>0</v>
      </c>
      <c r="H1290" s="3">
        <f t="shared" si="61"/>
        <v>0</v>
      </c>
      <c r="I1290" s="3">
        <f t="shared" si="62"/>
        <v>0</v>
      </c>
    </row>
    <row r="1291" spans="4:9" x14ac:dyDescent="0.35">
      <c r="D1291" s="2"/>
      <c r="E1291" s="2"/>
      <c r="F1291" s="3"/>
      <c r="G1291" s="3">
        <f t="shared" si="60"/>
        <v>0</v>
      </c>
      <c r="H1291" s="3">
        <f t="shared" si="61"/>
        <v>0</v>
      </c>
      <c r="I1291" s="3">
        <f t="shared" si="62"/>
        <v>0</v>
      </c>
    </row>
    <row r="1292" spans="4:9" x14ac:dyDescent="0.35">
      <c r="D1292" s="2"/>
      <c r="E1292" s="2"/>
      <c r="F1292" s="3"/>
      <c r="G1292" s="3">
        <f t="shared" si="60"/>
        <v>0</v>
      </c>
      <c r="H1292" s="3">
        <f t="shared" si="61"/>
        <v>0</v>
      </c>
      <c r="I1292" s="3">
        <f t="shared" si="62"/>
        <v>0</v>
      </c>
    </row>
    <row r="1293" spans="4:9" x14ac:dyDescent="0.35">
      <c r="D1293" s="2"/>
      <c r="E1293" s="2"/>
      <c r="F1293" s="3"/>
      <c r="G1293" s="3">
        <f t="shared" si="60"/>
        <v>0</v>
      </c>
      <c r="H1293" s="3">
        <f t="shared" si="61"/>
        <v>0</v>
      </c>
      <c r="I1293" s="3">
        <f t="shared" si="62"/>
        <v>0</v>
      </c>
    </row>
    <row r="1294" spans="4:9" x14ac:dyDescent="0.35">
      <c r="D1294" s="2"/>
      <c r="E1294" s="2"/>
      <c r="F1294" s="3"/>
      <c r="G1294" s="3">
        <f t="shared" si="60"/>
        <v>0</v>
      </c>
      <c r="H1294" s="3">
        <f t="shared" si="61"/>
        <v>0</v>
      </c>
      <c r="I1294" s="3">
        <f t="shared" si="62"/>
        <v>0</v>
      </c>
    </row>
    <row r="1295" spans="4:9" x14ac:dyDescent="0.35">
      <c r="D1295" s="2"/>
      <c r="E1295" s="2"/>
      <c r="F1295" s="3"/>
      <c r="G1295" s="3">
        <f t="shared" si="60"/>
        <v>0</v>
      </c>
      <c r="H1295" s="3">
        <f t="shared" si="61"/>
        <v>0</v>
      </c>
      <c r="I1295" s="3">
        <f t="shared" si="62"/>
        <v>0</v>
      </c>
    </row>
    <row r="1296" spans="4:9" x14ac:dyDescent="0.35">
      <c r="D1296" s="2"/>
      <c r="E1296" s="2"/>
      <c r="F1296" s="3"/>
      <c r="G1296" s="3">
        <f t="shared" si="60"/>
        <v>0</v>
      </c>
      <c r="H1296" s="3">
        <f t="shared" si="61"/>
        <v>0</v>
      </c>
      <c r="I1296" s="3">
        <f t="shared" si="62"/>
        <v>0</v>
      </c>
    </row>
    <row r="1297" spans="4:9" x14ac:dyDescent="0.35">
      <c r="D1297" s="2"/>
      <c r="E1297" s="2"/>
      <c r="F1297" s="3"/>
      <c r="G1297" s="3">
        <f t="shared" si="60"/>
        <v>0</v>
      </c>
      <c r="H1297" s="3">
        <f t="shared" si="61"/>
        <v>0</v>
      </c>
      <c r="I1297" s="3">
        <f t="shared" si="62"/>
        <v>0</v>
      </c>
    </row>
    <row r="1298" spans="4:9" x14ac:dyDescent="0.35">
      <c r="D1298" s="2"/>
      <c r="E1298" s="2"/>
      <c r="F1298" s="3"/>
      <c r="G1298" s="3">
        <f t="shared" si="60"/>
        <v>0</v>
      </c>
      <c r="H1298" s="3">
        <f t="shared" si="61"/>
        <v>0</v>
      </c>
      <c r="I1298" s="3">
        <f t="shared" si="62"/>
        <v>0</v>
      </c>
    </row>
    <row r="1299" spans="4:9" x14ac:dyDescent="0.35">
      <c r="D1299" s="2"/>
      <c r="E1299" s="2"/>
      <c r="F1299" s="3"/>
      <c r="G1299" s="3">
        <f t="shared" si="60"/>
        <v>0</v>
      </c>
      <c r="H1299" s="3">
        <f t="shared" si="61"/>
        <v>0</v>
      </c>
      <c r="I1299" s="3">
        <f t="shared" si="62"/>
        <v>0</v>
      </c>
    </row>
    <row r="1300" spans="4:9" x14ac:dyDescent="0.35">
      <c r="D1300" s="2"/>
      <c r="E1300" s="2"/>
      <c r="F1300" s="3"/>
      <c r="G1300" s="3">
        <f t="shared" si="60"/>
        <v>0</v>
      </c>
      <c r="H1300" s="3">
        <f t="shared" si="61"/>
        <v>0</v>
      </c>
      <c r="I1300" s="3">
        <f t="shared" si="62"/>
        <v>0</v>
      </c>
    </row>
    <row r="1301" spans="4:9" x14ac:dyDescent="0.35">
      <c r="D1301" s="2"/>
      <c r="E1301" s="2"/>
      <c r="F1301" s="3"/>
      <c r="G1301" s="3">
        <f t="shared" si="60"/>
        <v>0</v>
      </c>
      <c r="H1301" s="3">
        <f t="shared" si="61"/>
        <v>0</v>
      </c>
      <c r="I1301" s="3">
        <f t="shared" si="62"/>
        <v>0</v>
      </c>
    </row>
    <row r="1302" spans="4:9" x14ac:dyDescent="0.35">
      <c r="D1302" s="2"/>
      <c r="E1302" s="2"/>
      <c r="F1302" s="3"/>
      <c r="G1302" s="3">
        <f t="shared" si="60"/>
        <v>0</v>
      </c>
      <c r="H1302" s="3">
        <f t="shared" si="61"/>
        <v>0</v>
      </c>
      <c r="I1302" s="3">
        <f t="shared" si="62"/>
        <v>0</v>
      </c>
    </row>
    <row r="1303" spans="4:9" x14ac:dyDescent="0.35">
      <c r="D1303" s="2"/>
      <c r="E1303" s="2"/>
      <c r="F1303" s="3"/>
      <c r="G1303" s="3">
        <f t="shared" si="60"/>
        <v>0</v>
      </c>
      <c r="H1303" s="3">
        <f t="shared" si="61"/>
        <v>0</v>
      </c>
      <c r="I1303" s="3">
        <f t="shared" si="62"/>
        <v>0</v>
      </c>
    </row>
    <row r="1304" spans="4:9" x14ac:dyDescent="0.35">
      <c r="D1304" s="2"/>
      <c r="E1304" s="2"/>
      <c r="F1304" s="3"/>
      <c r="G1304" s="3">
        <f t="shared" si="60"/>
        <v>0</v>
      </c>
      <c r="H1304" s="3">
        <f t="shared" si="61"/>
        <v>0</v>
      </c>
      <c r="I1304" s="3">
        <f t="shared" si="62"/>
        <v>0</v>
      </c>
    </row>
    <row r="1305" spans="4:9" x14ac:dyDescent="0.35">
      <c r="D1305" s="2"/>
      <c r="E1305" s="2"/>
      <c r="F1305" s="3"/>
      <c r="G1305" s="3">
        <f t="shared" si="60"/>
        <v>0</v>
      </c>
      <c r="H1305" s="3">
        <f t="shared" si="61"/>
        <v>0</v>
      </c>
      <c r="I1305" s="3">
        <f t="shared" si="62"/>
        <v>0</v>
      </c>
    </row>
    <row r="1306" spans="4:9" x14ac:dyDescent="0.35">
      <c r="D1306" s="2"/>
      <c r="E1306" s="2"/>
      <c r="F1306" s="3"/>
      <c r="G1306" s="3">
        <f t="shared" si="60"/>
        <v>0</v>
      </c>
      <c r="H1306" s="3">
        <f t="shared" si="61"/>
        <v>0</v>
      </c>
      <c r="I1306" s="3">
        <f t="shared" si="62"/>
        <v>0</v>
      </c>
    </row>
    <row r="1307" spans="4:9" x14ac:dyDescent="0.35">
      <c r="D1307" s="2"/>
      <c r="E1307" s="2"/>
      <c r="F1307" s="3"/>
      <c r="G1307" s="3">
        <f t="shared" si="60"/>
        <v>0</v>
      </c>
      <c r="H1307" s="3">
        <f t="shared" si="61"/>
        <v>0</v>
      </c>
      <c r="I1307" s="3">
        <f t="shared" si="62"/>
        <v>0</v>
      </c>
    </row>
    <row r="1308" spans="4:9" x14ac:dyDescent="0.35">
      <c r="D1308" s="2"/>
      <c r="E1308" s="2"/>
      <c r="F1308" s="3"/>
      <c r="G1308" s="3">
        <f t="shared" si="60"/>
        <v>0</v>
      </c>
      <c r="H1308" s="3">
        <f t="shared" si="61"/>
        <v>0</v>
      </c>
      <c r="I1308" s="3">
        <f t="shared" si="62"/>
        <v>0</v>
      </c>
    </row>
    <row r="1309" spans="4:9" x14ac:dyDescent="0.35">
      <c r="D1309" s="2"/>
      <c r="E1309" s="2"/>
      <c r="F1309" s="3"/>
      <c r="G1309" s="3">
        <f t="shared" si="60"/>
        <v>0</v>
      </c>
      <c r="H1309" s="3">
        <f t="shared" si="61"/>
        <v>0</v>
      </c>
      <c r="I1309" s="3">
        <f t="shared" si="62"/>
        <v>0</v>
      </c>
    </row>
    <row r="1310" spans="4:9" x14ac:dyDescent="0.35">
      <c r="D1310" s="2"/>
      <c r="E1310" s="2"/>
      <c r="F1310" s="3"/>
      <c r="G1310" s="3">
        <f t="shared" si="60"/>
        <v>0</v>
      </c>
      <c r="H1310" s="3">
        <f t="shared" si="61"/>
        <v>0</v>
      </c>
      <c r="I1310" s="3">
        <f t="shared" si="62"/>
        <v>0</v>
      </c>
    </row>
    <row r="1311" spans="4:9" x14ac:dyDescent="0.35">
      <c r="D1311" s="2"/>
      <c r="E1311" s="2"/>
      <c r="F1311" s="3"/>
      <c r="G1311" s="3">
        <f t="shared" si="60"/>
        <v>0</v>
      </c>
      <c r="H1311" s="3">
        <f t="shared" si="61"/>
        <v>0</v>
      </c>
      <c r="I1311" s="3">
        <f t="shared" si="62"/>
        <v>0</v>
      </c>
    </row>
    <row r="1312" spans="4:9" x14ac:dyDescent="0.35">
      <c r="D1312" s="2"/>
      <c r="E1312" s="2"/>
      <c r="F1312" s="3"/>
      <c r="G1312" s="3">
        <f t="shared" si="60"/>
        <v>0</v>
      </c>
      <c r="H1312" s="3">
        <f t="shared" si="61"/>
        <v>0</v>
      </c>
      <c r="I1312" s="3">
        <f t="shared" si="62"/>
        <v>0</v>
      </c>
    </row>
    <row r="1313" spans="4:9" x14ac:dyDescent="0.35">
      <c r="D1313" s="2"/>
      <c r="E1313" s="2"/>
      <c r="F1313" s="3"/>
      <c r="G1313" s="3">
        <f t="shared" si="60"/>
        <v>0</v>
      </c>
      <c r="H1313" s="3">
        <f t="shared" si="61"/>
        <v>0</v>
      </c>
      <c r="I1313" s="3">
        <f t="shared" si="62"/>
        <v>0</v>
      </c>
    </row>
    <row r="1314" spans="4:9" x14ac:dyDescent="0.35">
      <c r="D1314" s="2"/>
      <c r="E1314" s="2"/>
      <c r="F1314" s="3"/>
      <c r="G1314" s="3">
        <f t="shared" si="60"/>
        <v>0</v>
      </c>
      <c r="H1314" s="3">
        <f t="shared" si="61"/>
        <v>0</v>
      </c>
      <c r="I1314" s="3">
        <f t="shared" si="62"/>
        <v>0</v>
      </c>
    </row>
    <row r="1315" spans="4:9" x14ac:dyDescent="0.35">
      <c r="D1315" s="2"/>
      <c r="E1315" s="2"/>
      <c r="F1315" s="3"/>
      <c r="G1315" s="3">
        <f t="shared" si="60"/>
        <v>0</v>
      </c>
      <c r="H1315" s="3">
        <f t="shared" si="61"/>
        <v>0</v>
      </c>
      <c r="I1315" s="3">
        <f t="shared" si="62"/>
        <v>0</v>
      </c>
    </row>
    <row r="1316" spans="4:9" x14ac:dyDescent="0.35">
      <c r="D1316" s="2"/>
      <c r="E1316" s="2"/>
      <c r="F1316" s="3"/>
      <c r="G1316" s="3">
        <f t="shared" si="60"/>
        <v>0</v>
      </c>
      <c r="H1316" s="3">
        <f t="shared" si="61"/>
        <v>0</v>
      </c>
      <c r="I1316" s="3">
        <f t="shared" si="62"/>
        <v>0</v>
      </c>
    </row>
    <row r="1317" spans="4:9" x14ac:dyDescent="0.35">
      <c r="D1317" s="2"/>
      <c r="E1317" s="2"/>
      <c r="F1317" s="3"/>
      <c r="G1317" s="3">
        <f t="shared" si="60"/>
        <v>0</v>
      </c>
      <c r="H1317" s="3">
        <f t="shared" si="61"/>
        <v>0</v>
      </c>
      <c r="I1317" s="3">
        <f t="shared" si="62"/>
        <v>0</v>
      </c>
    </row>
    <row r="1318" spans="4:9" x14ac:dyDescent="0.35">
      <c r="D1318" s="2"/>
      <c r="E1318" s="2"/>
      <c r="F1318" s="3"/>
      <c r="G1318" s="3">
        <f t="shared" si="60"/>
        <v>0</v>
      </c>
      <c r="H1318" s="3">
        <f t="shared" si="61"/>
        <v>0</v>
      </c>
      <c r="I1318" s="3">
        <f t="shared" si="62"/>
        <v>0</v>
      </c>
    </row>
    <row r="1319" spans="4:9" x14ac:dyDescent="0.35">
      <c r="D1319" s="2"/>
      <c r="E1319" s="2"/>
      <c r="F1319" s="3"/>
      <c r="G1319" s="3">
        <f t="shared" si="60"/>
        <v>0</v>
      </c>
      <c r="H1319" s="3">
        <f t="shared" si="61"/>
        <v>0</v>
      </c>
      <c r="I1319" s="3">
        <f t="shared" si="62"/>
        <v>0</v>
      </c>
    </row>
    <row r="1320" spans="4:9" x14ac:dyDescent="0.35">
      <c r="D1320" s="2"/>
      <c r="E1320" s="2"/>
      <c r="F1320" s="3"/>
      <c r="G1320" s="3">
        <f t="shared" si="60"/>
        <v>0</v>
      </c>
      <c r="H1320" s="3">
        <f t="shared" si="61"/>
        <v>0</v>
      </c>
      <c r="I1320" s="3">
        <f t="shared" si="62"/>
        <v>0</v>
      </c>
    </row>
    <row r="1321" spans="4:9" x14ac:dyDescent="0.35">
      <c r="D1321" s="2"/>
      <c r="E1321" s="2"/>
      <c r="F1321" s="3"/>
      <c r="G1321" s="3">
        <f t="shared" si="60"/>
        <v>0</v>
      </c>
      <c r="H1321" s="3">
        <f t="shared" si="61"/>
        <v>0</v>
      </c>
      <c r="I1321" s="3">
        <f t="shared" si="62"/>
        <v>0</v>
      </c>
    </row>
    <row r="1322" spans="4:9" x14ac:dyDescent="0.35">
      <c r="D1322" s="2"/>
      <c r="E1322" s="2"/>
      <c r="F1322" s="3"/>
      <c r="G1322" s="3">
        <f t="shared" si="60"/>
        <v>0</v>
      </c>
      <c r="H1322" s="3">
        <f t="shared" si="61"/>
        <v>0</v>
      </c>
      <c r="I1322" s="3">
        <f t="shared" si="62"/>
        <v>0</v>
      </c>
    </row>
    <row r="1323" spans="4:9" x14ac:dyDescent="0.35">
      <c r="D1323" s="2"/>
      <c r="E1323" s="2"/>
      <c r="F1323" s="3"/>
      <c r="G1323" s="3">
        <f t="shared" si="60"/>
        <v>0</v>
      </c>
      <c r="H1323" s="3">
        <f t="shared" si="61"/>
        <v>0</v>
      </c>
      <c r="I1323" s="3">
        <f t="shared" si="62"/>
        <v>0</v>
      </c>
    </row>
    <row r="1324" spans="4:9" x14ac:dyDescent="0.35">
      <c r="D1324" s="2"/>
      <c r="E1324" s="2"/>
      <c r="F1324" s="3"/>
      <c r="G1324" s="3">
        <f t="shared" si="60"/>
        <v>0</v>
      </c>
      <c r="H1324" s="3">
        <f t="shared" si="61"/>
        <v>0</v>
      </c>
      <c r="I1324" s="3">
        <f t="shared" si="62"/>
        <v>0</v>
      </c>
    </row>
    <row r="1325" spans="4:9" x14ac:dyDescent="0.35">
      <c r="D1325" s="2"/>
      <c r="E1325" s="2"/>
      <c r="F1325" s="3"/>
      <c r="G1325" s="3">
        <f t="shared" si="60"/>
        <v>0</v>
      </c>
      <c r="H1325" s="3">
        <f t="shared" si="61"/>
        <v>0</v>
      </c>
      <c r="I1325" s="3">
        <f t="shared" si="62"/>
        <v>0</v>
      </c>
    </row>
    <row r="1326" spans="4:9" x14ac:dyDescent="0.35">
      <c r="D1326" s="2"/>
      <c r="E1326" s="2"/>
      <c r="F1326" s="3"/>
      <c r="G1326" s="3">
        <f t="shared" si="60"/>
        <v>0</v>
      </c>
      <c r="H1326" s="3">
        <f t="shared" si="61"/>
        <v>0</v>
      </c>
      <c r="I1326" s="3">
        <f t="shared" si="62"/>
        <v>0</v>
      </c>
    </row>
    <row r="1327" spans="4:9" x14ac:dyDescent="0.35">
      <c r="D1327" s="2"/>
      <c r="E1327" s="2"/>
      <c r="F1327" s="3"/>
      <c r="G1327" s="3">
        <f t="shared" si="60"/>
        <v>0</v>
      </c>
      <c r="H1327" s="3">
        <f t="shared" si="61"/>
        <v>0</v>
      </c>
      <c r="I1327" s="3">
        <f t="shared" si="62"/>
        <v>0</v>
      </c>
    </row>
    <row r="1328" spans="4:9" x14ac:dyDescent="0.35">
      <c r="D1328" s="2"/>
      <c r="E1328" s="2"/>
      <c r="F1328" s="3"/>
      <c r="G1328" s="3">
        <f t="shared" si="60"/>
        <v>0</v>
      </c>
      <c r="H1328" s="3">
        <f t="shared" si="61"/>
        <v>0</v>
      </c>
      <c r="I1328" s="3">
        <f t="shared" si="62"/>
        <v>0</v>
      </c>
    </row>
    <row r="1329" spans="4:9" x14ac:dyDescent="0.35">
      <c r="D1329" s="2"/>
      <c r="E1329" s="2"/>
      <c r="F1329" s="3"/>
      <c r="G1329" s="3">
        <f t="shared" si="60"/>
        <v>0</v>
      </c>
      <c r="H1329" s="3">
        <f t="shared" si="61"/>
        <v>0</v>
      </c>
      <c r="I1329" s="3">
        <f t="shared" si="62"/>
        <v>0</v>
      </c>
    </row>
    <row r="1330" spans="4:9" x14ac:dyDescent="0.35">
      <c r="D1330" s="2"/>
      <c r="E1330" s="2"/>
      <c r="F1330" s="3"/>
      <c r="G1330" s="3">
        <f t="shared" si="60"/>
        <v>0</v>
      </c>
      <c r="H1330" s="3">
        <f t="shared" si="61"/>
        <v>0</v>
      </c>
      <c r="I1330" s="3">
        <f t="shared" si="62"/>
        <v>0</v>
      </c>
    </row>
    <row r="1331" spans="4:9" x14ac:dyDescent="0.35">
      <c r="D1331" s="2"/>
      <c r="E1331" s="2"/>
      <c r="F1331" s="3"/>
      <c r="G1331" s="3">
        <f t="shared" si="60"/>
        <v>0</v>
      </c>
      <c r="H1331" s="3">
        <f t="shared" si="61"/>
        <v>0</v>
      </c>
      <c r="I1331" s="3">
        <f t="shared" si="62"/>
        <v>0</v>
      </c>
    </row>
    <row r="1332" spans="4:9" x14ac:dyDescent="0.35">
      <c r="D1332" s="2"/>
      <c r="E1332" s="2"/>
      <c r="F1332" s="3"/>
      <c r="G1332" s="3">
        <f t="shared" si="60"/>
        <v>0</v>
      </c>
      <c r="H1332" s="3">
        <f t="shared" si="61"/>
        <v>0</v>
      </c>
      <c r="I1332" s="3">
        <f t="shared" si="62"/>
        <v>0</v>
      </c>
    </row>
    <row r="1333" spans="4:9" x14ac:dyDescent="0.35">
      <c r="D1333" s="2"/>
      <c r="E1333" s="2"/>
      <c r="F1333" s="3"/>
      <c r="G1333" s="3">
        <f t="shared" si="60"/>
        <v>0</v>
      </c>
      <c r="H1333" s="3">
        <f t="shared" si="61"/>
        <v>0</v>
      </c>
      <c r="I1333" s="3">
        <f t="shared" si="62"/>
        <v>0</v>
      </c>
    </row>
    <row r="1334" spans="4:9" x14ac:dyDescent="0.35">
      <c r="D1334" s="2"/>
      <c r="E1334" s="2"/>
      <c r="F1334" s="3"/>
      <c r="G1334" s="3">
        <f t="shared" si="60"/>
        <v>0</v>
      </c>
      <c r="H1334" s="3">
        <f t="shared" si="61"/>
        <v>0</v>
      </c>
      <c r="I1334" s="3">
        <f t="shared" si="62"/>
        <v>0</v>
      </c>
    </row>
    <row r="1335" spans="4:9" x14ac:dyDescent="0.35">
      <c r="D1335" s="2"/>
      <c r="E1335" s="2"/>
      <c r="F1335" s="3"/>
      <c r="G1335" s="3">
        <f t="shared" si="60"/>
        <v>0</v>
      </c>
      <c r="H1335" s="3">
        <f t="shared" si="61"/>
        <v>0</v>
      </c>
      <c r="I1335" s="3">
        <f t="shared" si="62"/>
        <v>0</v>
      </c>
    </row>
    <row r="1336" spans="4:9" x14ac:dyDescent="0.35">
      <c r="D1336" s="2"/>
      <c r="E1336" s="2"/>
      <c r="F1336" s="3"/>
      <c r="G1336" s="3">
        <f t="shared" si="60"/>
        <v>0</v>
      </c>
      <c r="H1336" s="3">
        <f t="shared" si="61"/>
        <v>0</v>
      </c>
      <c r="I1336" s="3">
        <f t="shared" si="62"/>
        <v>0</v>
      </c>
    </row>
    <row r="1337" spans="4:9" x14ac:dyDescent="0.35">
      <c r="D1337" s="2"/>
      <c r="E1337" s="2"/>
      <c r="F1337" s="3"/>
      <c r="G1337" s="3">
        <f t="shared" si="60"/>
        <v>0</v>
      </c>
      <c r="H1337" s="3">
        <f t="shared" si="61"/>
        <v>0</v>
      </c>
      <c r="I1337" s="3">
        <f t="shared" si="62"/>
        <v>0</v>
      </c>
    </row>
    <row r="1338" spans="4:9" x14ac:dyDescent="0.35">
      <c r="D1338" s="2"/>
      <c r="E1338" s="2"/>
      <c r="F1338" s="3"/>
      <c r="G1338" s="3">
        <f t="shared" si="60"/>
        <v>0</v>
      </c>
      <c r="H1338" s="3">
        <f t="shared" si="61"/>
        <v>0</v>
      </c>
      <c r="I1338" s="3">
        <f t="shared" si="62"/>
        <v>0</v>
      </c>
    </row>
    <row r="1339" spans="4:9" x14ac:dyDescent="0.35">
      <c r="D1339" s="2"/>
      <c r="E1339" s="2"/>
      <c r="F1339" s="3"/>
      <c r="G1339" s="3">
        <f t="shared" si="60"/>
        <v>0</v>
      </c>
      <c r="H1339" s="3">
        <f t="shared" si="61"/>
        <v>0</v>
      </c>
      <c r="I1339" s="3">
        <f t="shared" si="62"/>
        <v>0</v>
      </c>
    </row>
    <row r="1340" spans="4:9" x14ac:dyDescent="0.35">
      <c r="D1340" s="2"/>
      <c r="E1340" s="2"/>
      <c r="F1340" s="3"/>
      <c r="G1340" s="3">
        <f t="shared" si="60"/>
        <v>0</v>
      </c>
      <c r="H1340" s="3">
        <f t="shared" si="61"/>
        <v>0</v>
      </c>
      <c r="I1340" s="3">
        <f t="shared" si="62"/>
        <v>0</v>
      </c>
    </row>
    <row r="1341" spans="4:9" x14ac:dyDescent="0.35">
      <c r="D1341" s="2"/>
      <c r="E1341" s="2"/>
      <c r="F1341" s="3"/>
      <c r="G1341" s="3">
        <f t="shared" si="60"/>
        <v>0</v>
      </c>
      <c r="H1341" s="3">
        <f t="shared" si="61"/>
        <v>0</v>
      </c>
      <c r="I1341" s="3">
        <f t="shared" si="62"/>
        <v>0</v>
      </c>
    </row>
    <row r="1342" spans="4:9" x14ac:dyDescent="0.35">
      <c r="D1342" s="2"/>
      <c r="E1342" s="2"/>
      <c r="F1342" s="3"/>
      <c r="G1342" s="3">
        <f t="shared" si="60"/>
        <v>0</v>
      </c>
      <c r="H1342" s="3">
        <f t="shared" si="61"/>
        <v>0</v>
      </c>
      <c r="I1342" s="3">
        <f t="shared" si="62"/>
        <v>0</v>
      </c>
    </row>
    <row r="1343" spans="4:9" x14ac:dyDescent="0.35">
      <c r="D1343" s="2"/>
      <c r="E1343" s="2"/>
      <c r="F1343" s="3"/>
      <c r="G1343" s="3">
        <f t="shared" si="60"/>
        <v>0</v>
      </c>
      <c r="H1343" s="3">
        <f t="shared" si="61"/>
        <v>0</v>
      </c>
      <c r="I1343" s="3">
        <f t="shared" si="62"/>
        <v>0</v>
      </c>
    </row>
    <row r="1344" spans="4:9" x14ac:dyDescent="0.35">
      <c r="D1344" s="2"/>
      <c r="E1344" s="2"/>
      <c r="F1344" s="3"/>
      <c r="G1344" s="3">
        <f t="shared" si="60"/>
        <v>0</v>
      </c>
      <c r="H1344" s="3">
        <f t="shared" si="61"/>
        <v>0</v>
      </c>
      <c r="I1344" s="3">
        <f t="shared" si="62"/>
        <v>0</v>
      </c>
    </row>
    <row r="1345" spans="4:9" x14ac:dyDescent="0.35">
      <c r="D1345" s="2"/>
      <c r="E1345" s="2"/>
      <c r="F1345" s="3"/>
      <c r="G1345" s="3">
        <f t="shared" si="60"/>
        <v>0</v>
      </c>
      <c r="H1345" s="3">
        <f t="shared" si="61"/>
        <v>0</v>
      </c>
      <c r="I1345" s="3">
        <f t="shared" si="62"/>
        <v>0</v>
      </c>
    </row>
    <row r="1346" spans="4:9" x14ac:dyDescent="0.35">
      <c r="D1346" s="2"/>
      <c r="E1346" s="2"/>
      <c r="F1346" s="3"/>
      <c r="G1346" s="3">
        <f t="shared" ref="G1346:G1409" si="63">IF($F1346&gt;0,$E1346/(1-$F1346),0)</f>
        <v>0</v>
      </c>
      <c r="H1346" s="3">
        <f t="shared" ref="H1346:H1409" si="64">IF($D1346&gt;0,$G1346/$D1346,0)</f>
        <v>0</v>
      </c>
      <c r="I1346" s="3">
        <f t="shared" ref="I1346:I1409" si="65">$E1346*1.1</f>
        <v>0</v>
      </c>
    </row>
    <row r="1347" spans="4:9" x14ac:dyDescent="0.35">
      <c r="D1347" s="2"/>
      <c r="E1347" s="2"/>
      <c r="F1347" s="3"/>
      <c r="G1347" s="3">
        <f t="shared" si="63"/>
        <v>0</v>
      </c>
      <c r="H1347" s="3">
        <f t="shared" si="64"/>
        <v>0</v>
      </c>
      <c r="I1347" s="3">
        <f t="shared" si="65"/>
        <v>0</v>
      </c>
    </row>
    <row r="1348" spans="4:9" x14ac:dyDescent="0.35">
      <c r="D1348" s="2"/>
      <c r="E1348" s="2"/>
      <c r="F1348" s="3"/>
      <c r="G1348" s="3">
        <f t="shared" si="63"/>
        <v>0</v>
      </c>
      <c r="H1348" s="3">
        <f t="shared" si="64"/>
        <v>0</v>
      </c>
      <c r="I1348" s="3">
        <f t="shared" si="65"/>
        <v>0</v>
      </c>
    </row>
    <row r="1349" spans="4:9" x14ac:dyDescent="0.35">
      <c r="D1349" s="2"/>
      <c r="E1349" s="2"/>
      <c r="F1349" s="3"/>
      <c r="G1349" s="3">
        <f t="shared" si="63"/>
        <v>0</v>
      </c>
      <c r="H1349" s="3">
        <f t="shared" si="64"/>
        <v>0</v>
      </c>
      <c r="I1349" s="3">
        <f t="shared" si="65"/>
        <v>0</v>
      </c>
    </row>
    <row r="1350" spans="4:9" x14ac:dyDescent="0.35">
      <c r="D1350" s="2"/>
      <c r="E1350" s="2"/>
      <c r="F1350" s="3"/>
      <c r="G1350" s="3">
        <f t="shared" si="63"/>
        <v>0</v>
      </c>
      <c r="H1350" s="3">
        <f t="shared" si="64"/>
        <v>0</v>
      </c>
      <c r="I1350" s="3">
        <f t="shared" si="65"/>
        <v>0</v>
      </c>
    </row>
    <row r="1351" spans="4:9" x14ac:dyDescent="0.35">
      <c r="D1351" s="2"/>
      <c r="E1351" s="2"/>
      <c r="F1351" s="3"/>
      <c r="G1351" s="3">
        <f t="shared" si="63"/>
        <v>0</v>
      </c>
      <c r="H1351" s="3">
        <f t="shared" si="64"/>
        <v>0</v>
      </c>
      <c r="I1351" s="3">
        <f t="shared" si="65"/>
        <v>0</v>
      </c>
    </row>
    <row r="1352" spans="4:9" x14ac:dyDescent="0.35">
      <c r="D1352" s="2"/>
      <c r="E1352" s="2"/>
      <c r="F1352" s="3"/>
      <c r="G1352" s="3">
        <f t="shared" si="63"/>
        <v>0</v>
      </c>
      <c r="H1352" s="3">
        <f t="shared" si="64"/>
        <v>0</v>
      </c>
      <c r="I1352" s="3">
        <f t="shared" si="65"/>
        <v>0</v>
      </c>
    </row>
    <row r="1353" spans="4:9" x14ac:dyDescent="0.35">
      <c r="D1353" s="2"/>
      <c r="E1353" s="2"/>
      <c r="F1353" s="3"/>
      <c r="G1353" s="3">
        <f t="shared" si="63"/>
        <v>0</v>
      </c>
      <c r="H1353" s="3">
        <f t="shared" si="64"/>
        <v>0</v>
      </c>
      <c r="I1353" s="3">
        <f t="shared" si="65"/>
        <v>0</v>
      </c>
    </row>
    <row r="1354" spans="4:9" x14ac:dyDescent="0.35">
      <c r="D1354" s="2"/>
      <c r="E1354" s="2"/>
      <c r="F1354" s="3"/>
      <c r="G1354" s="3">
        <f t="shared" si="63"/>
        <v>0</v>
      </c>
      <c r="H1354" s="3">
        <f t="shared" si="64"/>
        <v>0</v>
      </c>
      <c r="I1354" s="3">
        <f t="shared" si="65"/>
        <v>0</v>
      </c>
    </row>
    <row r="1355" spans="4:9" x14ac:dyDescent="0.35">
      <c r="D1355" s="2"/>
      <c r="E1355" s="2"/>
      <c r="F1355" s="3"/>
      <c r="G1355" s="3">
        <f t="shared" si="63"/>
        <v>0</v>
      </c>
      <c r="H1355" s="3">
        <f t="shared" si="64"/>
        <v>0</v>
      </c>
      <c r="I1355" s="3">
        <f t="shared" si="65"/>
        <v>0</v>
      </c>
    </row>
    <row r="1356" spans="4:9" x14ac:dyDescent="0.35">
      <c r="D1356" s="2"/>
      <c r="E1356" s="2"/>
      <c r="F1356" s="3"/>
      <c r="G1356" s="3">
        <f t="shared" si="63"/>
        <v>0</v>
      </c>
      <c r="H1356" s="3">
        <f t="shared" si="64"/>
        <v>0</v>
      </c>
      <c r="I1356" s="3">
        <f t="shared" si="65"/>
        <v>0</v>
      </c>
    </row>
    <row r="1357" spans="4:9" x14ac:dyDescent="0.35">
      <c r="D1357" s="2"/>
      <c r="E1357" s="2"/>
      <c r="F1357" s="3"/>
      <c r="G1357" s="3">
        <f t="shared" si="63"/>
        <v>0</v>
      </c>
      <c r="H1357" s="3">
        <f t="shared" si="64"/>
        <v>0</v>
      </c>
      <c r="I1357" s="3">
        <f t="shared" si="65"/>
        <v>0</v>
      </c>
    </row>
    <row r="1358" spans="4:9" x14ac:dyDescent="0.35">
      <c r="D1358" s="2"/>
      <c r="E1358" s="2"/>
      <c r="F1358" s="3"/>
      <c r="G1358" s="3">
        <f t="shared" si="63"/>
        <v>0</v>
      </c>
      <c r="H1358" s="3">
        <f t="shared" si="64"/>
        <v>0</v>
      </c>
      <c r="I1358" s="3">
        <f t="shared" si="65"/>
        <v>0</v>
      </c>
    </row>
    <row r="1359" spans="4:9" x14ac:dyDescent="0.35">
      <c r="D1359" s="2"/>
      <c r="E1359" s="2"/>
      <c r="F1359" s="3"/>
      <c r="G1359" s="3">
        <f t="shared" si="63"/>
        <v>0</v>
      </c>
      <c r="H1359" s="3">
        <f t="shared" si="64"/>
        <v>0</v>
      </c>
      <c r="I1359" s="3">
        <f t="shared" si="65"/>
        <v>0</v>
      </c>
    </row>
    <row r="1360" spans="4:9" x14ac:dyDescent="0.35">
      <c r="D1360" s="2"/>
      <c r="E1360" s="2"/>
      <c r="F1360" s="3"/>
      <c r="G1360" s="3">
        <f t="shared" si="63"/>
        <v>0</v>
      </c>
      <c r="H1360" s="3">
        <f t="shared" si="64"/>
        <v>0</v>
      </c>
      <c r="I1360" s="3">
        <f t="shared" si="65"/>
        <v>0</v>
      </c>
    </row>
    <row r="1361" spans="4:9" x14ac:dyDescent="0.35">
      <c r="D1361" s="2"/>
      <c r="E1361" s="2"/>
      <c r="F1361" s="3"/>
      <c r="G1361" s="3">
        <f t="shared" si="63"/>
        <v>0</v>
      </c>
      <c r="H1361" s="3">
        <f t="shared" si="64"/>
        <v>0</v>
      </c>
      <c r="I1361" s="3">
        <f t="shared" si="65"/>
        <v>0</v>
      </c>
    </row>
    <row r="1362" spans="4:9" x14ac:dyDescent="0.35">
      <c r="D1362" s="2"/>
      <c r="E1362" s="2"/>
      <c r="F1362" s="3"/>
      <c r="G1362" s="3">
        <f t="shared" si="63"/>
        <v>0</v>
      </c>
      <c r="H1362" s="3">
        <f t="shared" si="64"/>
        <v>0</v>
      </c>
      <c r="I1362" s="3">
        <f t="shared" si="65"/>
        <v>0</v>
      </c>
    </row>
    <row r="1363" spans="4:9" x14ac:dyDescent="0.35">
      <c r="D1363" s="2"/>
      <c r="E1363" s="2"/>
      <c r="F1363" s="3"/>
      <c r="G1363" s="3">
        <f t="shared" si="63"/>
        <v>0</v>
      </c>
      <c r="H1363" s="3">
        <f t="shared" si="64"/>
        <v>0</v>
      </c>
      <c r="I1363" s="3">
        <f t="shared" si="65"/>
        <v>0</v>
      </c>
    </row>
    <row r="1364" spans="4:9" x14ac:dyDescent="0.35">
      <c r="D1364" s="2"/>
      <c r="E1364" s="2"/>
      <c r="F1364" s="3"/>
      <c r="G1364" s="3">
        <f t="shared" si="63"/>
        <v>0</v>
      </c>
      <c r="H1364" s="3">
        <f t="shared" si="64"/>
        <v>0</v>
      </c>
      <c r="I1364" s="3">
        <f t="shared" si="65"/>
        <v>0</v>
      </c>
    </row>
    <row r="1365" spans="4:9" x14ac:dyDescent="0.35">
      <c r="D1365" s="2"/>
      <c r="E1365" s="2"/>
      <c r="F1365" s="3"/>
      <c r="G1365" s="3">
        <f t="shared" si="63"/>
        <v>0</v>
      </c>
      <c r="H1365" s="3">
        <f t="shared" si="64"/>
        <v>0</v>
      </c>
      <c r="I1365" s="3">
        <f t="shared" si="65"/>
        <v>0</v>
      </c>
    </row>
    <row r="1366" spans="4:9" x14ac:dyDescent="0.35">
      <c r="D1366" s="2"/>
      <c r="E1366" s="2"/>
      <c r="F1366" s="3"/>
      <c r="G1366" s="3">
        <f t="shared" si="63"/>
        <v>0</v>
      </c>
      <c r="H1366" s="3">
        <f t="shared" si="64"/>
        <v>0</v>
      </c>
      <c r="I1366" s="3">
        <f t="shared" si="65"/>
        <v>0</v>
      </c>
    </row>
    <row r="1367" spans="4:9" x14ac:dyDescent="0.35">
      <c r="D1367" s="2"/>
      <c r="E1367" s="2"/>
      <c r="F1367" s="3"/>
      <c r="G1367" s="3">
        <f t="shared" si="63"/>
        <v>0</v>
      </c>
      <c r="H1367" s="3">
        <f t="shared" si="64"/>
        <v>0</v>
      </c>
      <c r="I1367" s="3">
        <f t="shared" si="65"/>
        <v>0</v>
      </c>
    </row>
    <row r="1368" spans="4:9" x14ac:dyDescent="0.35">
      <c r="D1368" s="2"/>
      <c r="E1368" s="2"/>
      <c r="F1368" s="3"/>
      <c r="G1368" s="3">
        <f t="shared" si="63"/>
        <v>0</v>
      </c>
      <c r="H1368" s="3">
        <f t="shared" si="64"/>
        <v>0</v>
      </c>
      <c r="I1368" s="3">
        <f t="shared" si="65"/>
        <v>0</v>
      </c>
    </row>
    <row r="1369" spans="4:9" x14ac:dyDescent="0.35">
      <c r="D1369" s="2"/>
      <c r="E1369" s="2"/>
      <c r="F1369" s="3"/>
      <c r="G1369" s="3">
        <f t="shared" si="63"/>
        <v>0</v>
      </c>
      <c r="H1369" s="3">
        <f t="shared" si="64"/>
        <v>0</v>
      </c>
      <c r="I1369" s="3">
        <f t="shared" si="65"/>
        <v>0</v>
      </c>
    </row>
    <row r="1370" spans="4:9" x14ac:dyDescent="0.35">
      <c r="D1370" s="2"/>
      <c r="E1370" s="2"/>
      <c r="F1370" s="3"/>
      <c r="G1370" s="3">
        <f t="shared" si="63"/>
        <v>0</v>
      </c>
      <c r="H1370" s="3">
        <f t="shared" si="64"/>
        <v>0</v>
      </c>
      <c r="I1370" s="3">
        <f t="shared" si="65"/>
        <v>0</v>
      </c>
    </row>
    <row r="1371" spans="4:9" x14ac:dyDescent="0.35">
      <c r="D1371" s="2"/>
      <c r="E1371" s="2"/>
      <c r="F1371" s="3"/>
      <c r="G1371" s="3">
        <f t="shared" si="63"/>
        <v>0</v>
      </c>
      <c r="H1371" s="3">
        <f t="shared" si="64"/>
        <v>0</v>
      </c>
      <c r="I1371" s="3">
        <f t="shared" si="65"/>
        <v>0</v>
      </c>
    </row>
    <row r="1372" spans="4:9" x14ac:dyDescent="0.35">
      <c r="D1372" s="2"/>
      <c r="E1372" s="2"/>
      <c r="F1372" s="3"/>
      <c r="G1372" s="3">
        <f t="shared" si="63"/>
        <v>0</v>
      </c>
      <c r="H1372" s="3">
        <f t="shared" si="64"/>
        <v>0</v>
      </c>
      <c r="I1372" s="3">
        <f t="shared" si="65"/>
        <v>0</v>
      </c>
    </row>
    <row r="1373" spans="4:9" x14ac:dyDescent="0.35">
      <c r="D1373" s="2"/>
      <c r="E1373" s="2"/>
      <c r="F1373" s="3"/>
      <c r="G1373" s="3">
        <f t="shared" si="63"/>
        <v>0</v>
      </c>
      <c r="H1373" s="3">
        <f t="shared" si="64"/>
        <v>0</v>
      </c>
      <c r="I1373" s="3">
        <f t="shared" si="65"/>
        <v>0</v>
      </c>
    </row>
    <row r="1374" spans="4:9" x14ac:dyDescent="0.35">
      <c r="D1374" s="2"/>
      <c r="E1374" s="2"/>
      <c r="F1374" s="3"/>
      <c r="G1374" s="3">
        <f t="shared" si="63"/>
        <v>0</v>
      </c>
      <c r="H1374" s="3">
        <f t="shared" si="64"/>
        <v>0</v>
      </c>
      <c r="I1374" s="3">
        <f t="shared" si="65"/>
        <v>0</v>
      </c>
    </row>
    <row r="1375" spans="4:9" x14ac:dyDescent="0.35">
      <c r="D1375" s="2"/>
      <c r="E1375" s="2"/>
      <c r="F1375" s="3"/>
      <c r="G1375" s="3">
        <f t="shared" si="63"/>
        <v>0</v>
      </c>
      <c r="H1375" s="3">
        <f t="shared" si="64"/>
        <v>0</v>
      </c>
      <c r="I1375" s="3">
        <f t="shared" si="65"/>
        <v>0</v>
      </c>
    </row>
    <row r="1376" spans="4:9" x14ac:dyDescent="0.35">
      <c r="D1376" s="2"/>
      <c r="E1376" s="2"/>
      <c r="F1376" s="3"/>
      <c r="G1376" s="3">
        <f t="shared" si="63"/>
        <v>0</v>
      </c>
      <c r="H1376" s="3">
        <f t="shared" si="64"/>
        <v>0</v>
      </c>
      <c r="I1376" s="3">
        <f t="shared" si="65"/>
        <v>0</v>
      </c>
    </row>
    <row r="1377" spans="4:9" x14ac:dyDescent="0.35">
      <c r="D1377" s="2"/>
      <c r="E1377" s="2"/>
      <c r="F1377" s="3"/>
      <c r="G1377" s="3">
        <f t="shared" si="63"/>
        <v>0</v>
      </c>
      <c r="H1377" s="3">
        <f t="shared" si="64"/>
        <v>0</v>
      </c>
      <c r="I1377" s="3">
        <f t="shared" si="65"/>
        <v>0</v>
      </c>
    </row>
    <row r="1378" spans="4:9" x14ac:dyDescent="0.35">
      <c r="D1378" s="2"/>
      <c r="E1378" s="2"/>
      <c r="F1378" s="3"/>
      <c r="G1378" s="3">
        <f t="shared" si="63"/>
        <v>0</v>
      </c>
      <c r="H1378" s="3">
        <f t="shared" si="64"/>
        <v>0</v>
      </c>
      <c r="I1378" s="3">
        <f t="shared" si="65"/>
        <v>0</v>
      </c>
    </row>
    <row r="1379" spans="4:9" x14ac:dyDescent="0.35">
      <c r="D1379" s="2"/>
      <c r="E1379" s="2"/>
      <c r="F1379" s="3"/>
      <c r="G1379" s="3">
        <f t="shared" si="63"/>
        <v>0</v>
      </c>
      <c r="H1379" s="3">
        <f t="shared" si="64"/>
        <v>0</v>
      </c>
      <c r="I1379" s="3">
        <f t="shared" si="65"/>
        <v>0</v>
      </c>
    </row>
    <row r="1380" spans="4:9" x14ac:dyDescent="0.35">
      <c r="D1380" s="2"/>
      <c r="E1380" s="2"/>
      <c r="F1380" s="3"/>
      <c r="G1380" s="3">
        <f t="shared" si="63"/>
        <v>0</v>
      </c>
      <c r="H1380" s="3">
        <f t="shared" si="64"/>
        <v>0</v>
      </c>
      <c r="I1380" s="3">
        <f t="shared" si="65"/>
        <v>0</v>
      </c>
    </row>
    <row r="1381" spans="4:9" x14ac:dyDescent="0.35">
      <c r="D1381" s="2"/>
      <c r="E1381" s="2"/>
      <c r="F1381" s="3"/>
      <c r="G1381" s="3">
        <f t="shared" si="63"/>
        <v>0</v>
      </c>
      <c r="H1381" s="3">
        <f t="shared" si="64"/>
        <v>0</v>
      </c>
      <c r="I1381" s="3">
        <f t="shared" si="65"/>
        <v>0</v>
      </c>
    </row>
    <row r="1382" spans="4:9" x14ac:dyDescent="0.35">
      <c r="D1382" s="2"/>
      <c r="E1382" s="2"/>
      <c r="F1382" s="3"/>
      <c r="G1382" s="3">
        <f t="shared" si="63"/>
        <v>0</v>
      </c>
      <c r="H1382" s="3">
        <f t="shared" si="64"/>
        <v>0</v>
      </c>
      <c r="I1382" s="3">
        <f t="shared" si="65"/>
        <v>0</v>
      </c>
    </row>
    <row r="1383" spans="4:9" x14ac:dyDescent="0.35">
      <c r="D1383" s="2"/>
      <c r="E1383" s="2"/>
      <c r="F1383" s="3"/>
      <c r="G1383" s="3">
        <f t="shared" si="63"/>
        <v>0</v>
      </c>
      <c r="H1383" s="3">
        <f t="shared" si="64"/>
        <v>0</v>
      </c>
      <c r="I1383" s="3">
        <f t="shared" si="65"/>
        <v>0</v>
      </c>
    </row>
    <row r="1384" spans="4:9" x14ac:dyDescent="0.35">
      <c r="D1384" s="2"/>
      <c r="E1384" s="2"/>
      <c r="F1384" s="3"/>
      <c r="G1384" s="3">
        <f t="shared" si="63"/>
        <v>0</v>
      </c>
      <c r="H1384" s="3">
        <f t="shared" si="64"/>
        <v>0</v>
      </c>
      <c r="I1384" s="3">
        <f t="shared" si="65"/>
        <v>0</v>
      </c>
    </row>
    <row r="1385" spans="4:9" x14ac:dyDescent="0.35">
      <c r="D1385" s="2"/>
      <c r="E1385" s="2"/>
      <c r="F1385" s="3"/>
      <c r="G1385" s="3">
        <f t="shared" si="63"/>
        <v>0</v>
      </c>
      <c r="H1385" s="3">
        <f t="shared" si="64"/>
        <v>0</v>
      </c>
      <c r="I1385" s="3">
        <f t="shared" si="65"/>
        <v>0</v>
      </c>
    </row>
    <row r="1386" spans="4:9" x14ac:dyDescent="0.35">
      <c r="D1386" s="2"/>
      <c r="E1386" s="2"/>
      <c r="F1386" s="3"/>
      <c r="G1386" s="3">
        <f t="shared" si="63"/>
        <v>0</v>
      </c>
      <c r="H1386" s="3">
        <f t="shared" si="64"/>
        <v>0</v>
      </c>
      <c r="I1386" s="3">
        <f t="shared" si="65"/>
        <v>0</v>
      </c>
    </row>
    <row r="1387" spans="4:9" x14ac:dyDescent="0.35">
      <c r="D1387" s="2"/>
      <c r="E1387" s="2"/>
      <c r="F1387" s="3"/>
      <c r="G1387" s="3">
        <f t="shared" si="63"/>
        <v>0</v>
      </c>
      <c r="H1387" s="3">
        <f t="shared" si="64"/>
        <v>0</v>
      </c>
      <c r="I1387" s="3">
        <f t="shared" si="65"/>
        <v>0</v>
      </c>
    </row>
    <row r="1388" spans="4:9" x14ac:dyDescent="0.35">
      <c r="D1388" s="2"/>
      <c r="E1388" s="2"/>
      <c r="F1388" s="3"/>
      <c r="G1388" s="3">
        <f t="shared" si="63"/>
        <v>0</v>
      </c>
      <c r="H1388" s="3">
        <f t="shared" si="64"/>
        <v>0</v>
      </c>
      <c r="I1388" s="3">
        <f t="shared" si="65"/>
        <v>0</v>
      </c>
    </row>
    <row r="1389" spans="4:9" x14ac:dyDescent="0.35">
      <c r="D1389" s="2"/>
      <c r="E1389" s="2"/>
      <c r="F1389" s="3"/>
      <c r="G1389" s="3">
        <f t="shared" si="63"/>
        <v>0</v>
      </c>
      <c r="H1389" s="3">
        <f t="shared" si="64"/>
        <v>0</v>
      </c>
      <c r="I1389" s="3">
        <f t="shared" si="65"/>
        <v>0</v>
      </c>
    </row>
    <row r="1390" spans="4:9" x14ac:dyDescent="0.35">
      <c r="D1390" s="2"/>
      <c r="E1390" s="2"/>
      <c r="F1390" s="3"/>
      <c r="G1390" s="3">
        <f t="shared" si="63"/>
        <v>0</v>
      </c>
      <c r="H1390" s="3">
        <f t="shared" si="64"/>
        <v>0</v>
      </c>
      <c r="I1390" s="3">
        <f t="shared" si="65"/>
        <v>0</v>
      </c>
    </row>
    <row r="1391" spans="4:9" x14ac:dyDescent="0.35">
      <c r="D1391" s="2"/>
      <c r="E1391" s="2"/>
      <c r="F1391" s="3"/>
      <c r="G1391" s="3">
        <f t="shared" si="63"/>
        <v>0</v>
      </c>
      <c r="H1391" s="3">
        <f t="shared" si="64"/>
        <v>0</v>
      </c>
      <c r="I1391" s="3">
        <f t="shared" si="65"/>
        <v>0</v>
      </c>
    </row>
    <row r="1392" spans="4:9" x14ac:dyDescent="0.35">
      <c r="D1392" s="2"/>
      <c r="E1392" s="2"/>
      <c r="F1392" s="3"/>
      <c r="G1392" s="3">
        <f t="shared" si="63"/>
        <v>0</v>
      </c>
      <c r="H1392" s="3">
        <f t="shared" si="64"/>
        <v>0</v>
      </c>
      <c r="I1392" s="3">
        <f t="shared" si="65"/>
        <v>0</v>
      </c>
    </row>
    <row r="1393" spans="4:9" x14ac:dyDescent="0.35">
      <c r="D1393" s="2"/>
      <c r="E1393" s="2"/>
      <c r="F1393" s="3"/>
      <c r="G1393" s="3">
        <f t="shared" si="63"/>
        <v>0</v>
      </c>
      <c r="H1393" s="3">
        <f t="shared" si="64"/>
        <v>0</v>
      </c>
      <c r="I1393" s="3">
        <f t="shared" si="65"/>
        <v>0</v>
      </c>
    </row>
    <row r="1394" spans="4:9" x14ac:dyDescent="0.35">
      <c r="D1394" s="2"/>
      <c r="E1394" s="2"/>
      <c r="F1394" s="3"/>
      <c r="G1394" s="3">
        <f t="shared" si="63"/>
        <v>0</v>
      </c>
      <c r="H1394" s="3">
        <f t="shared" si="64"/>
        <v>0</v>
      </c>
      <c r="I1394" s="3">
        <f t="shared" si="65"/>
        <v>0</v>
      </c>
    </row>
    <row r="1395" spans="4:9" x14ac:dyDescent="0.35">
      <c r="D1395" s="2"/>
      <c r="E1395" s="2"/>
      <c r="F1395" s="3"/>
      <c r="G1395" s="3">
        <f t="shared" si="63"/>
        <v>0</v>
      </c>
      <c r="H1395" s="3">
        <f t="shared" si="64"/>
        <v>0</v>
      </c>
      <c r="I1395" s="3">
        <f t="shared" si="65"/>
        <v>0</v>
      </c>
    </row>
    <row r="1396" spans="4:9" x14ac:dyDescent="0.35">
      <c r="D1396" s="2"/>
      <c r="E1396" s="2"/>
      <c r="F1396" s="3"/>
      <c r="G1396" s="3">
        <f t="shared" si="63"/>
        <v>0</v>
      </c>
      <c r="H1396" s="3">
        <f t="shared" si="64"/>
        <v>0</v>
      </c>
      <c r="I1396" s="3">
        <f t="shared" si="65"/>
        <v>0</v>
      </c>
    </row>
    <row r="1397" spans="4:9" x14ac:dyDescent="0.35">
      <c r="D1397" s="2"/>
      <c r="E1397" s="2"/>
      <c r="F1397" s="3"/>
      <c r="G1397" s="3">
        <f t="shared" si="63"/>
        <v>0</v>
      </c>
      <c r="H1397" s="3">
        <f t="shared" si="64"/>
        <v>0</v>
      </c>
      <c r="I1397" s="3">
        <f t="shared" si="65"/>
        <v>0</v>
      </c>
    </row>
    <row r="1398" spans="4:9" x14ac:dyDescent="0.35">
      <c r="D1398" s="2"/>
      <c r="E1398" s="2"/>
      <c r="F1398" s="3"/>
      <c r="G1398" s="3">
        <f t="shared" si="63"/>
        <v>0</v>
      </c>
      <c r="H1398" s="3">
        <f t="shared" si="64"/>
        <v>0</v>
      </c>
      <c r="I1398" s="3">
        <f t="shared" si="65"/>
        <v>0</v>
      </c>
    </row>
    <row r="1399" spans="4:9" x14ac:dyDescent="0.35">
      <c r="D1399" s="2"/>
      <c r="E1399" s="2"/>
      <c r="F1399" s="3"/>
      <c r="G1399" s="3">
        <f t="shared" si="63"/>
        <v>0</v>
      </c>
      <c r="H1399" s="3">
        <f t="shared" si="64"/>
        <v>0</v>
      </c>
      <c r="I1399" s="3">
        <f t="shared" si="65"/>
        <v>0</v>
      </c>
    </row>
    <row r="1400" spans="4:9" x14ac:dyDescent="0.35">
      <c r="D1400" s="2"/>
      <c r="E1400" s="2"/>
      <c r="F1400" s="3"/>
      <c r="G1400" s="3">
        <f t="shared" si="63"/>
        <v>0</v>
      </c>
      <c r="H1400" s="3">
        <f t="shared" si="64"/>
        <v>0</v>
      </c>
      <c r="I1400" s="3">
        <f t="shared" si="65"/>
        <v>0</v>
      </c>
    </row>
    <row r="1401" spans="4:9" x14ac:dyDescent="0.35">
      <c r="D1401" s="2"/>
      <c r="E1401" s="2"/>
      <c r="F1401" s="3"/>
      <c r="G1401" s="3">
        <f t="shared" si="63"/>
        <v>0</v>
      </c>
      <c r="H1401" s="3">
        <f t="shared" si="64"/>
        <v>0</v>
      </c>
      <c r="I1401" s="3">
        <f t="shared" si="65"/>
        <v>0</v>
      </c>
    </row>
    <row r="1402" spans="4:9" x14ac:dyDescent="0.35">
      <c r="D1402" s="2"/>
      <c r="E1402" s="2"/>
      <c r="F1402" s="3"/>
      <c r="G1402" s="3">
        <f t="shared" si="63"/>
        <v>0</v>
      </c>
      <c r="H1402" s="3">
        <f t="shared" si="64"/>
        <v>0</v>
      </c>
      <c r="I1402" s="3">
        <f t="shared" si="65"/>
        <v>0</v>
      </c>
    </row>
    <row r="1403" spans="4:9" x14ac:dyDescent="0.35">
      <c r="D1403" s="2"/>
      <c r="E1403" s="2"/>
      <c r="F1403" s="3"/>
      <c r="G1403" s="3">
        <f t="shared" si="63"/>
        <v>0</v>
      </c>
      <c r="H1403" s="3">
        <f t="shared" si="64"/>
        <v>0</v>
      </c>
      <c r="I1403" s="3">
        <f t="shared" si="65"/>
        <v>0</v>
      </c>
    </row>
    <row r="1404" spans="4:9" x14ac:dyDescent="0.35">
      <c r="D1404" s="2"/>
      <c r="E1404" s="2"/>
      <c r="F1404" s="3"/>
      <c r="G1404" s="3">
        <f t="shared" si="63"/>
        <v>0</v>
      </c>
      <c r="H1404" s="3">
        <f t="shared" si="64"/>
        <v>0</v>
      </c>
      <c r="I1404" s="3">
        <f t="shared" si="65"/>
        <v>0</v>
      </c>
    </row>
    <row r="1405" spans="4:9" x14ac:dyDescent="0.35">
      <c r="D1405" s="2"/>
      <c r="E1405" s="2"/>
      <c r="F1405" s="3"/>
      <c r="G1405" s="3">
        <f t="shared" si="63"/>
        <v>0</v>
      </c>
      <c r="H1405" s="3">
        <f t="shared" si="64"/>
        <v>0</v>
      </c>
      <c r="I1405" s="3">
        <f t="shared" si="65"/>
        <v>0</v>
      </c>
    </row>
    <row r="1406" spans="4:9" x14ac:dyDescent="0.35">
      <c r="D1406" s="2"/>
      <c r="E1406" s="2"/>
      <c r="F1406" s="3"/>
      <c r="G1406" s="3">
        <f t="shared" si="63"/>
        <v>0</v>
      </c>
      <c r="H1406" s="3">
        <f t="shared" si="64"/>
        <v>0</v>
      </c>
      <c r="I1406" s="3">
        <f t="shared" si="65"/>
        <v>0</v>
      </c>
    </row>
    <row r="1407" spans="4:9" x14ac:dyDescent="0.35">
      <c r="D1407" s="2"/>
      <c r="E1407" s="2"/>
      <c r="F1407" s="3"/>
      <c r="G1407" s="3">
        <f t="shared" si="63"/>
        <v>0</v>
      </c>
      <c r="H1407" s="3">
        <f t="shared" si="64"/>
        <v>0</v>
      </c>
      <c r="I1407" s="3">
        <f t="shared" si="65"/>
        <v>0</v>
      </c>
    </row>
    <row r="1408" spans="4:9" x14ac:dyDescent="0.35">
      <c r="D1408" s="2"/>
      <c r="E1408" s="2"/>
      <c r="F1408" s="3"/>
      <c r="G1408" s="3">
        <f t="shared" si="63"/>
        <v>0</v>
      </c>
      <c r="H1408" s="3">
        <f t="shared" si="64"/>
        <v>0</v>
      </c>
      <c r="I1408" s="3">
        <f t="shared" si="65"/>
        <v>0</v>
      </c>
    </row>
    <row r="1409" spans="4:9" x14ac:dyDescent="0.35">
      <c r="D1409" s="2"/>
      <c r="E1409" s="2"/>
      <c r="F1409" s="3"/>
      <c r="G1409" s="3">
        <f t="shared" si="63"/>
        <v>0</v>
      </c>
      <c r="H1409" s="3">
        <f t="shared" si="64"/>
        <v>0</v>
      </c>
      <c r="I1409" s="3">
        <f t="shared" si="65"/>
        <v>0</v>
      </c>
    </row>
    <row r="1410" spans="4:9" x14ac:dyDescent="0.35">
      <c r="D1410" s="2"/>
      <c r="E1410" s="2"/>
      <c r="F1410" s="3"/>
      <c r="G1410" s="3">
        <f t="shared" ref="G1410:G1473" si="66">IF($F1410&gt;0,$E1410/(1-$F1410),0)</f>
        <v>0</v>
      </c>
      <c r="H1410" s="3">
        <f t="shared" ref="H1410:H1473" si="67">IF($D1410&gt;0,$G1410/$D1410,0)</f>
        <v>0</v>
      </c>
      <c r="I1410" s="3">
        <f t="shared" ref="I1410:I1473" si="68">$E1410*1.1</f>
        <v>0</v>
      </c>
    </row>
    <row r="1411" spans="4:9" x14ac:dyDescent="0.35">
      <c r="D1411" s="2"/>
      <c r="E1411" s="2"/>
      <c r="F1411" s="3"/>
      <c r="G1411" s="3">
        <f t="shared" si="66"/>
        <v>0</v>
      </c>
      <c r="H1411" s="3">
        <f t="shared" si="67"/>
        <v>0</v>
      </c>
      <c r="I1411" s="3">
        <f t="shared" si="68"/>
        <v>0</v>
      </c>
    </row>
    <row r="1412" spans="4:9" x14ac:dyDescent="0.35">
      <c r="D1412" s="2"/>
      <c r="E1412" s="2"/>
      <c r="F1412" s="3"/>
      <c r="G1412" s="3">
        <f t="shared" si="66"/>
        <v>0</v>
      </c>
      <c r="H1412" s="3">
        <f t="shared" si="67"/>
        <v>0</v>
      </c>
      <c r="I1412" s="3">
        <f t="shared" si="68"/>
        <v>0</v>
      </c>
    </row>
    <row r="1413" spans="4:9" x14ac:dyDescent="0.35">
      <c r="D1413" s="2"/>
      <c r="E1413" s="2"/>
      <c r="F1413" s="3"/>
      <c r="G1413" s="3">
        <f t="shared" si="66"/>
        <v>0</v>
      </c>
      <c r="H1413" s="3">
        <f t="shared" si="67"/>
        <v>0</v>
      </c>
      <c r="I1413" s="3">
        <f t="shared" si="68"/>
        <v>0</v>
      </c>
    </row>
    <row r="1414" spans="4:9" x14ac:dyDescent="0.35">
      <c r="D1414" s="2"/>
      <c r="E1414" s="2"/>
      <c r="F1414" s="3"/>
      <c r="G1414" s="3">
        <f t="shared" si="66"/>
        <v>0</v>
      </c>
      <c r="H1414" s="3">
        <f t="shared" si="67"/>
        <v>0</v>
      </c>
      <c r="I1414" s="3">
        <f t="shared" si="68"/>
        <v>0</v>
      </c>
    </row>
    <row r="1415" spans="4:9" x14ac:dyDescent="0.35">
      <c r="D1415" s="2"/>
      <c r="E1415" s="2"/>
      <c r="F1415" s="3"/>
      <c r="G1415" s="3">
        <f t="shared" si="66"/>
        <v>0</v>
      </c>
      <c r="H1415" s="3">
        <f t="shared" si="67"/>
        <v>0</v>
      </c>
      <c r="I1415" s="3">
        <f t="shared" si="68"/>
        <v>0</v>
      </c>
    </row>
    <row r="1416" spans="4:9" x14ac:dyDescent="0.35">
      <c r="D1416" s="2"/>
      <c r="E1416" s="2"/>
      <c r="F1416" s="3"/>
      <c r="G1416" s="3">
        <f t="shared" si="66"/>
        <v>0</v>
      </c>
      <c r="H1416" s="3">
        <f t="shared" si="67"/>
        <v>0</v>
      </c>
      <c r="I1416" s="3">
        <f t="shared" si="68"/>
        <v>0</v>
      </c>
    </row>
    <row r="1417" spans="4:9" x14ac:dyDescent="0.35">
      <c r="D1417" s="2"/>
      <c r="E1417" s="2"/>
      <c r="F1417" s="3"/>
      <c r="G1417" s="3">
        <f t="shared" si="66"/>
        <v>0</v>
      </c>
      <c r="H1417" s="3">
        <f t="shared" si="67"/>
        <v>0</v>
      </c>
      <c r="I1417" s="3">
        <f t="shared" si="68"/>
        <v>0</v>
      </c>
    </row>
    <row r="1418" spans="4:9" x14ac:dyDescent="0.35">
      <c r="D1418" s="2"/>
      <c r="E1418" s="2"/>
      <c r="F1418" s="3"/>
      <c r="G1418" s="3">
        <f t="shared" si="66"/>
        <v>0</v>
      </c>
      <c r="H1418" s="3">
        <f t="shared" si="67"/>
        <v>0</v>
      </c>
      <c r="I1418" s="3">
        <f t="shared" si="68"/>
        <v>0</v>
      </c>
    </row>
    <row r="1419" spans="4:9" x14ac:dyDescent="0.35">
      <c r="D1419" s="2"/>
      <c r="E1419" s="2"/>
      <c r="F1419" s="3"/>
      <c r="G1419" s="3">
        <f t="shared" si="66"/>
        <v>0</v>
      </c>
      <c r="H1419" s="3">
        <f t="shared" si="67"/>
        <v>0</v>
      </c>
      <c r="I1419" s="3">
        <f t="shared" si="68"/>
        <v>0</v>
      </c>
    </row>
    <row r="1420" spans="4:9" x14ac:dyDescent="0.35">
      <c r="D1420" s="2"/>
      <c r="E1420" s="2"/>
      <c r="F1420" s="3"/>
      <c r="G1420" s="3">
        <f t="shared" si="66"/>
        <v>0</v>
      </c>
      <c r="H1420" s="3">
        <f t="shared" si="67"/>
        <v>0</v>
      </c>
      <c r="I1420" s="3">
        <f t="shared" si="68"/>
        <v>0</v>
      </c>
    </row>
    <row r="1421" spans="4:9" x14ac:dyDescent="0.35">
      <c r="D1421" s="2"/>
      <c r="E1421" s="2"/>
      <c r="F1421" s="3"/>
      <c r="G1421" s="3">
        <f t="shared" si="66"/>
        <v>0</v>
      </c>
      <c r="H1421" s="3">
        <f t="shared" si="67"/>
        <v>0</v>
      </c>
      <c r="I1421" s="3">
        <f t="shared" si="68"/>
        <v>0</v>
      </c>
    </row>
    <row r="1422" spans="4:9" x14ac:dyDescent="0.35">
      <c r="D1422" s="2"/>
      <c r="E1422" s="2"/>
      <c r="F1422" s="3"/>
      <c r="G1422" s="3">
        <f t="shared" si="66"/>
        <v>0</v>
      </c>
      <c r="H1422" s="3">
        <f t="shared" si="67"/>
        <v>0</v>
      </c>
      <c r="I1422" s="3">
        <f t="shared" si="68"/>
        <v>0</v>
      </c>
    </row>
    <row r="1423" spans="4:9" x14ac:dyDescent="0.35">
      <c r="D1423" s="2"/>
      <c r="E1423" s="2"/>
      <c r="F1423" s="3"/>
      <c r="G1423" s="3">
        <f t="shared" si="66"/>
        <v>0</v>
      </c>
      <c r="H1423" s="3">
        <f t="shared" si="67"/>
        <v>0</v>
      </c>
      <c r="I1423" s="3">
        <f t="shared" si="68"/>
        <v>0</v>
      </c>
    </row>
    <row r="1424" spans="4:9" x14ac:dyDescent="0.35">
      <c r="D1424" s="2"/>
      <c r="E1424" s="2"/>
      <c r="F1424" s="3"/>
      <c r="G1424" s="3">
        <f t="shared" si="66"/>
        <v>0</v>
      </c>
      <c r="H1424" s="3">
        <f t="shared" si="67"/>
        <v>0</v>
      </c>
      <c r="I1424" s="3">
        <f t="shared" si="68"/>
        <v>0</v>
      </c>
    </row>
    <row r="1425" spans="4:9" x14ac:dyDescent="0.35">
      <c r="D1425" s="2"/>
      <c r="E1425" s="2"/>
      <c r="F1425" s="3"/>
      <c r="G1425" s="3">
        <f t="shared" si="66"/>
        <v>0</v>
      </c>
      <c r="H1425" s="3">
        <f t="shared" si="67"/>
        <v>0</v>
      </c>
      <c r="I1425" s="3">
        <f t="shared" si="68"/>
        <v>0</v>
      </c>
    </row>
    <row r="1426" spans="4:9" x14ac:dyDescent="0.35">
      <c r="D1426" s="2"/>
      <c r="E1426" s="2"/>
      <c r="F1426" s="3"/>
      <c r="G1426" s="3">
        <f t="shared" si="66"/>
        <v>0</v>
      </c>
      <c r="H1426" s="3">
        <f t="shared" si="67"/>
        <v>0</v>
      </c>
      <c r="I1426" s="3">
        <f t="shared" si="68"/>
        <v>0</v>
      </c>
    </row>
    <row r="1427" spans="4:9" x14ac:dyDescent="0.35">
      <c r="D1427" s="2"/>
      <c r="E1427" s="2"/>
      <c r="F1427" s="3"/>
      <c r="G1427" s="3">
        <f t="shared" si="66"/>
        <v>0</v>
      </c>
      <c r="H1427" s="3">
        <f t="shared" si="67"/>
        <v>0</v>
      </c>
      <c r="I1427" s="3">
        <f t="shared" si="68"/>
        <v>0</v>
      </c>
    </row>
    <row r="1428" spans="4:9" x14ac:dyDescent="0.35">
      <c r="D1428" s="2"/>
      <c r="E1428" s="2"/>
      <c r="F1428" s="3"/>
      <c r="G1428" s="3">
        <f t="shared" si="66"/>
        <v>0</v>
      </c>
      <c r="H1428" s="3">
        <f t="shared" si="67"/>
        <v>0</v>
      </c>
      <c r="I1428" s="3">
        <f t="shared" si="68"/>
        <v>0</v>
      </c>
    </row>
    <row r="1429" spans="4:9" x14ac:dyDescent="0.35">
      <c r="D1429" s="2"/>
      <c r="E1429" s="2"/>
      <c r="F1429" s="3"/>
      <c r="G1429" s="3">
        <f t="shared" si="66"/>
        <v>0</v>
      </c>
      <c r="H1429" s="3">
        <f t="shared" si="67"/>
        <v>0</v>
      </c>
      <c r="I1429" s="3">
        <f t="shared" si="68"/>
        <v>0</v>
      </c>
    </row>
    <row r="1430" spans="4:9" x14ac:dyDescent="0.35">
      <c r="D1430" s="2"/>
      <c r="E1430" s="2"/>
      <c r="F1430" s="3"/>
      <c r="G1430" s="3">
        <f t="shared" si="66"/>
        <v>0</v>
      </c>
      <c r="H1430" s="3">
        <f t="shared" si="67"/>
        <v>0</v>
      </c>
      <c r="I1430" s="3">
        <f t="shared" si="68"/>
        <v>0</v>
      </c>
    </row>
    <row r="1431" spans="4:9" x14ac:dyDescent="0.35">
      <c r="D1431" s="2"/>
      <c r="E1431" s="2"/>
      <c r="F1431" s="3"/>
      <c r="G1431" s="3">
        <f t="shared" si="66"/>
        <v>0</v>
      </c>
      <c r="H1431" s="3">
        <f t="shared" si="67"/>
        <v>0</v>
      </c>
      <c r="I1431" s="3">
        <f t="shared" si="68"/>
        <v>0</v>
      </c>
    </row>
    <row r="1432" spans="4:9" x14ac:dyDescent="0.35">
      <c r="D1432" s="2"/>
      <c r="E1432" s="2"/>
      <c r="F1432" s="3"/>
      <c r="G1432" s="3">
        <f t="shared" si="66"/>
        <v>0</v>
      </c>
      <c r="H1432" s="3">
        <f t="shared" si="67"/>
        <v>0</v>
      </c>
      <c r="I1432" s="3">
        <f t="shared" si="68"/>
        <v>0</v>
      </c>
    </row>
    <row r="1433" spans="4:9" x14ac:dyDescent="0.35">
      <c r="D1433" s="2"/>
      <c r="E1433" s="2"/>
      <c r="F1433" s="3"/>
      <c r="G1433" s="3">
        <f t="shared" si="66"/>
        <v>0</v>
      </c>
      <c r="H1433" s="3">
        <f t="shared" si="67"/>
        <v>0</v>
      </c>
      <c r="I1433" s="3">
        <f t="shared" si="68"/>
        <v>0</v>
      </c>
    </row>
    <row r="1434" spans="4:9" x14ac:dyDescent="0.35">
      <c r="D1434" s="2"/>
      <c r="E1434" s="2"/>
      <c r="F1434" s="3"/>
      <c r="G1434" s="3">
        <f t="shared" si="66"/>
        <v>0</v>
      </c>
      <c r="H1434" s="3">
        <f t="shared" si="67"/>
        <v>0</v>
      </c>
      <c r="I1434" s="3">
        <f t="shared" si="68"/>
        <v>0</v>
      </c>
    </row>
    <row r="1435" spans="4:9" x14ac:dyDescent="0.35">
      <c r="D1435" s="2"/>
      <c r="E1435" s="2"/>
      <c r="F1435" s="3"/>
      <c r="G1435" s="3">
        <f t="shared" si="66"/>
        <v>0</v>
      </c>
      <c r="H1435" s="3">
        <f t="shared" si="67"/>
        <v>0</v>
      </c>
      <c r="I1435" s="3">
        <f t="shared" si="68"/>
        <v>0</v>
      </c>
    </row>
    <row r="1436" spans="4:9" x14ac:dyDescent="0.35">
      <c r="D1436" s="2"/>
      <c r="E1436" s="2"/>
      <c r="F1436" s="3"/>
      <c r="G1436" s="3">
        <f t="shared" si="66"/>
        <v>0</v>
      </c>
      <c r="H1436" s="3">
        <f t="shared" si="67"/>
        <v>0</v>
      </c>
      <c r="I1436" s="3">
        <f t="shared" si="68"/>
        <v>0</v>
      </c>
    </row>
    <row r="1437" spans="4:9" x14ac:dyDescent="0.35">
      <c r="D1437" s="2"/>
      <c r="E1437" s="2"/>
      <c r="F1437" s="3"/>
      <c r="G1437" s="3">
        <f t="shared" si="66"/>
        <v>0</v>
      </c>
      <c r="H1437" s="3">
        <f t="shared" si="67"/>
        <v>0</v>
      </c>
      <c r="I1437" s="3">
        <f t="shared" si="68"/>
        <v>0</v>
      </c>
    </row>
    <row r="1438" spans="4:9" x14ac:dyDescent="0.35">
      <c r="D1438" s="2"/>
      <c r="E1438" s="2"/>
      <c r="F1438" s="3"/>
      <c r="G1438" s="3">
        <f t="shared" si="66"/>
        <v>0</v>
      </c>
      <c r="H1438" s="3">
        <f t="shared" si="67"/>
        <v>0</v>
      </c>
      <c r="I1438" s="3">
        <f t="shared" si="68"/>
        <v>0</v>
      </c>
    </row>
    <row r="1439" spans="4:9" x14ac:dyDescent="0.35">
      <c r="D1439" s="2"/>
      <c r="E1439" s="2"/>
      <c r="F1439" s="3"/>
      <c r="G1439" s="3">
        <f t="shared" si="66"/>
        <v>0</v>
      </c>
      <c r="H1439" s="3">
        <f t="shared" si="67"/>
        <v>0</v>
      </c>
      <c r="I1439" s="3">
        <f t="shared" si="68"/>
        <v>0</v>
      </c>
    </row>
    <row r="1440" spans="4:9" x14ac:dyDescent="0.35">
      <c r="D1440" s="2"/>
      <c r="E1440" s="2"/>
      <c r="F1440" s="3"/>
      <c r="G1440" s="3">
        <f t="shared" si="66"/>
        <v>0</v>
      </c>
      <c r="H1440" s="3">
        <f t="shared" si="67"/>
        <v>0</v>
      </c>
      <c r="I1440" s="3">
        <f t="shared" si="68"/>
        <v>0</v>
      </c>
    </row>
    <row r="1441" spans="4:9" x14ac:dyDescent="0.35">
      <c r="D1441" s="2"/>
      <c r="E1441" s="2"/>
      <c r="F1441" s="3"/>
      <c r="G1441" s="3">
        <f t="shared" si="66"/>
        <v>0</v>
      </c>
      <c r="H1441" s="3">
        <f t="shared" si="67"/>
        <v>0</v>
      </c>
      <c r="I1441" s="3">
        <f t="shared" si="68"/>
        <v>0</v>
      </c>
    </row>
    <row r="1442" spans="4:9" x14ac:dyDescent="0.35">
      <c r="D1442" s="2"/>
      <c r="E1442" s="2"/>
      <c r="F1442" s="3"/>
      <c r="G1442" s="3">
        <f t="shared" si="66"/>
        <v>0</v>
      </c>
      <c r="H1442" s="3">
        <f t="shared" si="67"/>
        <v>0</v>
      </c>
      <c r="I1442" s="3">
        <f t="shared" si="68"/>
        <v>0</v>
      </c>
    </row>
    <row r="1443" spans="4:9" x14ac:dyDescent="0.35">
      <c r="D1443" s="2"/>
      <c r="E1443" s="2"/>
      <c r="F1443" s="3"/>
      <c r="G1443" s="3">
        <f t="shared" si="66"/>
        <v>0</v>
      </c>
      <c r="H1443" s="3">
        <f t="shared" si="67"/>
        <v>0</v>
      </c>
      <c r="I1443" s="3">
        <f t="shared" si="68"/>
        <v>0</v>
      </c>
    </row>
    <row r="1444" spans="4:9" x14ac:dyDescent="0.35">
      <c r="D1444" s="2"/>
      <c r="E1444" s="2"/>
      <c r="F1444" s="3"/>
      <c r="G1444" s="3">
        <f t="shared" si="66"/>
        <v>0</v>
      </c>
      <c r="H1444" s="3">
        <f t="shared" si="67"/>
        <v>0</v>
      </c>
      <c r="I1444" s="3">
        <f t="shared" si="68"/>
        <v>0</v>
      </c>
    </row>
    <row r="1445" spans="4:9" x14ac:dyDescent="0.35">
      <c r="D1445" s="2"/>
      <c r="E1445" s="2"/>
      <c r="F1445" s="3"/>
      <c r="G1445" s="3">
        <f t="shared" si="66"/>
        <v>0</v>
      </c>
      <c r="H1445" s="3">
        <f t="shared" si="67"/>
        <v>0</v>
      </c>
      <c r="I1445" s="3">
        <f t="shared" si="68"/>
        <v>0</v>
      </c>
    </row>
    <row r="1446" spans="4:9" x14ac:dyDescent="0.35">
      <c r="D1446" s="2"/>
      <c r="E1446" s="2"/>
      <c r="F1446" s="3"/>
      <c r="G1446" s="3">
        <f t="shared" si="66"/>
        <v>0</v>
      </c>
      <c r="H1446" s="3">
        <f t="shared" si="67"/>
        <v>0</v>
      </c>
      <c r="I1446" s="3">
        <f t="shared" si="68"/>
        <v>0</v>
      </c>
    </row>
    <row r="1447" spans="4:9" x14ac:dyDescent="0.35">
      <c r="D1447" s="2"/>
      <c r="E1447" s="2"/>
      <c r="F1447" s="3"/>
      <c r="G1447" s="3">
        <f t="shared" si="66"/>
        <v>0</v>
      </c>
      <c r="H1447" s="3">
        <f t="shared" si="67"/>
        <v>0</v>
      </c>
      <c r="I1447" s="3">
        <f t="shared" si="68"/>
        <v>0</v>
      </c>
    </row>
    <row r="1448" spans="4:9" x14ac:dyDescent="0.35">
      <c r="D1448" s="2"/>
      <c r="E1448" s="2"/>
      <c r="F1448" s="3"/>
      <c r="G1448" s="3">
        <f t="shared" si="66"/>
        <v>0</v>
      </c>
      <c r="H1448" s="3">
        <f t="shared" si="67"/>
        <v>0</v>
      </c>
      <c r="I1448" s="3">
        <f t="shared" si="68"/>
        <v>0</v>
      </c>
    </row>
    <row r="1449" spans="4:9" x14ac:dyDescent="0.35">
      <c r="D1449" s="2"/>
      <c r="E1449" s="2"/>
      <c r="F1449" s="3"/>
      <c r="G1449" s="3">
        <f t="shared" si="66"/>
        <v>0</v>
      </c>
      <c r="H1449" s="3">
        <f t="shared" si="67"/>
        <v>0</v>
      </c>
      <c r="I1449" s="3">
        <f t="shared" si="68"/>
        <v>0</v>
      </c>
    </row>
    <row r="1450" spans="4:9" x14ac:dyDescent="0.35">
      <c r="D1450" s="2"/>
      <c r="E1450" s="2"/>
      <c r="F1450" s="3"/>
      <c r="G1450" s="3">
        <f t="shared" si="66"/>
        <v>0</v>
      </c>
      <c r="H1450" s="3">
        <f t="shared" si="67"/>
        <v>0</v>
      </c>
      <c r="I1450" s="3">
        <f t="shared" si="68"/>
        <v>0</v>
      </c>
    </row>
    <row r="1451" spans="4:9" x14ac:dyDescent="0.35">
      <c r="D1451" s="2"/>
      <c r="E1451" s="2"/>
      <c r="F1451" s="3"/>
      <c r="G1451" s="3">
        <f t="shared" si="66"/>
        <v>0</v>
      </c>
      <c r="H1451" s="3">
        <f t="shared" si="67"/>
        <v>0</v>
      </c>
      <c r="I1451" s="3">
        <f t="shared" si="68"/>
        <v>0</v>
      </c>
    </row>
    <row r="1452" spans="4:9" x14ac:dyDescent="0.35">
      <c r="D1452" s="2"/>
      <c r="E1452" s="2"/>
      <c r="F1452" s="3"/>
      <c r="G1452" s="3">
        <f t="shared" si="66"/>
        <v>0</v>
      </c>
      <c r="H1452" s="3">
        <f t="shared" si="67"/>
        <v>0</v>
      </c>
      <c r="I1452" s="3">
        <f t="shared" si="68"/>
        <v>0</v>
      </c>
    </row>
    <row r="1453" spans="4:9" x14ac:dyDescent="0.35">
      <c r="D1453" s="2"/>
      <c r="E1453" s="2"/>
      <c r="F1453" s="3"/>
      <c r="G1453" s="3">
        <f t="shared" si="66"/>
        <v>0</v>
      </c>
      <c r="H1453" s="3">
        <f t="shared" si="67"/>
        <v>0</v>
      </c>
      <c r="I1453" s="3">
        <f t="shared" si="68"/>
        <v>0</v>
      </c>
    </row>
    <row r="1454" spans="4:9" x14ac:dyDescent="0.35">
      <c r="D1454" s="2"/>
      <c r="E1454" s="2"/>
      <c r="F1454" s="3"/>
      <c r="G1454" s="3">
        <f t="shared" si="66"/>
        <v>0</v>
      </c>
      <c r="H1454" s="3">
        <f t="shared" si="67"/>
        <v>0</v>
      </c>
      <c r="I1454" s="3">
        <f t="shared" si="68"/>
        <v>0</v>
      </c>
    </row>
    <row r="1455" spans="4:9" x14ac:dyDescent="0.35">
      <c r="D1455" s="2"/>
      <c r="E1455" s="2"/>
      <c r="F1455" s="3"/>
      <c r="G1455" s="3">
        <f t="shared" si="66"/>
        <v>0</v>
      </c>
      <c r="H1455" s="3">
        <f t="shared" si="67"/>
        <v>0</v>
      </c>
      <c r="I1455" s="3">
        <f t="shared" si="68"/>
        <v>0</v>
      </c>
    </row>
    <row r="1456" spans="4:9" x14ac:dyDescent="0.35">
      <c r="D1456" s="2"/>
      <c r="E1456" s="2"/>
      <c r="F1456" s="3"/>
      <c r="G1456" s="3">
        <f t="shared" si="66"/>
        <v>0</v>
      </c>
      <c r="H1456" s="3">
        <f t="shared" si="67"/>
        <v>0</v>
      </c>
      <c r="I1456" s="3">
        <f t="shared" si="68"/>
        <v>0</v>
      </c>
    </row>
    <row r="1457" spans="4:9" x14ac:dyDescent="0.35">
      <c r="D1457" s="2"/>
      <c r="E1457" s="2"/>
      <c r="F1457" s="3"/>
      <c r="G1457" s="3">
        <f t="shared" si="66"/>
        <v>0</v>
      </c>
      <c r="H1457" s="3">
        <f t="shared" si="67"/>
        <v>0</v>
      </c>
      <c r="I1457" s="3">
        <f t="shared" si="68"/>
        <v>0</v>
      </c>
    </row>
    <row r="1458" spans="4:9" x14ac:dyDescent="0.35">
      <c r="D1458" s="2"/>
      <c r="E1458" s="2"/>
      <c r="F1458" s="3"/>
      <c r="G1458" s="3">
        <f t="shared" si="66"/>
        <v>0</v>
      </c>
      <c r="H1458" s="3">
        <f t="shared" si="67"/>
        <v>0</v>
      </c>
      <c r="I1458" s="3">
        <f t="shared" si="68"/>
        <v>0</v>
      </c>
    </row>
    <row r="1459" spans="4:9" x14ac:dyDescent="0.35">
      <c r="D1459" s="2"/>
      <c r="E1459" s="2"/>
      <c r="F1459" s="3"/>
      <c r="G1459" s="3">
        <f t="shared" si="66"/>
        <v>0</v>
      </c>
      <c r="H1459" s="3">
        <f t="shared" si="67"/>
        <v>0</v>
      </c>
      <c r="I1459" s="3">
        <f t="shared" si="68"/>
        <v>0</v>
      </c>
    </row>
    <row r="1460" spans="4:9" x14ac:dyDescent="0.35">
      <c r="D1460" s="2"/>
      <c r="E1460" s="2"/>
      <c r="F1460" s="3"/>
      <c r="G1460" s="3">
        <f t="shared" si="66"/>
        <v>0</v>
      </c>
      <c r="H1460" s="3">
        <f t="shared" si="67"/>
        <v>0</v>
      </c>
      <c r="I1460" s="3">
        <f t="shared" si="68"/>
        <v>0</v>
      </c>
    </row>
    <row r="1461" spans="4:9" x14ac:dyDescent="0.35">
      <c r="D1461" s="2"/>
      <c r="E1461" s="2"/>
      <c r="F1461" s="3"/>
      <c r="G1461" s="3">
        <f t="shared" si="66"/>
        <v>0</v>
      </c>
      <c r="H1461" s="3">
        <f t="shared" si="67"/>
        <v>0</v>
      </c>
      <c r="I1461" s="3">
        <f t="shared" si="68"/>
        <v>0</v>
      </c>
    </row>
    <row r="1462" spans="4:9" x14ac:dyDescent="0.35">
      <c r="D1462" s="2"/>
      <c r="E1462" s="2"/>
      <c r="F1462" s="3"/>
      <c r="G1462" s="3">
        <f t="shared" si="66"/>
        <v>0</v>
      </c>
      <c r="H1462" s="3">
        <f t="shared" si="67"/>
        <v>0</v>
      </c>
      <c r="I1462" s="3">
        <f t="shared" si="68"/>
        <v>0</v>
      </c>
    </row>
    <row r="1463" spans="4:9" x14ac:dyDescent="0.35">
      <c r="D1463" s="2"/>
      <c r="E1463" s="2"/>
      <c r="F1463" s="3"/>
      <c r="G1463" s="3">
        <f t="shared" si="66"/>
        <v>0</v>
      </c>
      <c r="H1463" s="3">
        <f t="shared" si="67"/>
        <v>0</v>
      </c>
      <c r="I1463" s="3">
        <f t="shared" si="68"/>
        <v>0</v>
      </c>
    </row>
    <row r="1464" spans="4:9" x14ac:dyDescent="0.35">
      <c r="D1464" s="2"/>
      <c r="E1464" s="2"/>
      <c r="F1464" s="3"/>
      <c r="G1464" s="3">
        <f t="shared" si="66"/>
        <v>0</v>
      </c>
      <c r="H1464" s="3">
        <f t="shared" si="67"/>
        <v>0</v>
      </c>
      <c r="I1464" s="3">
        <f t="shared" si="68"/>
        <v>0</v>
      </c>
    </row>
    <row r="1465" spans="4:9" x14ac:dyDescent="0.35">
      <c r="D1465" s="2"/>
      <c r="E1465" s="2"/>
      <c r="F1465" s="3"/>
      <c r="G1465" s="3">
        <f t="shared" si="66"/>
        <v>0</v>
      </c>
      <c r="H1465" s="3">
        <f t="shared" si="67"/>
        <v>0</v>
      </c>
      <c r="I1465" s="3">
        <f t="shared" si="68"/>
        <v>0</v>
      </c>
    </row>
    <row r="1466" spans="4:9" x14ac:dyDescent="0.35">
      <c r="D1466" s="2"/>
      <c r="E1466" s="2"/>
      <c r="F1466" s="3"/>
      <c r="G1466" s="3">
        <f t="shared" si="66"/>
        <v>0</v>
      </c>
      <c r="H1466" s="3">
        <f t="shared" si="67"/>
        <v>0</v>
      </c>
      <c r="I1466" s="3">
        <f t="shared" si="68"/>
        <v>0</v>
      </c>
    </row>
    <row r="1467" spans="4:9" x14ac:dyDescent="0.35">
      <c r="D1467" s="2"/>
      <c r="E1467" s="2"/>
      <c r="F1467" s="3"/>
      <c r="G1467" s="3">
        <f t="shared" si="66"/>
        <v>0</v>
      </c>
      <c r="H1467" s="3">
        <f t="shared" si="67"/>
        <v>0</v>
      </c>
      <c r="I1467" s="3">
        <f t="shared" si="68"/>
        <v>0</v>
      </c>
    </row>
    <row r="1468" spans="4:9" x14ac:dyDescent="0.35">
      <c r="D1468" s="2"/>
      <c r="E1468" s="2"/>
      <c r="F1468" s="3"/>
      <c r="G1468" s="3">
        <f t="shared" si="66"/>
        <v>0</v>
      </c>
      <c r="H1468" s="3">
        <f t="shared" si="67"/>
        <v>0</v>
      </c>
      <c r="I1468" s="3">
        <f t="shared" si="68"/>
        <v>0</v>
      </c>
    </row>
    <row r="1469" spans="4:9" x14ac:dyDescent="0.35">
      <c r="D1469" s="2"/>
      <c r="E1469" s="2"/>
      <c r="F1469" s="3"/>
      <c r="G1469" s="3">
        <f t="shared" si="66"/>
        <v>0</v>
      </c>
      <c r="H1469" s="3">
        <f t="shared" si="67"/>
        <v>0</v>
      </c>
      <c r="I1469" s="3">
        <f t="shared" si="68"/>
        <v>0</v>
      </c>
    </row>
    <row r="1470" spans="4:9" x14ac:dyDescent="0.35">
      <c r="D1470" s="2"/>
      <c r="E1470" s="2"/>
      <c r="F1470" s="3"/>
      <c r="G1470" s="3">
        <f t="shared" si="66"/>
        <v>0</v>
      </c>
      <c r="H1470" s="3">
        <f t="shared" si="67"/>
        <v>0</v>
      </c>
      <c r="I1470" s="3">
        <f t="shared" si="68"/>
        <v>0</v>
      </c>
    </row>
    <row r="1471" spans="4:9" x14ac:dyDescent="0.35">
      <c r="D1471" s="2"/>
      <c r="E1471" s="2"/>
      <c r="F1471" s="3"/>
      <c r="G1471" s="3">
        <f t="shared" si="66"/>
        <v>0</v>
      </c>
      <c r="H1471" s="3">
        <f t="shared" si="67"/>
        <v>0</v>
      </c>
      <c r="I1471" s="3">
        <f t="shared" si="68"/>
        <v>0</v>
      </c>
    </row>
    <row r="1472" spans="4:9" x14ac:dyDescent="0.35">
      <c r="D1472" s="2"/>
      <c r="E1472" s="2"/>
      <c r="F1472" s="3"/>
      <c r="G1472" s="3">
        <f t="shared" si="66"/>
        <v>0</v>
      </c>
      <c r="H1472" s="3">
        <f t="shared" si="67"/>
        <v>0</v>
      </c>
      <c r="I1472" s="3">
        <f t="shared" si="68"/>
        <v>0</v>
      </c>
    </row>
    <row r="1473" spans="4:9" x14ac:dyDescent="0.35">
      <c r="D1473" s="2"/>
      <c r="E1473" s="2"/>
      <c r="F1473" s="3"/>
      <c r="G1473" s="3">
        <f t="shared" si="66"/>
        <v>0</v>
      </c>
      <c r="H1473" s="3">
        <f t="shared" si="67"/>
        <v>0</v>
      </c>
      <c r="I1473" s="3">
        <f t="shared" si="68"/>
        <v>0</v>
      </c>
    </row>
    <row r="1474" spans="4:9" x14ac:dyDescent="0.35">
      <c r="D1474" s="2"/>
      <c r="E1474" s="2"/>
      <c r="F1474" s="3"/>
      <c r="G1474" s="3">
        <f t="shared" ref="G1474:G1537" si="69">IF($F1474&gt;0,$E1474/(1-$F1474),0)</f>
        <v>0</v>
      </c>
      <c r="H1474" s="3">
        <f t="shared" ref="H1474:H1537" si="70">IF($D1474&gt;0,$G1474/$D1474,0)</f>
        <v>0</v>
      </c>
      <c r="I1474" s="3">
        <f t="shared" ref="I1474:I1537" si="71">$E1474*1.1</f>
        <v>0</v>
      </c>
    </row>
    <row r="1475" spans="4:9" x14ac:dyDescent="0.35">
      <c r="D1475" s="2"/>
      <c r="E1475" s="2"/>
      <c r="F1475" s="3"/>
      <c r="G1475" s="3">
        <f t="shared" si="69"/>
        <v>0</v>
      </c>
      <c r="H1475" s="3">
        <f t="shared" si="70"/>
        <v>0</v>
      </c>
      <c r="I1475" s="3">
        <f t="shared" si="71"/>
        <v>0</v>
      </c>
    </row>
    <row r="1476" spans="4:9" x14ac:dyDescent="0.35">
      <c r="D1476" s="2"/>
      <c r="E1476" s="2"/>
      <c r="F1476" s="3"/>
      <c r="G1476" s="3">
        <f t="shared" si="69"/>
        <v>0</v>
      </c>
      <c r="H1476" s="3">
        <f t="shared" si="70"/>
        <v>0</v>
      </c>
      <c r="I1476" s="3">
        <f t="shared" si="71"/>
        <v>0</v>
      </c>
    </row>
    <row r="1477" spans="4:9" x14ac:dyDescent="0.35">
      <c r="D1477" s="2"/>
      <c r="E1477" s="2"/>
      <c r="F1477" s="3"/>
      <c r="G1477" s="3">
        <f t="shared" si="69"/>
        <v>0</v>
      </c>
      <c r="H1477" s="3">
        <f t="shared" si="70"/>
        <v>0</v>
      </c>
      <c r="I1477" s="3">
        <f t="shared" si="71"/>
        <v>0</v>
      </c>
    </row>
    <row r="1478" spans="4:9" x14ac:dyDescent="0.35">
      <c r="D1478" s="2"/>
      <c r="E1478" s="2"/>
      <c r="F1478" s="3"/>
      <c r="G1478" s="3">
        <f t="shared" si="69"/>
        <v>0</v>
      </c>
      <c r="H1478" s="3">
        <f t="shared" si="70"/>
        <v>0</v>
      </c>
      <c r="I1478" s="3">
        <f t="shared" si="71"/>
        <v>0</v>
      </c>
    </row>
    <row r="1479" spans="4:9" x14ac:dyDescent="0.35">
      <c r="D1479" s="2"/>
      <c r="E1479" s="2"/>
      <c r="F1479" s="3"/>
      <c r="G1479" s="3">
        <f t="shared" si="69"/>
        <v>0</v>
      </c>
      <c r="H1479" s="3">
        <f t="shared" si="70"/>
        <v>0</v>
      </c>
      <c r="I1479" s="3">
        <f t="shared" si="71"/>
        <v>0</v>
      </c>
    </row>
    <row r="1480" spans="4:9" x14ac:dyDescent="0.35">
      <c r="D1480" s="2"/>
      <c r="E1480" s="2"/>
      <c r="F1480" s="3"/>
      <c r="G1480" s="3">
        <f t="shared" si="69"/>
        <v>0</v>
      </c>
      <c r="H1480" s="3">
        <f t="shared" si="70"/>
        <v>0</v>
      </c>
      <c r="I1480" s="3">
        <f t="shared" si="71"/>
        <v>0</v>
      </c>
    </row>
    <row r="1481" spans="4:9" x14ac:dyDescent="0.35">
      <c r="D1481" s="2"/>
      <c r="E1481" s="2"/>
      <c r="F1481" s="3"/>
      <c r="G1481" s="3">
        <f t="shared" si="69"/>
        <v>0</v>
      </c>
      <c r="H1481" s="3">
        <f t="shared" si="70"/>
        <v>0</v>
      </c>
      <c r="I1481" s="3">
        <f t="shared" si="71"/>
        <v>0</v>
      </c>
    </row>
    <row r="1482" spans="4:9" x14ac:dyDescent="0.35">
      <c r="D1482" s="2"/>
      <c r="E1482" s="2"/>
      <c r="F1482" s="3"/>
      <c r="G1482" s="3">
        <f t="shared" si="69"/>
        <v>0</v>
      </c>
      <c r="H1482" s="3">
        <f t="shared" si="70"/>
        <v>0</v>
      </c>
      <c r="I1482" s="3">
        <f t="shared" si="71"/>
        <v>0</v>
      </c>
    </row>
    <row r="1483" spans="4:9" x14ac:dyDescent="0.35">
      <c r="D1483" s="2"/>
      <c r="E1483" s="2"/>
      <c r="F1483" s="3"/>
      <c r="G1483" s="3">
        <f t="shared" si="69"/>
        <v>0</v>
      </c>
      <c r="H1483" s="3">
        <f t="shared" si="70"/>
        <v>0</v>
      </c>
      <c r="I1483" s="3">
        <f t="shared" si="71"/>
        <v>0</v>
      </c>
    </row>
    <row r="1484" spans="4:9" x14ac:dyDescent="0.35">
      <c r="D1484" s="2"/>
      <c r="E1484" s="2"/>
      <c r="F1484" s="3"/>
      <c r="G1484" s="3">
        <f t="shared" si="69"/>
        <v>0</v>
      </c>
      <c r="H1484" s="3">
        <f t="shared" si="70"/>
        <v>0</v>
      </c>
      <c r="I1484" s="3">
        <f t="shared" si="71"/>
        <v>0</v>
      </c>
    </row>
    <row r="1485" spans="4:9" x14ac:dyDescent="0.35">
      <c r="D1485" s="2"/>
      <c r="E1485" s="2"/>
      <c r="F1485" s="3"/>
      <c r="G1485" s="3">
        <f t="shared" si="69"/>
        <v>0</v>
      </c>
      <c r="H1485" s="3">
        <f t="shared" si="70"/>
        <v>0</v>
      </c>
      <c r="I1485" s="3">
        <f t="shared" si="71"/>
        <v>0</v>
      </c>
    </row>
    <row r="1486" spans="4:9" x14ac:dyDescent="0.35">
      <c r="D1486" s="2"/>
      <c r="E1486" s="2"/>
      <c r="F1486" s="3"/>
      <c r="G1486" s="3">
        <f t="shared" si="69"/>
        <v>0</v>
      </c>
      <c r="H1486" s="3">
        <f t="shared" si="70"/>
        <v>0</v>
      </c>
      <c r="I1486" s="3">
        <f t="shared" si="71"/>
        <v>0</v>
      </c>
    </row>
    <row r="1487" spans="4:9" x14ac:dyDescent="0.35">
      <c r="D1487" s="2"/>
      <c r="E1487" s="2"/>
      <c r="F1487" s="3"/>
      <c r="G1487" s="3">
        <f t="shared" si="69"/>
        <v>0</v>
      </c>
      <c r="H1487" s="3">
        <f t="shared" si="70"/>
        <v>0</v>
      </c>
      <c r="I1487" s="3">
        <f t="shared" si="71"/>
        <v>0</v>
      </c>
    </row>
    <row r="1488" spans="4:9" x14ac:dyDescent="0.35">
      <c r="D1488" s="2"/>
      <c r="E1488" s="2"/>
      <c r="F1488" s="3"/>
      <c r="G1488" s="3">
        <f t="shared" si="69"/>
        <v>0</v>
      </c>
      <c r="H1488" s="3">
        <f t="shared" si="70"/>
        <v>0</v>
      </c>
      <c r="I1488" s="3">
        <f t="shared" si="71"/>
        <v>0</v>
      </c>
    </row>
    <row r="1489" spans="4:9" x14ac:dyDescent="0.35">
      <c r="D1489" s="2"/>
      <c r="E1489" s="2"/>
      <c r="F1489" s="3"/>
      <c r="G1489" s="3">
        <f t="shared" si="69"/>
        <v>0</v>
      </c>
      <c r="H1489" s="3">
        <f t="shared" si="70"/>
        <v>0</v>
      </c>
      <c r="I1489" s="3">
        <f t="shared" si="71"/>
        <v>0</v>
      </c>
    </row>
    <row r="1490" spans="4:9" x14ac:dyDescent="0.35">
      <c r="D1490" s="2"/>
      <c r="E1490" s="2"/>
      <c r="F1490" s="3"/>
      <c r="G1490" s="3">
        <f t="shared" si="69"/>
        <v>0</v>
      </c>
      <c r="H1490" s="3">
        <f t="shared" si="70"/>
        <v>0</v>
      </c>
      <c r="I1490" s="3">
        <f t="shared" si="71"/>
        <v>0</v>
      </c>
    </row>
    <row r="1491" spans="4:9" x14ac:dyDescent="0.35">
      <c r="D1491" s="2"/>
      <c r="E1491" s="2"/>
      <c r="F1491" s="3"/>
      <c r="G1491" s="3">
        <f t="shared" si="69"/>
        <v>0</v>
      </c>
      <c r="H1491" s="3">
        <f t="shared" si="70"/>
        <v>0</v>
      </c>
      <c r="I1491" s="3">
        <f t="shared" si="71"/>
        <v>0</v>
      </c>
    </row>
    <row r="1492" spans="4:9" x14ac:dyDescent="0.35">
      <c r="D1492" s="2"/>
      <c r="E1492" s="2"/>
      <c r="F1492" s="3"/>
      <c r="G1492" s="3">
        <f t="shared" si="69"/>
        <v>0</v>
      </c>
      <c r="H1492" s="3">
        <f t="shared" si="70"/>
        <v>0</v>
      </c>
      <c r="I1492" s="3">
        <f t="shared" si="71"/>
        <v>0</v>
      </c>
    </row>
    <row r="1493" spans="4:9" x14ac:dyDescent="0.35">
      <c r="D1493" s="2"/>
      <c r="E1493" s="2"/>
      <c r="F1493" s="3"/>
      <c r="G1493" s="3">
        <f t="shared" si="69"/>
        <v>0</v>
      </c>
      <c r="H1493" s="3">
        <f t="shared" si="70"/>
        <v>0</v>
      </c>
      <c r="I1493" s="3">
        <f t="shared" si="71"/>
        <v>0</v>
      </c>
    </row>
    <row r="1494" spans="4:9" x14ac:dyDescent="0.35">
      <c r="D1494" s="2"/>
      <c r="E1494" s="2"/>
      <c r="F1494" s="3"/>
      <c r="G1494" s="3">
        <f t="shared" si="69"/>
        <v>0</v>
      </c>
      <c r="H1494" s="3">
        <f t="shared" si="70"/>
        <v>0</v>
      </c>
      <c r="I1494" s="3">
        <f t="shared" si="71"/>
        <v>0</v>
      </c>
    </row>
    <row r="1495" spans="4:9" x14ac:dyDescent="0.35">
      <c r="D1495" s="2"/>
      <c r="E1495" s="2"/>
      <c r="F1495" s="3"/>
      <c r="G1495" s="3">
        <f t="shared" si="69"/>
        <v>0</v>
      </c>
      <c r="H1495" s="3">
        <f t="shared" si="70"/>
        <v>0</v>
      </c>
      <c r="I1495" s="3">
        <f t="shared" si="71"/>
        <v>0</v>
      </c>
    </row>
    <row r="1496" spans="4:9" x14ac:dyDescent="0.35">
      <c r="D1496" s="2"/>
      <c r="E1496" s="2"/>
      <c r="F1496" s="3"/>
      <c r="G1496" s="3">
        <f t="shared" si="69"/>
        <v>0</v>
      </c>
      <c r="H1496" s="3">
        <f t="shared" si="70"/>
        <v>0</v>
      </c>
      <c r="I1496" s="3">
        <f t="shared" si="71"/>
        <v>0</v>
      </c>
    </row>
    <row r="1497" spans="4:9" x14ac:dyDescent="0.35">
      <c r="D1497" s="2"/>
      <c r="E1497" s="2"/>
      <c r="F1497" s="3"/>
      <c r="G1497" s="3">
        <f t="shared" si="69"/>
        <v>0</v>
      </c>
      <c r="H1497" s="3">
        <f t="shared" si="70"/>
        <v>0</v>
      </c>
      <c r="I1497" s="3">
        <f t="shared" si="71"/>
        <v>0</v>
      </c>
    </row>
    <row r="1498" spans="4:9" x14ac:dyDescent="0.35">
      <c r="D1498" s="2"/>
      <c r="E1498" s="2"/>
      <c r="F1498" s="3"/>
      <c r="G1498" s="3">
        <f t="shared" si="69"/>
        <v>0</v>
      </c>
      <c r="H1498" s="3">
        <f t="shared" si="70"/>
        <v>0</v>
      </c>
      <c r="I1498" s="3">
        <f t="shared" si="71"/>
        <v>0</v>
      </c>
    </row>
    <row r="1499" spans="4:9" x14ac:dyDescent="0.35">
      <c r="D1499" s="2"/>
      <c r="E1499" s="2"/>
      <c r="F1499" s="3"/>
      <c r="G1499" s="3">
        <f t="shared" si="69"/>
        <v>0</v>
      </c>
      <c r="H1499" s="3">
        <f t="shared" si="70"/>
        <v>0</v>
      </c>
      <c r="I1499" s="3">
        <f t="shared" si="71"/>
        <v>0</v>
      </c>
    </row>
    <row r="1500" spans="4:9" x14ac:dyDescent="0.35">
      <c r="D1500" s="2"/>
      <c r="E1500" s="2"/>
      <c r="F1500" s="3"/>
      <c r="G1500" s="3">
        <f t="shared" si="69"/>
        <v>0</v>
      </c>
      <c r="H1500" s="3">
        <f t="shared" si="70"/>
        <v>0</v>
      </c>
      <c r="I1500" s="3">
        <f t="shared" si="71"/>
        <v>0</v>
      </c>
    </row>
    <row r="1501" spans="4:9" x14ac:dyDescent="0.35">
      <c r="D1501" s="2"/>
      <c r="E1501" s="2"/>
      <c r="F1501" s="3"/>
      <c r="G1501" s="3">
        <f t="shared" si="69"/>
        <v>0</v>
      </c>
      <c r="H1501" s="3">
        <f t="shared" si="70"/>
        <v>0</v>
      </c>
      <c r="I1501" s="3">
        <f t="shared" si="71"/>
        <v>0</v>
      </c>
    </row>
    <row r="1502" spans="4:9" x14ac:dyDescent="0.35">
      <c r="D1502" s="2"/>
      <c r="E1502" s="2"/>
      <c r="F1502" s="3"/>
      <c r="G1502" s="3">
        <f t="shared" si="69"/>
        <v>0</v>
      </c>
      <c r="H1502" s="3">
        <f t="shared" si="70"/>
        <v>0</v>
      </c>
      <c r="I1502" s="3">
        <f t="shared" si="71"/>
        <v>0</v>
      </c>
    </row>
    <row r="1503" spans="4:9" x14ac:dyDescent="0.35">
      <c r="D1503" s="2"/>
      <c r="E1503" s="2"/>
      <c r="F1503" s="3"/>
      <c r="G1503" s="3">
        <f t="shared" si="69"/>
        <v>0</v>
      </c>
      <c r="H1503" s="3">
        <f t="shared" si="70"/>
        <v>0</v>
      </c>
      <c r="I1503" s="3">
        <f t="shared" si="71"/>
        <v>0</v>
      </c>
    </row>
    <row r="1504" spans="4:9" x14ac:dyDescent="0.35">
      <c r="D1504" s="2"/>
      <c r="E1504" s="2"/>
      <c r="F1504" s="3"/>
      <c r="G1504" s="3">
        <f t="shared" si="69"/>
        <v>0</v>
      </c>
      <c r="H1504" s="3">
        <f t="shared" si="70"/>
        <v>0</v>
      </c>
      <c r="I1504" s="3">
        <f t="shared" si="71"/>
        <v>0</v>
      </c>
    </row>
    <row r="1505" spans="4:9" x14ac:dyDescent="0.35">
      <c r="D1505" s="2"/>
      <c r="E1505" s="2"/>
      <c r="F1505" s="3"/>
      <c r="G1505" s="3">
        <f t="shared" si="69"/>
        <v>0</v>
      </c>
      <c r="H1505" s="3">
        <f t="shared" si="70"/>
        <v>0</v>
      </c>
      <c r="I1505" s="3">
        <f t="shared" si="71"/>
        <v>0</v>
      </c>
    </row>
    <row r="1506" spans="4:9" x14ac:dyDescent="0.35">
      <c r="D1506" s="2"/>
      <c r="E1506" s="2"/>
      <c r="F1506" s="3"/>
      <c r="G1506" s="3">
        <f t="shared" si="69"/>
        <v>0</v>
      </c>
      <c r="H1506" s="3">
        <f t="shared" si="70"/>
        <v>0</v>
      </c>
      <c r="I1506" s="3">
        <f t="shared" si="71"/>
        <v>0</v>
      </c>
    </row>
    <row r="1507" spans="4:9" x14ac:dyDescent="0.35">
      <c r="D1507" s="2"/>
      <c r="E1507" s="2"/>
      <c r="F1507" s="3"/>
      <c r="G1507" s="3">
        <f t="shared" si="69"/>
        <v>0</v>
      </c>
      <c r="H1507" s="3">
        <f t="shared" si="70"/>
        <v>0</v>
      </c>
      <c r="I1507" s="3">
        <f t="shared" si="71"/>
        <v>0</v>
      </c>
    </row>
    <row r="1508" spans="4:9" x14ac:dyDescent="0.35">
      <c r="D1508" s="2"/>
      <c r="E1508" s="2"/>
      <c r="F1508" s="3"/>
      <c r="G1508" s="3">
        <f t="shared" si="69"/>
        <v>0</v>
      </c>
      <c r="H1508" s="3">
        <f t="shared" si="70"/>
        <v>0</v>
      </c>
      <c r="I1508" s="3">
        <f t="shared" si="71"/>
        <v>0</v>
      </c>
    </row>
    <row r="1509" spans="4:9" x14ac:dyDescent="0.35">
      <c r="D1509" s="2"/>
      <c r="E1509" s="2"/>
      <c r="F1509" s="3"/>
      <c r="G1509" s="3">
        <f t="shared" si="69"/>
        <v>0</v>
      </c>
      <c r="H1509" s="3">
        <f t="shared" si="70"/>
        <v>0</v>
      </c>
      <c r="I1509" s="3">
        <f t="shared" si="71"/>
        <v>0</v>
      </c>
    </row>
    <row r="1510" spans="4:9" x14ac:dyDescent="0.35">
      <c r="D1510" s="2"/>
      <c r="E1510" s="2"/>
      <c r="F1510" s="3"/>
      <c r="G1510" s="3">
        <f t="shared" si="69"/>
        <v>0</v>
      </c>
      <c r="H1510" s="3">
        <f t="shared" si="70"/>
        <v>0</v>
      </c>
      <c r="I1510" s="3">
        <f t="shared" si="71"/>
        <v>0</v>
      </c>
    </row>
    <row r="1511" spans="4:9" x14ac:dyDescent="0.35">
      <c r="D1511" s="2"/>
      <c r="E1511" s="2"/>
      <c r="F1511" s="3"/>
      <c r="G1511" s="3">
        <f t="shared" si="69"/>
        <v>0</v>
      </c>
      <c r="H1511" s="3">
        <f t="shared" si="70"/>
        <v>0</v>
      </c>
      <c r="I1511" s="3">
        <f t="shared" si="71"/>
        <v>0</v>
      </c>
    </row>
    <row r="1512" spans="4:9" x14ac:dyDescent="0.35">
      <c r="D1512" s="2"/>
      <c r="E1512" s="2"/>
      <c r="F1512" s="3"/>
      <c r="G1512" s="3">
        <f t="shared" si="69"/>
        <v>0</v>
      </c>
      <c r="H1512" s="3">
        <f t="shared" si="70"/>
        <v>0</v>
      </c>
      <c r="I1512" s="3">
        <f t="shared" si="71"/>
        <v>0</v>
      </c>
    </row>
    <row r="1513" spans="4:9" x14ac:dyDescent="0.35">
      <c r="D1513" s="2"/>
      <c r="E1513" s="2"/>
      <c r="F1513" s="3"/>
      <c r="G1513" s="3">
        <f t="shared" si="69"/>
        <v>0</v>
      </c>
      <c r="H1513" s="3">
        <f t="shared" si="70"/>
        <v>0</v>
      </c>
      <c r="I1513" s="3">
        <f t="shared" si="71"/>
        <v>0</v>
      </c>
    </row>
    <row r="1514" spans="4:9" x14ac:dyDescent="0.35">
      <c r="D1514" s="2"/>
      <c r="E1514" s="2"/>
      <c r="F1514" s="3"/>
      <c r="G1514" s="3">
        <f t="shared" si="69"/>
        <v>0</v>
      </c>
      <c r="H1514" s="3">
        <f t="shared" si="70"/>
        <v>0</v>
      </c>
      <c r="I1514" s="3">
        <f t="shared" si="71"/>
        <v>0</v>
      </c>
    </row>
    <row r="1515" spans="4:9" x14ac:dyDescent="0.35">
      <c r="D1515" s="2"/>
      <c r="E1515" s="2"/>
      <c r="F1515" s="3"/>
      <c r="G1515" s="3">
        <f t="shared" si="69"/>
        <v>0</v>
      </c>
      <c r="H1515" s="3">
        <f t="shared" si="70"/>
        <v>0</v>
      </c>
      <c r="I1515" s="3">
        <f t="shared" si="71"/>
        <v>0</v>
      </c>
    </row>
    <row r="1516" spans="4:9" x14ac:dyDescent="0.35">
      <c r="D1516" s="2"/>
      <c r="E1516" s="2"/>
      <c r="F1516" s="3"/>
      <c r="G1516" s="3">
        <f t="shared" si="69"/>
        <v>0</v>
      </c>
      <c r="H1516" s="3">
        <f t="shared" si="70"/>
        <v>0</v>
      </c>
      <c r="I1516" s="3">
        <f t="shared" si="71"/>
        <v>0</v>
      </c>
    </row>
    <row r="1517" spans="4:9" x14ac:dyDescent="0.35">
      <c r="D1517" s="2"/>
      <c r="E1517" s="2"/>
      <c r="F1517" s="3"/>
      <c r="G1517" s="3">
        <f t="shared" si="69"/>
        <v>0</v>
      </c>
      <c r="H1517" s="3">
        <f t="shared" si="70"/>
        <v>0</v>
      </c>
      <c r="I1517" s="3">
        <f t="shared" si="71"/>
        <v>0</v>
      </c>
    </row>
    <row r="1518" spans="4:9" x14ac:dyDescent="0.35">
      <c r="D1518" s="2"/>
      <c r="E1518" s="2"/>
      <c r="F1518" s="3"/>
      <c r="G1518" s="3">
        <f t="shared" si="69"/>
        <v>0</v>
      </c>
      <c r="H1518" s="3">
        <f t="shared" si="70"/>
        <v>0</v>
      </c>
      <c r="I1518" s="3">
        <f t="shared" si="71"/>
        <v>0</v>
      </c>
    </row>
    <row r="1519" spans="4:9" x14ac:dyDescent="0.35">
      <c r="D1519" s="2"/>
      <c r="E1519" s="2"/>
      <c r="F1519" s="3"/>
      <c r="G1519" s="3">
        <f t="shared" si="69"/>
        <v>0</v>
      </c>
      <c r="H1519" s="3">
        <f t="shared" si="70"/>
        <v>0</v>
      </c>
      <c r="I1519" s="3">
        <f t="shared" si="71"/>
        <v>0</v>
      </c>
    </row>
    <row r="1520" spans="4:9" x14ac:dyDescent="0.35">
      <c r="D1520" s="2"/>
      <c r="E1520" s="2"/>
      <c r="F1520" s="3"/>
      <c r="G1520" s="3">
        <f t="shared" si="69"/>
        <v>0</v>
      </c>
      <c r="H1520" s="3">
        <f t="shared" si="70"/>
        <v>0</v>
      </c>
      <c r="I1520" s="3">
        <f t="shared" si="71"/>
        <v>0</v>
      </c>
    </row>
    <row r="1521" spans="4:9" x14ac:dyDescent="0.35">
      <c r="D1521" s="2"/>
      <c r="E1521" s="2"/>
      <c r="F1521" s="3"/>
      <c r="G1521" s="3">
        <f t="shared" si="69"/>
        <v>0</v>
      </c>
      <c r="H1521" s="3">
        <f t="shared" si="70"/>
        <v>0</v>
      </c>
      <c r="I1521" s="3">
        <f t="shared" si="71"/>
        <v>0</v>
      </c>
    </row>
    <row r="1522" spans="4:9" x14ac:dyDescent="0.35">
      <c r="D1522" s="2"/>
      <c r="E1522" s="2"/>
      <c r="F1522" s="3"/>
      <c r="G1522" s="3">
        <f t="shared" si="69"/>
        <v>0</v>
      </c>
      <c r="H1522" s="3">
        <f t="shared" si="70"/>
        <v>0</v>
      </c>
      <c r="I1522" s="3">
        <f t="shared" si="71"/>
        <v>0</v>
      </c>
    </row>
    <row r="1523" spans="4:9" x14ac:dyDescent="0.35">
      <c r="D1523" s="2"/>
      <c r="E1523" s="2"/>
      <c r="F1523" s="3"/>
      <c r="G1523" s="3">
        <f t="shared" si="69"/>
        <v>0</v>
      </c>
      <c r="H1523" s="3">
        <f t="shared" si="70"/>
        <v>0</v>
      </c>
      <c r="I1523" s="3">
        <f t="shared" si="71"/>
        <v>0</v>
      </c>
    </row>
    <row r="1524" spans="4:9" x14ac:dyDescent="0.35">
      <c r="D1524" s="2"/>
      <c r="E1524" s="2"/>
      <c r="F1524" s="3"/>
      <c r="G1524" s="3">
        <f t="shared" si="69"/>
        <v>0</v>
      </c>
      <c r="H1524" s="3">
        <f t="shared" si="70"/>
        <v>0</v>
      </c>
      <c r="I1524" s="3">
        <f t="shared" si="71"/>
        <v>0</v>
      </c>
    </row>
    <row r="1525" spans="4:9" x14ac:dyDescent="0.35">
      <c r="D1525" s="2"/>
      <c r="E1525" s="2"/>
      <c r="F1525" s="3"/>
      <c r="G1525" s="3">
        <f t="shared" si="69"/>
        <v>0</v>
      </c>
      <c r="H1525" s="3">
        <f t="shared" si="70"/>
        <v>0</v>
      </c>
      <c r="I1525" s="3">
        <f t="shared" si="71"/>
        <v>0</v>
      </c>
    </row>
    <row r="1526" spans="4:9" x14ac:dyDescent="0.35">
      <c r="D1526" s="2"/>
      <c r="E1526" s="2"/>
      <c r="F1526" s="3"/>
      <c r="G1526" s="3">
        <f t="shared" si="69"/>
        <v>0</v>
      </c>
      <c r="H1526" s="3">
        <f t="shared" si="70"/>
        <v>0</v>
      </c>
      <c r="I1526" s="3">
        <f t="shared" si="71"/>
        <v>0</v>
      </c>
    </row>
    <row r="1527" spans="4:9" x14ac:dyDescent="0.35">
      <c r="D1527" s="2"/>
      <c r="E1527" s="2"/>
      <c r="F1527" s="3"/>
      <c r="G1527" s="3">
        <f t="shared" si="69"/>
        <v>0</v>
      </c>
      <c r="H1527" s="3">
        <f t="shared" si="70"/>
        <v>0</v>
      </c>
      <c r="I1527" s="3">
        <f t="shared" si="71"/>
        <v>0</v>
      </c>
    </row>
    <row r="1528" spans="4:9" x14ac:dyDescent="0.35">
      <c r="D1528" s="2"/>
      <c r="E1528" s="2"/>
      <c r="F1528" s="3"/>
      <c r="G1528" s="3">
        <f t="shared" si="69"/>
        <v>0</v>
      </c>
      <c r="H1528" s="3">
        <f t="shared" si="70"/>
        <v>0</v>
      </c>
      <c r="I1528" s="3">
        <f t="shared" si="71"/>
        <v>0</v>
      </c>
    </row>
    <row r="1529" spans="4:9" x14ac:dyDescent="0.35">
      <c r="D1529" s="2"/>
      <c r="E1529" s="2"/>
      <c r="F1529" s="3"/>
      <c r="G1529" s="3">
        <f t="shared" si="69"/>
        <v>0</v>
      </c>
      <c r="H1529" s="3">
        <f t="shared" si="70"/>
        <v>0</v>
      </c>
      <c r="I1529" s="3">
        <f t="shared" si="71"/>
        <v>0</v>
      </c>
    </row>
    <row r="1530" spans="4:9" x14ac:dyDescent="0.35">
      <c r="D1530" s="2"/>
      <c r="E1530" s="2"/>
      <c r="F1530" s="3"/>
      <c r="G1530" s="3">
        <f t="shared" si="69"/>
        <v>0</v>
      </c>
      <c r="H1530" s="3">
        <f t="shared" si="70"/>
        <v>0</v>
      </c>
      <c r="I1530" s="3">
        <f t="shared" si="71"/>
        <v>0</v>
      </c>
    </row>
    <row r="1531" spans="4:9" x14ac:dyDescent="0.35">
      <c r="D1531" s="2"/>
      <c r="E1531" s="2"/>
      <c r="F1531" s="3"/>
      <c r="G1531" s="3">
        <f t="shared" si="69"/>
        <v>0</v>
      </c>
      <c r="H1531" s="3">
        <f t="shared" si="70"/>
        <v>0</v>
      </c>
      <c r="I1531" s="3">
        <f t="shared" si="71"/>
        <v>0</v>
      </c>
    </row>
    <row r="1532" spans="4:9" x14ac:dyDescent="0.35">
      <c r="D1532" s="2"/>
      <c r="E1532" s="2"/>
      <c r="F1532" s="3"/>
      <c r="G1532" s="3">
        <f t="shared" si="69"/>
        <v>0</v>
      </c>
      <c r="H1532" s="3">
        <f t="shared" si="70"/>
        <v>0</v>
      </c>
      <c r="I1532" s="3">
        <f t="shared" si="71"/>
        <v>0</v>
      </c>
    </row>
    <row r="1533" spans="4:9" x14ac:dyDescent="0.35">
      <c r="D1533" s="2"/>
      <c r="E1533" s="2"/>
      <c r="F1533" s="3"/>
      <c r="G1533" s="3">
        <f t="shared" si="69"/>
        <v>0</v>
      </c>
      <c r="H1533" s="3">
        <f t="shared" si="70"/>
        <v>0</v>
      </c>
      <c r="I1533" s="3">
        <f t="shared" si="71"/>
        <v>0</v>
      </c>
    </row>
    <row r="1534" spans="4:9" x14ac:dyDescent="0.35">
      <c r="D1534" s="2"/>
      <c r="E1534" s="2"/>
      <c r="F1534" s="3"/>
      <c r="G1534" s="3">
        <f t="shared" si="69"/>
        <v>0</v>
      </c>
      <c r="H1534" s="3">
        <f t="shared" si="70"/>
        <v>0</v>
      </c>
      <c r="I1534" s="3">
        <f t="shared" si="71"/>
        <v>0</v>
      </c>
    </row>
    <row r="1535" spans="4:9" x14ac:dyDescent="0.35">
      <c r="D1535" s="2"/>
      <c r="E1535" s="2"/>
      <c r="F1535" s="3"/>
      <c r="G1535" s="3">
        <f t="shared" si="69"/>
        <v>0</v>
      </c>
      <c r="H1535" s="3">
        <f t="shared" si="70"/>
        <v>0</v>
      </c>
      <c r="I1535" s="3">
        <f t="shared" si="71"/>
        <v>0</v>
      </c>
    </row>
    <row r="1536" spans="4:9" x14ac:dyDescent="0.35">
      <c r="D1536" s="2"/>
      <c r="E1536" s="2"/>
      <c r="F1536" s="3"/>
      <c r="G1536" s="3">
        <f t="shared" si="69"/>
        <v>0</v>
      </c>
      <c r="H1536" s="3">
        <f t="shared" si="70"/>
        <v>0</v>
      </c>
      <c r="I1536" s="3">
        <f t="shared" si="71"/>
        <v>0</v>
      </c>
    </row>
    <row r="1537" spans="4:9" x14ac:dyDescent="0.35">
      <c r="D1537" s="2"/>
      <c r="E1537" s="2"/>
      <c r="F1537" s="3"/>
      <c r="G1537" s="3">
        <f t="shared" si="69"/>
        <v>0</v>
      </c>
      <c r="H1537" s="3">
        <f t="shared" si="70"/>
        <v>0</v>
      </c>
      <c r="I1537" s="3">
        <f t="shared" si="71"/>
        <v>0</v>
      </c>
    </row>
    <row r="1538" spans="4:9" x14ac:dyDescent="0.35">
      <c r="D1538" s="2"/>
      <c r="E1538" s="2"/>
      <c r="F1538" s="3"/>
      <c r="G1538" s="3">
        <f t="shared" ref="G1538:G1601" si="72">IF($F1538&gt;0,$E1538/(1-$F1538),0)</f>
        <v>0</v>
      </c>
      <c r="H1538" s="3">
        <f t="shared" ref="H1538:H1601" si="73">IF($D1538&gt;0,$G1538/$D1538,0)</f>
        <v>0</v>
      </c>
      <c r="I1538" s="3">
        <f t="shared" ref="I1538:I1601" si="74">$E1538*1.1</f>
        <v>0</v>
      </c>
    </row>
    <row r="1539" spans="4:9" x14ac:dyDescent="0.35">
      <c r="D1539" s="2"/>
      <c r="E1539" s="2"/>
      <c r="F1539" s="3"/>
      <c r="G1539" s="3">
        <f t="shared" si="72"/>
        <v>0</v>
      </c>
      <c r="H1539" s="3">
        <f t="shared" si="73"/>
        <v>0</v>
      </c>
      <c r="I1539" s="3">
        <f t="shared" si="74"/>
        <v>0</v>
      </c>
    </row>
    <row r="1540" spans="4:9" x14ac:dyDescent="0.35">
      <c r="D1540" s="2"/>
      <c r="E1540" s="2"/>
      <c r="F1540" s="3"/>
      <c r="G1540" s="3">
        <f t="shared" si="72"/>
        <v>0</v>
      </c>
      <c r="H1540" s="3">
        <f t="shared" si="73"/>
        <v>0</v>
      </c>
      <c r="I1540" s="3">
        <f t="shared" si="74"/>
        <v>0</v>
      </c>
    </row>
    <row r="1541" spans="4:9" x14ac:dyDescent="0.35">
      <c r="D1541" s="2"/>
      <c r="E1541" s="2"/>
      <c r="F1541" s="3"/>
      <c r="G1541" s="3">
        <f t="shared" si="72"/>
        <v>0</v>
      </c>
      <c r="H1541" s="3">
        <f t="shared" si="73"/>
        <v>0</v>
      </c>
      <c r="I1541" s="3">
        <f t="shared" si="74"/>
        <v>0</v>
      </c>
    </row>
    <row r="1542" spans="4:9" x14ac:dyDescent="0.35">
      <c r="D1542" s="2"/>
      <c r="E1542" s="2"/>
      <c r="F1542" s="3"/>
      <c r="G1542" s="3">
        <f t="shared" si="72"/>
        <v>0</v>
      </c>
      <c r="H1542" s="3">
        <f t="shared" si="73"/>
        <v>0</v>
      </c>
      <c r="I1542" s="3">
        <f t="shared" si="74"/>
        <v>0</v>
      </c>
    </row>
    <row r="1543" spans="4:9" x14ac:dyDescent="0.35">
      <c r="D1543" s="2"/>
      <c r="E1543" s="2"/>
      <c r="F1543" s="3"/>
      <c r="G1543" s="3">
        <f t="shared" si="72"/>
        <v>0</v>
      </c>
      <c r="H1543" s="3">
        <f t="shared" si="73"/>
        <v>0</v>
      </c>
      <c r="I1543" s="3">
        <f t="shared" si="74"/>
        <v>0</v>
      </c>
    </row>
    <row r="1544" spans="4:9" x14ac:dyDescent="0.35">
      <c r="D1544" s="2"/>
      <c r="E1544" s="2"/>
      <c r="F1544" s="3"/>
      <c r="G1544" s="3">
        <f t="shared" si="72"/>
        <v>0</v>
      </c>
      <c r="H1544" s="3">
        <f t="shared" si="73"/>
        <v>0</v>
      </c>
      <c r="I1544" s="3">
        <f t="shared" si="74"/>
        <v>0</v>
      </c>
    </row>
    <row r="1545" spans="4:9" x14ac:dyDescent="0.35">
      <c r="D1545" s="2"/>
      <c r="E1545" s="2"/>
      <c r="F1545" s="3"/>
      <c r="G1545" s="3">
        <f t="shared" si="72"/>
        <v>0</v>
      </c>
      <c r="H1545" s="3">
        <f t="shared" si="73"/>
        <v>0</v>
      </c>
      <c r="I1545" s="3">
        <f t="shared" si="74"/>
        <v>0</v>
      </c>
    </row>
    <row r="1546" spans="4:9" x14ac:dyDescent="0.35">
      <c r="D1546" s="2"/>
      <c r="E1546" s="2"/>
      <c r="F1546" s="3"/>
      <c r="G1546" s="3">
        <f t="shared" si="72"/>
        <v>0</v>
      </c>
      <c r="H1546" s="3">
        <f t="shared" si="73"/>
        <v>0</v>
      </c>
      <c r="I1546" s="3">
        <f t="shared" si="74"/>
        <v>0</v>
      </c>
    </row>
    <row r="1547" spans="4:9" x14ac:dyDescent="0.35">
      <c r="D1547" s="2"/>
      <c r="E1547" s="2"/>
      <c r="F1547" s="3"/>
      <c r="G1547" s="3">
        <f t="shared" si="72"/>
        <v>0</v>
      </c>
      <c r="H1547" s="3">
        <f t="shared" si="73"/>
        <v>0</v>
      </c>
      <c r="I1547" s="3">
        <f t="shared" si="74"/>
        <v>0</v>
      </c>
    </row>
    <row r="1548" spans="4:9" x14ac:dyDescent="0.35">
      <c r="D1548" s="2"/>
      <c r="E1548" s="2"/>
      <c r="F1548" s="3"/>
      <c r="G1548" s="3">
        <f t="shared" si="72"/>
        <v>0</v>
      </c>
      <c r="H1548" s="3">
        <f t="shared" si="73"/>
        <v>0</v>
      </c>
      <c r="I1548" s="3">
        <f t="shared" si="74"/>
        <v>0</v>
      </c>
    </row>
    <row r="1549" spans="4:9" x14ac:dyDescent="0.35">
      <c r="D1549" s="2"/>
      <c r="E1549" s="2"/>
      <c r="F1549" s="3"/>
      <c r="G1549" s="3">
        <f t="shared" si="72"/>
        <v>0</v>
      </c>
      <c r="H1549" s="3">
        <f t="shared" si="73"/>
        <v>0</v>
      </c>
      <c r="I1549" s="3">
        <f t="shared" si="74"/>
        <v>0</v>
      </c>
    </row>
    <row r="1550" spans="4:9" x14ac:dyDescent="0.35">
      <c r="D1550" s="2"/>
      <c r="E1550" s="2"/>
      <c r="F1550" s="3"/>
      <c r="G1550" s="3">
        <f t="shared" si="72"/>
        <v>0</v>
      </c>
      <c r="H1550" s="3">
        <f t="shared" si="73"/>
        <v>0</v>
      </c>
      <c r="I1550" s="3">
        <f t="shared" si="74"/>
        <v>0</v>
      </c>
    </row>
    <row r="1551" spans="4:9" x14ac:dyDescent="0.35">
      <c r="D1551" s="2"/>
      <c r="E1551" s="2"/>
      <c r="F1551" s="3"/>
      <c r="G1551" s="3">
        <f t="shared" si="72"/>
        <v>0</v>
      </c>
      <c r="H1551" s="3">
        <f t="shared" si="73"/>
        <v>0</v>
      </c>
      <c r="I1551" s="3">
        <f t="shared" si="74"/>
        <v>0</v>
      </c>
    </row>
    <row r="1552" spans="4:9" x14ac:dyDescent="0.35">
      <c r="D1552" s="2"/>
      <c r="E1552" s="2"/>
      <c r="F1552" s="3"/>
      <c r="G1552" s="3">
        <f t="shared" si="72"/>
        <v>0</v>
      </c>
      <c r="H1552" s="3">
        <f t="shared" si="73"/>
        <v>0</v>
      </c>
      <c r="I1552" s="3">
        <f t="shared" si="74"/>
        <v>0</v>
      </c>
    </row>
    <row r="1553" spans="4:9" x14ac:dyDescent="0.35">
      <c r="D1553" s="2"/>
      <c r="E1553" s="2"/>
      <c r="F1553" s="3"/>
      <c r="G1553" s="3">
        <f t="shared" si="72"/>
        <v>0</v>
      </c>
      <c r="H1553" s="3">
        <f t="shared" si="73"/>
        <v>0</v>
      </c>
      <c r="I1553" s="3">
        <f t="shared" si="74"/>
        <v>0</v>
      </c>
    </row>
    <row r="1554" spans="4:9" x14ac:dyDescent="0.35">
      <c r="D1554" s="2"/>
      <c r="E1554" s="2"/>
      <c r="F1554" s="3"/>
      <c r="G1554" s="3">
        <f t="shared" si="72"/>
        <v>0</v>
      </c>
      <c r="H1554" s="3">
        <f t="shared" si="73"/>
        <v>0</v>
      </c>
      <c r="I1554" s="3">
        <f t="shared" si="74"/>
        <v>0</v>
      </c>
    </row>
    <row r="1555" spans="4:9" x14ac:dyDescent="0.35">
      <c r="D1555" s="2"/>
      <c r="E1555" s="2"/>
      <c r="F1555" s="3"/>
      <c r="G1555" s="3">
        <f t="shared" si="72"/>
        <v>0</v>
      </c>
      <c r="H1555" s="3">
        <f t="shared" si="73"/>
        <v>0</v>
      </c>
      <c r="I1555" s="3">
        <f t="shared" si="74"/>
        <v>0</v>
      </c>
    </row>
    <row r="1556" spans="4:9" x14ac:dyDescent="0.35">
      <c r="D1556" s="2"/>
      <c r="E1556" s="2"/>
      <c r="F1556" s="3"/>
      <c r="G1556" s="3">
        <f t="shared" si="72"/>
        <v>0</v>
      </c>
      <c r="H1556" s="3">
        <f t="shared" si="73"/>
        <v>0</v>
      </c>
      <c r="I1556" s="3">
        <f t="shared" si="74"/>
        <v>0</v>
      </c>
    </row>
    <row r="1557" spans="4:9" x14ac:dyDescent="0.35">
      <c r="D1557" s="2"/>
      <c r="E1557" s="2"/>
      <c r="F1557" s="3"/>
      <c r="G1557" s="3">
        <f t="shared" si="72"/>
        <v>0</v>
      </c>
      <c r="H1557" s="3">
        <f t="shared" si="73"/>
        <v>0</v>
      </c>
      <c r="I1557" s="3">
        <f t="shared" si="74"/>
        <v>0</v>
      </c>
    </row>
    <row r="1558" spans="4:9" x14ac:dyDescent="0.35">
      <c r="D1558" s="2"/>
      <c r="E1558" s="2"/>
      <c r="F1558" s="3"/>
      <c r="G1558" s="3">
        <f t="shared" si="72"/>
        <v>0</v>
      </c>
      <c r="H1558" s="3">
        <f t="shared" si="73"/>
        <v>0</v>
      </c>
      <c r="I1558" s="3">
        <f t="shared" si="74"/>
        <v>0</v>
      </c>
    </row>
    <row r="1559" spans="4:9" x14ac:dyDescent="0.35">
      <c r="D1559" s="2"/>
      <c r="E1559" s="2"/>
      <c r="F1559" s="3"/>
      <c r="G1559" s="3">
        <f t="shared" si="72"/>
        <v>0</v>
      </c>
      <c r="H1559" s="3">
        <f t="shared" si="73"/>
        <v>0</v>
      </c>
      <c r="I1559" s="3">
        <f t="shared" si="74"/>
        <v>0</v>
      </c>
    </row>
    <row r="1560" spans="4:9" x14ac:dyDescent="0.35">
      <c r="D1560" s="2"/>
      <c r="E1560" s="2"/>
      <c r="F1560" s="3"/>
      <c r="G1560" s="3">
        <f t="shared" si="72"/>
        <v>0</v>
      </c>
      <c r="H1560" s="3">
        <f t="shared" si="73"/>
        <v>0</v>
      </c>
      <c r="I1560" s="3">
        <f t="shared" si="74"/>
        <v>0</v>
      </c>
    </row>
    <row r="1561" spans="4:9" x14ac:dyDescent="0.35">
      <c r="D1561" s="2"/>
      <c r="E1561" s="2"/>
      <c r="F1561" s="3"/>
      <c r="G1561" s="3">
        <f t="shared" si="72"/>
        <v>0</v>
      </c>
      <c r="H1561" s="3">
        <f t="shared" si="73"/>
        <v>0</v>
      </c>
      <c r="I1561" s="3">
        <f t="shared" si="74"/>
        <v>0</v>
      </c>
    </row>
    <row r="1562" spans="4:9" x14ac:dyDescent="0.35">
      <c r="D1562" s="2"/>
      <c r="E1562" s="2"/>
      <c r="F1562" s="3"/>
      <c r="G1562" s="3">
        <f t="shared" si="72"/>
        <v>0</v>
      </c>
      <c r="H1562" s="3">
        <f t="shared" si="73"/>
        <v>0</v>
      </c>
      <c r="I1562" s="3">
        <f t="shared" si="74"/>
        <v>0</v>
      </c>
    </row>
    <row r="1563" spans="4:9" x14ac:dyDescent="0.35">
      <c r="D1563" s="2"/>
      <c r="E1563" s="2"/>
      <c r="F1563" s="3"/>
      <c r="G1563" s="3">
        <f t="shared" si="72"/>
        <v>0</v>
      </c>
      <c r="H1563" s="3">
        <f t="shared" si="73"/>
        <v>0</v>
      </c>
      <c r="I1563" s="3">
        <f t="shared" si="74"/>
        <v>0</v>
      </c>
    </row>
    <row r="1564" spans="4:9" x14ac:dyDescent="0.35">
      <c r="D1564" s="2"/>
      <c r="E1564" s="2"/>
      <c r="F1564" s="3"/>
      <c r="G1564" s="3">
        <f t="shared" si="72"/>
        <v>0</v>
      </c>
      <c r="H1564" s="3">
        <f t="shared" si="73"/>
        <v>0</v>
      </c>
      <c r="I1564" s="3">
        <f t="shared" si="74"/>
        <v>0</v>
      </c>
    </row>
    <row r="1565" spans="4:9" x14ac:dyDescent="0.35">
      <c r="D1565" s="2"/>
      <c r="E1565" s="2"/>
      <c r="F1565" s="3"/>
      <c r="G1565" s="3">
        <f t="shared" si="72"/>
        <v>0</v>
      </c>
      <c r="H1565" s="3">
        <f t="shared" si="73"/>
        <v>0</v>
      </c>
      <c r="I1565" s="3">
        <f t="shared" si="74"/>
        <v>0</v>
      </c>
    </row>
    <row r="1566" spans="4:9" x14ac:dyDescent="0.35">
      <c r="D1566" s="2"/>
      <c r="E1566" s="2"/>
      <c r="F1566" s="3"/>
      <c r="G1566" s="3">
        <f t="shared" si="72"/>
        <v>0</v>
      </c>
      <c r="H1566" s="3">
        <f t="shared" si="73"/>
        <v>0</v>
      </c>
      <c r="I1566" s="3">
        <f t="shared" si="74"/>
        <v>0</v>
      </c>
    </row>
    <row r="1567" spans="4:9" x14ac:dyDescent="0.35">
      <c r="D1567" s="2"/>
      <c r="E1567" s="2"/>
      <c r="F1567" s="3"/>
      <c r="G1567" s="3">
        <f t="shared" si="72"/>
        <v>0</v>
      </c>
      <c r="H1567" s="3">
        <f t="shared" si="73"/>
        <v>0</v>
      </c>
      <c r="I1567" s="3">
        <f t="shared" si="74"/>
        <v>0</v>
      </c>
    </row>
    <row r="1568" spans="4:9" x14ac:dyDescent="0.35">
      <c r="D1568" s="2"/>
      <c r="E1568" s="2"/>
      <c r="F1568" s="3"/>
      <c r="G1568" s="3">
        <f t="shared" si="72"/>
        <v>0</v>
      </c>
      <c r="H1568" s="3">
        <f t="shared" si="73"/>
        <v>0</v>
      </c>
      <c r="I1568" s="3">
        <f t="shared" si="74"/>
        <v>0</v>
      </c>
    </row>
    <row r="1569" spans="4:9" x14ac:dyDescent="0.35">
      <c r="D1569" s="2"/>
      <c r="E1569" s="2"/>
      <c r="F1569" s="3"/>
      <c r="G1569" s="3">
        <f t="shared" si="72"/>
        <v>0</v>
      </c>
      <c r="H1569" s="3">
        <f t="shared" si="73"/>
        <v>0</v>
      </c>
      <c r="I1569" s="3">
        <f t="shared" si="74"/>
        <v>0</v>
      </c>
    </row>
    <row r="1570" spans="4:9" x14ac:dyDescent="0.35">
      <c r="D1570" s="2"/>
      <c r="E1570" s="2"/>
      <c r="F1570" s="3"/>
      <c r="G1570" s="3">
        <f t="shared" si="72"/>
        <v>0</v>
      </c>
      <c r="H1570" s="3">
        <f t="shared" si="73"/>
        <v>0</v>
      </c>
      <c r="I1570" s="3">
        <f t="shared" si="74"/>
        <v>0</v>
      </c>
    </row>
    <row r="1571" spans="4:9" x14ac:dyDescent="0.35">
      <c r="D1571" s="2"/>
      <c r="E1571" s="2"/>
      <c r="F1571" s="3"/>
      <c r="G1571" s="3">
        <f t="shared" si="72"/>
        <v>0</v>
      </c>
      <c r="H1571" s="3">
        <f t="shared" si="73"/>
        <v>0</v>
      </c>
      <c r="I1571" s="3">
        <f t="shared" si="74"/>
        <v>0</v>
      </c>
    </row>
    <row r="1572" spans="4:9" x14ac:dyDescent="0.35">
      <c r="D1572" s="2"/>
      <c r="E1572" s="2"/>
      <c r="F1572" s="3"/>
      <c r="G1572" s="3">
        <f t="shared" si="72"/>
        <v>0</v>
      </c>
      <c r="H1572" s="3">
        <f t="shared" si="73"/>
        <v>0</v>
      </c>
      <c r="I1572" s="3">
        <f t="shared" si="74"/>
        <v>0</v>
      </c>
    </row>
    <row r="1573" spans="4:9" x14ac:dyDescent="0.35">
      <c r="D1573" s="2"/>
      <c r="E1573" s="2"/>
      <c r="F1573" s="3"/>
      <c r="G1573" s="3">
        <f t="shared" si="72"/>
        <v>0</v>
      </c>
      <c r="H1573" s="3">
        <f t="shared" si="73"/>
        <v>0</v>
      </c>
      <c r="I1573" s="3">
        <f t="shared" si="74"/>
        <v>0</v>
      </c>
    </row>
    <row r="1574" spans="4:9" x14ac:dyDescent="0.35">
      <c r="D1574" s="2"/>
      <c r="E1574" s="2"/>
      <c r="F1574" s="3"/>
      <c r="G1574" s="3">
        <f t="shared" si="72"/>
        <v>0</v>
      </c>
      <c r="H1574" s="3">
        <f t="shared" si="73"/>
        <v>0</v>
      </c>
      <c r="I1574" s="3">
        <f t="shared" si="74"/>
        <v>0</v>
      </c>
    </row>
    <row r="1575" spans="4:9" x14ac:dyDescent="0.35">
      <c r="D1575" s="2"/>
      <c r="E1575" s="2"/>
      <c r="F1575" s="3"/>
      <c r="G1575" s="3">
        <f t="shared" si="72"/>
        <v>0</v>
      </c>
      <c r="H1575" s="3">
        <f t="shared" si="73"/>
        <v>0</v>
      </c>
      <c r="I1575" s="3">
        <f t="shared" si="74"/>
        <v>0</v>
      </c>
    </row>
    <row r="1576" spans="4:9" x14ac:dyDescent="0.35">
      <c r="D1576" s="2"/>
      <c r="E1576" s="2"/>
      <c r="F1576" s="3"/>
      <c r="G1576" s="3">
        <f t="shared" si="72"/>
        <v>0</v>
      </c>
      <c r="H1576" s="3">
        <f t="shared" si="73"/>
        <v>0</v>
      </c>
      <c r="I1576" s="3">
        <f t="shared" si="74"/>
        <v>0</v>
      </c>
    </row>
    <row r="1577" spans="4:9" x14ac:dyDescent="0.35">
      <c r="D1577" s="2"/>
      <c r="E1577" s="2"/>
      <c r="F1577" s="3"/>
      <c r="G1577" s="3">
        <f t="shared" si="72"/>
        <v>0</v>
      </c>
      <c r="H1577" s="3">
        <f t="shared" si="73"/>
        <v>0</v>
      </c>
      <c r="I1577" s="3">
        <f t="shared" si="74"/>
        <v>0</v>
      </c>
    </row>
    <row r="1578" spans="4:9" x14ac:dyDescent="0.35">
      <c r="D1578" s="2"/>
      <c r="E1578" s="2"/>
      <c r="F1578" s="3"/>
      <c r="G1578" s="3">
        <f t="shared" si="72"/>
        <v>0</v>
      </c>
      <c r="H1578" s="3">
        <f t="shared" si="73"/>
        <v>0</v>
      </c>
      <c r="I1578" s="3">
        <f t="shared" si="74"/>
        <v>0</v>
      </c>
    </row>
    <row r="1579" spans="4:9" x14ac:dyDescent="0.35">
      <c r="D1579" s="2"/>
      <c r="E1579" s="2"/>
      <c r="F1579" s="3"/>
      <c r="G1579" s="3">
        <f t="shared" si="72"/>
        <v>0</v>
      </c>
      <c r="H1579" s="3">
        <f t="shared" si="73"/>
        <v>0</v>
      </c>
      <c r="I1579" s="3">
        <f t="shared" si="74"/>
        <v>0</v>
      </c>
    </row>
    <row r="1580" spans="4:9" x14ac:dyDescent="0.35">
      <c r="D1580" s="2"/>
      <c r="E1580" s="2"/>
      <c r="F1580" s="3"/>
      <c r="G1580" s="3">
        <f t="shared" si="72"/>
        <v>0</v>
      </c>
      <c r="H1580" s="3">
        <f t="shared" si="73"/>
        <v>0</v>
      </c>
      <c r="I1580" s="3">
        <f t="shared" si="74"/>
        <v>0</v>
      </c>
    </row>
    <row r="1581" spans="4:9" x14ac:dyDescent="0.35">
      <c r="D1581" s="2"/>
      <c r="E1581" s="2"/>
      <c r="F1581" s="3"/>
      <c r="G1581" s="3">
        <f t="shared" si="72"/>
        <v>0</v>
      </c>
      <c r="H1581" s="3">
        <f t="shared" si="73"/>
        <v>0</v>
      </c>
      <c r="I1581" s="3">
        <f t="shared" si="74"/>
        <v>0</v>
      </c>
    </row>
    <row r="1582" spans="4:9" x14ac:dyDescent="0.35">
      <c r="D1582" s="2"/>
      <c r="E1582" s="2"/>
      <c r="F1582" s="3"/>
      <c r="G1582" s="3">
        <f t="shared" si="72"/>
        <v>0</v>
      </c>
      <c r="H1582" s="3">
        <f t="shared" si="73"/>
        <v>0</v>
      </c>
      <c r="I1582" s="3">
        <f t="shared" si="74"/>
        <v>0</v>
      </c>
    </row>
    <row r="1583" spans="4:9" x14ac:dyDescent="0.35">
      <c r="D1583" s="2"/>
      <c r="E1583" s="2"/>
      <c r="F1583" s="3"/>
      <c r="G1583" s="3">
        <f t="shared" si="72"/>
        <v>0</v>
      </c>
      <c r="H1583" s="3">
        <f t="shared" si="73"/>
        <v>0</v>
      </c>
      <c r="I1583" s="3">
        <f t="shared" si="74"/>
        <v>0</v>
      </c>
    </row>
    <row r="1584" spans="4:9" x14ac:dyDescent="0.35">
      <c r="D1584" s="2"/>
      <c r="E1584" s="2"/>
      <c r="F1584" s="3"/>
      <c r="G1584" s="3">
        <f t="shared" si="72"/>
        <v>0</v>
      </c>
      <c r="H1584" s="3">
        <f t="shared" si="73"/>
        <v>0</v>
      </c>
      <c r="I1584" s="3">
        <f t="shared" si="74"/>
        <v>0</v>
      </c>
    </row>
    <row r="1585" spans="4:9" x14ac:dyDescent="0.35">
      <c r="D1585" s="2"/>
      <c r="E1585" s="2"/>
      <c r="F1585" s="3"/>
      <c r="G1585" s="3">
        <f t="shared" si="72"/>
        <v>0</v>
      </c>
      <c r="H1585" s="3">
        <f t="shared" si="73"/>
        <v>0</v>
      </c>
      <c r="I1585" s="3">
        <f t="shared" si="74"/>
        <v>0</v>
      </c>
    </row>
    <row r="1586" spans="4:9" x14ac:dyDescent="0.35">
      <c r="D1586" s="2"/>
      <c r="E1586" s="2"/>
      <c r="F1586" s="3"/>
      <c r="G1586" s="3">
        <f t="shared" si="72"/>
        <v>0</v>
      </c>
      <c r="H1586" s="3">
        <f t="shared" si="73"/>
        <v>0</v>
      </c>
      <c r="I1586" s="3">
        <f t="shared" si="74"/>
        <v>0</v>
      </c>
    </row>
    <row r="1587" spans="4:9" x14ac:dyDescent="0.35">
      <c r="D1587" s="2"/>
      <c r="E1587" s="2"/>
      <c r="F1587" s="3"/>
      <c r="G1587" s="3">
        <f t="shared" si="72"/>
        <v>0</v>
      </c>
      <c r="H1587" s="3">
        <f t="shared" si="73"/>
        <v>0</v>
      </c>
      <c r="I1587" s="3">
        <f t="shared" si="74"/>
        <v>0</v>
      </c>
    </row>
    <row r="1588" spans="4:9" x14ac:dyDescent="0.35">
      <c r="D1588" s="2"/>
      <c r="E1588" s="2"/>
      <c r="F1588" s="3"/>
      <c r="G1588" s="3">
        <f t="shared" si="72"/>
        <v>0</v>
      </c>
      <c r="H1588" s="3">
        <f t="shared" si="73"/>
        <v>0</v>
      </c>
      <c r="I1588" s="3">
        <f t="shared" si="74"/>
        <v>0</v>
      </c>
    </row>
    <row r="1589" spans="4:9" x14ac:dyDescent="0.35">
      <c r="D1589" s="2"/>
      <c r="E1589" s="2"/>
      <c r="F1589" s="3"/>
      <c r="G1589" s="3">
        <f t="shared" si="72"/>
        <v>0</v>
      </c>
      <c r="H1589" s="3">
        <f t="shared" si="73"/>
        <v>0</v>
      </c>
      <c r="I1589" s="3">
        <f t="shared" si="74"/>
        <v>0</v>
      </c>
    </row>
    <row r="1590" spans="4:9" x14ac:dyDescent="0.35">
      <c r="D1590" s="2"/>
      <c r="E1590" s="2"/>
      <c r="F1590" s="3"/>
      <c r="G1590" s="3">
        <f t="shared" si="72"/>
        <v>0</v>
      </c>
      <c r="H1590" s="3">
        <f t="shared" si="73"/>
        <v>0</v>
      </c>
      <c r="I1590" s="3">
        <f t="shared" si="74"/>
        <v>0</v>
      </c>
    </row>
    <row r="1591" spans="4:9" x14ac:dyDescent="0.35">
      <c r="D1591" s="2"/>
      <c r="E1591" s="2"/>
      <c r="F1591" s="3"/>
      <c r="G1591" s="3">
        <f t="shared" si="72"/>
        <v>0</v>
      </c>
      <c r="H1591" s="3">
        <f t="shared" si="73"/>
        <v>0</v>
      </c>
      <c r="I1591" s="3">
        <f t="shared" si="74"/>
        <v>0</v>
      </c>
    </row>
    <row r="1592" spans="4:9" x14ac:dyDescent="0.35">
      <c r="D1592" s="2"/>
      <c r="E1592" s="2"/>
      <c r="F1592" s="3"/>
      <c r="G1592" s="3">
        <f t="shared" si="72"/>
        <v>0</v>
      </c>
      <c r="H1592" s="3">
        <f t="shared" si="73"/>
        <v>0</v>
      </c>
      <c r="I1592" s="3">
        <f t="shared" si="74"/>
        <v>0</v>
      </c>
    </row>
    <row r="1593" spans="4:9" x14ac:dyDescent="0.35">
      <c r="D1593" s="2"/>
      <c r="E1593" s="2"/>
      <c r="F1593" s="3"/>
      <c r="G1593" s="3">
        <f t="shared" si="72"/>
        <v>0</v>
      </c>
      <c r="H1593" s="3">
        <f t="shared" si="73"/>
        <v>0</v>
      </c>
      <c r="I1593" s="3">
        <f t="shared" si="74"/>
        <v>0</v>
      </c>
    </row>
    <row r="1594" spans="4:9" x14ac:dyDescent="0.35">
      <c r="D1594" s="2"/>
      <c r="E1594" s="2"/>
      <c r="F1594" s="3"/>
      <c r="G1594" s="3">
        <f t="shared" si="72"/>
        <v>0</v>
      </c>
      <c r="H1594" s="3">
        <f t="shared" si="73"/>
        <v>0</v>
      </c>
      <c r="I1594" s="3">
        <f t="shared" si="74"/>
        <v>0</v>
      </c>
    </row>
    <row r="1595" spans="4:9" x14ac:dyDescent="0.35">
      <c r="D1595" s="2"/>
      <c r="E1595" s="2"/>
      <c r="F1595" s="3"/>
      <c r="G1595" s="3">
        <f t="shared" si="72"/>
        <v>0</v>
      </c>
      <c r="H1595" s="3">
        <f t="shared" si="73"/>
        <v>0</v>
      </c>
      <c r="I1595" s="3">
        <f t="shared" si="74"/>
        <v>0</v>
      </c>
    </row>
    <row r="1596" spans="4:9" x14ac:dyDescent="0.35">
      <c r="D1596" s="2"/>
      <c r="E1596" s="2"/>
      <c r="F1596" s="3"/>
      <c r="G1596" s="3">
        <f t="shared" si="72"/>
        <v>0</v>
      </c>
      <c r="H1596" s="3">
        <f t="shared" si="73"/>
        <v>0</v>
      </c>
      <c r="I1596" s="3">
        <f t="shared" si="74"/>
        <v>0</v>
      </c>
    </row>
    <row r="1597" spans="4:9" x14ac:dyDescent="0.35">
      <c r="D1597" s="2"/>
      <c r="E1597" s="2"/>
      <c r="F1597" s="3"/>
      <c r="G1597" s="3">
        <f t="shared" si="72"/>
        <v>0</v>
      </c>
      <c r="H1597" s="3">
        <f t="shared" si="73"/>
        <v>0</v>
      </c>
      <c r="I1597" s="3">
        <f t="shared" si="74"/>
        <v>0</v>
      </c>
    </row>
    <row r="1598" spans="4:9" x14ac:dyDescent="0.35">
      <c r="D1598" s="2"/>
      <c r="E1598" s="2"/>
      <c r="F1598" s="3"/>
      <c r="G1598" s="3">
        <f t="shared" si="72"/>
        <v>0</v>
      </c>
      <c r="H1598" s="3">
        <f t="shared" si="73"/>
        <v>0</v>
      </c>
      <c r="I1598" s="3">
        <f t="shared" si="74"/>
        <v>0</v>
      </c>
    </row>
    <row r="1599" spans="4:9" x14ac:dyDescent="0.35">
      <c r="D1599" s="2"/>
      <c r="E1599" s="2"/>
      <c r="F1599" s="3"/>
      <c r="G1599" s="3">
        <f t="shared" si="72"/>
        <v>0</v>
      </c>
      <c r="H1599" s="3">
        <f t="shared" si="73"/>
        <v>0</v>
      </c>
      <c r="I1599" s="3">
        <f t="shared" si="74"/>
        <v>0</v>
      </c>
    </row>
    <row r="1600" spans="4:9" x14ac:dyDescent="0.35">
      <c r="D1600" s="2"/>
      <c r="E1600" s="2"/>
      <c r="F1600" s="3"/>
      <c r="G1600" s="3">
        <f t="shared" si="72"/>
        <v>0</v>
      </c>
      <c r="H1600" s="3">
        <f t="shared" si="73"/>
        <v>0</v>
      </c>
      <c r="I1600" s="3">
        <f t="shared" si="74"/>
        <v>0</v>
      </c>
    </row>
    <row r="1601" spans="4:9" x14ac:dyDescent="0.35">
      <c r="D1601" s="2"/>
      <c r="E1601" s="2"/>
      <c r="F1601" s="3"/>
      <c r="G1601" s="3">
        <f t="shared" si="72"/>
        <v>0</v>
      </c>
      <c r="H1601" s="3">
        <f t="shared" si="73"/>
        <v>0</v>
      </c>
      <c r="I1601" s="3">
        <f t="shared" si="74"/>
        <v>0</v>
      </c>
    </row>
    <row r="1602" spans="4:9" x14ac:dyDescent="0.35">
      <c r="D1602" s="2"/>
      <c r="E1602" s="2"/>
      <c r="F1602" s="3"/>
      <c r="G1602" s="3">
        <f t="shared" ref="G1602:G1665" si="75">IF($F1602&gt;0,$E1602/(1-$F1602),0)</f>
        <v>0</v>
      </c>
      <c r="H1602" s="3">
        <f t="shared" ref="H1602:H1665" si="76">IF($D1602&gt;0,$G1602/$D1602,0)</f>
        <v>0</v>
      </c>
      <c r="I1602" s="3">
        <f t="shared" ref="I1602:I1665" si="77">$E1602*1.1</f>
        <v>0</v>
      </c>
    </row>
    <row r="1603" spans="4:9" x14ac:dyDescent="0.35">
      <c r="D1603" s="2"/>
      <c r="E1603" s="2"/>
      <c r="F1603" s="3"/>
      <c r="G1603" s="3">
        <f t="shared" si="75"/>
        <v>0</v>
      </c>
      <c r="H1603" s="3">
        <f t="shared" si="76"/>
        <v>0</v>
      </c>
      <c r="I1603" s="3">
        <f t="shared" si="77"/>
        <v>0</v>
      </c>
    </row>
    <row r="1604" spans="4:9" x14ac:dyDescent="0.35">
      <c r="D1604" s="2"/>
      <c r="E1604" s="2"/>
      <c r="F1604" s="3"/>
      <c r="G1604" s="3">
        <f t="shared" si="75"/>
        <v>0</v>
      </c>
      <c r="H1604" s="3">
        <f t="shared" si="76"/>
        <v>0</v>
      </c>
      <c r="I1604" s="3">
        <f t="shared" si="77"/>
        <v>0</v>
      </c>
    </row>
    <row r="1605" spans="4:9" x14ac:dyDescent="0.35">
      <c r="D1605" s="2"/>
      <c r="E1605" s="2"/>
      <c r="F1605" s="3"/>
      <c r="G1605" s="3">
        <f t="shared" si="75"/>
        <v>0</v>
      </c>
      <c r="H1605" s="3">
        <f t="shared" si="76"/>
        <v>0</v>
      </c>
      <c r="I1605" s="3">
        <f t="shared" si="77"/>
        <v>0</v>
      </c>
    </row>
    <row r="1606" spans="4:9" x14ac:dyDescent="0.35">
      <c r="D1606" s="2"/>
      <c r="E1606" s="2"/>
      <c r="F1606" s="3"/>
      <c r="G1606" s="3">
        <f t="shared" si="75"/>
        <v>0</v>
      </c>
      <c r="H1606" s="3">
        <f t="shared" si="76"/>
        <v>0</v>
      </c>
      <c r="I1606" s="3">
        <f t="shared" si="77"/>
        <v>0</v>
      </c>
    </row>
    <row r="1607" spans="4:9" x14ac:dyDescent="0.35">
      <c r="D1607" s="2"/>
      <c r="E1607" s="2"/>
      <c r="F1607" s="3"/>
      <c r="G1607" s="3">
        <f t="shared" si="75"/>
        <v>0</v>
      </c>
      <c r="H1607" s="3">
        <f t="shared" si="76"/>
        <v>0</v>
      </c>
      <c r="I1607" s="3">
        <f t="shared" si="77"/>
        <v>0</v>
      </c>
    </row>
    <row r="1608" spans="4:9" x14ac:dyDescent="0.35">
      <c r="D1608" s="2"/>
      <c r="E1608" s="2"/>
      <c r="F1608" s="3"/>
      <c r="G1608" s="3">
        <f t="shared" si="75"/>
        <v>0</v>
      </c>
      <c r="H1608" s="3">
        <f t="shared" si="76"/>
        <v>0</v>
      </c>
      <c r="I1608" s="3">
        <f t="shared" si="77"/>
        <v>0</v>
      </c>
    </row>
    <row r="1609" spans="4:9" x14ac:dyDescent="0.35">
      <c r="D1609" s="2"/>
      <c r="E1609" s="2"/>
      <c r="F1609" s="3"/>
      <c r="G1609" s="3">
        <f t="shared" si="75"/>
        <v>0</v>
      </c>
      <c r="H1609" s="3">
        <f t="shared" si="76"/>
        <v>0</v>
      </c>
      <c r="I1609" s="3">
        <f t="shared" si="77"/>
        <v>0</v>
      </c>
    </row>
    <row r="1610" spans="4:9" x14ac:dyDescent="0.35">
      <c r="D1610" s="2"/>
      <c r="E1610" s="2"/>
      <c r="F1610" s="3"/>
      <c r="G1610" s="3">
        <f t="shared" si="75"/>
        <v>0</v>
      </c>
      <c r="H1610" s="3">
        <f t="shared" si="76"/>
        <v>0</v>
      </c>
      <c r="I1610" s="3">
        <f t="shared" si="77"/>
        <v>0</v>
      </c>
    </row>
    <row r="1611" spans="4:9" x14ac:dyDescent="0.35">
      <c r="D1611" s="2"/>
      <c r="E1611" s="2"/>
      <c r="F1611" s="3"/>
      <c r="G1611" s="3">
        <f t="shared" si="75"/>
        <v>0</v>
      </c>
      <c r="H1611" s="3">
        <f t="shared" si="76"/>
        <v>0</v>
      </c>
      <c r="I1611" s="3">
        <f t="shared" si="77"/>
        <v>0</v>
      </c>
    </row>
    <row r="1612" spans="4:9" x14ac:dyDescent="0.35">
      <c r="D1612" s="2"/>
      <c r="E1612" s="2"/>
      <c r="F1612" s="3"/>
      <c r="G1612" s="3">
        <f t="shared" si="75"/>
        <v>0</v>
      </c>
      <c r="H1612" s="3">
        <f t="shared" si="76"/>
        <v>0</v>
      </c>
      <c r="I1612" s="3">
        <f t="shared" si="77"/>
        <v>0</v>
      </c>
    </row>
    <row r="1613" spans="4:9" x14ac:dyDescent="0.35">
      <c r="D1613" s="2"/>
      <c r="E1613" s="2"/>
      <c r="F1613" s="3"/>
      <c r="G1613" s="3">
        <f t="shared" si="75"/>
        <v>0</v>
      </c>
      <c r="H1613" s="3">
        <f t="shared" si="76"/>
        <v>0</v>
      </c>
      <c r="I1613" s="3">
        <f t="shared" si="77"/>
        <v>0</v>
      </c>
    </row>
    <row r="1614" spans="4:9" x14ac:dyDescent="0.35">
      <c r="D1614" s="2"/>
      <c r="E1614" s="2"/>
      <c r="F1614" s="3"/>
      <c r="G1614" s="3">
        <f t="shared" si="75"/>
        <v>0</v>
      </c>
      <c r="H1614" s="3">
        <f t="shared" si="76"/>
        <v>0</v>
      </c>
      <c r="I1614" s="3">
        <f t="shared" si="77"/>
        <v>0</v>
      </c>
    </row>
    <row r="1615" spans="4:9" x14ac:dyDescent="0.35">
      <c r="D1615" s="2"/>
      <c r="E1615" s="2"/>
      <c r="F1615" s="3"/>
      <c r="G1615" s="3">
        <f t="shared" si="75"/>
        <v>0</v>
      </c>
      <c r="H1615" s="3">
        <f t="shared" si="76"/>
        <v>0</v>
      </c>
      <c r="I1615" s="3">
        <f t="shared" si="77"/>
        <v>0</v>
      </c>
    </row>
    <row r="1616" spans="4:9" x14ac:dyDescent="0.35">
      <c r="D1616" s="2"/>
      <c r="E1616" s="2"/>
      <c r="F1616" s="3"/>
      <c r="G1616" s="3">
        <f t="shared" si="75"/>
        <v>0</v>
      </c>
      <c r="H1616" s="3">
        <f t="shared" si="76"/>
        <v>0</v>
      </c>
      <c r="I1616" s="3">
        <f t="shared" si="77"/>
        <v>0</v>
      </c>
    </row>
    <row r="1617" spans="4:9" x14ac:dyDescent="0.35">
      <c r="D1617" s="2"/>
      <c r="E1617" s="2"/>
      <c r="F1617" s="3"/>
      <c r="G1617" s="3">
        <f t="shared" si="75"/>
        <v>0</v>
      </c>
      <c r="H1617" s="3">
        <f t="shared" si="76"/>
        <v>0</v>
      </c>
      <c r="I1617" s="3">
        <f t="shared" si="77"/>
        <v>0</v>
      </c>
    </row>
    <row r="1618" spans="4:9" x14ac:dyDescent="0.35">
      <c r="D1618" s="2"/>
      <c r="E1618" s="2"/>
      <c r="F1618" s="3"/>
      <c r="G1618" s="3">
        <f t="shared" si="75"/>
        <v>0</v>
      </c>
      <c r="H1618" s="3">
        <f t="shared" si="76"/>
        <v>0</v>
      </c>
      <c r="I1618" s="3">
        <f t="shared" si="77"/>
        <v>0</v>
      </c>
    </row>
    <row r="1619" spans="4:9" x14ac:dyDescent="0.35">
      <c r="D1619" s="2"/>
      <c r="E1619" s="2"/>
      <c r="F1619" s="3"/>
      <c r="G1619" s="3">
        <f t="shared" si="75"/>
        <v>0</v>
      </c>
      <c r="H1619" s="3">
        <f t="shared" si="76"/>
        <v>0</v>
      </c>
      <c r="I1619" s="3">
        <f t="shared" si="77"/>
        <v>0</v>
      </c>
    </row>
    <row r="1620" spans="4:9" x14ac:dyDescent="0.35">
      <c r="D1620" s="2"/>
      <c r="E1620" s="2"/>
      <c r="F1620" s="3"/>
      <c r="G1620" s="3">
        <f t="shared" si="75"/>
        <v>0</v>
      </c>
      <c r="H1620" s="3">
        <f t="shared" si="76"/>
        <v>0</v>
      </c>
      <c r="I1620" s="3">
        <f t="shared" si="77"/>
        <v>0</v>
      </c>
    </row>
    <row r="1621" spans="4:9" x14ac:dyDescent="0.35">
      <c r="D1621" s="2"/>
      <c r="E1621" s="2"/>
      <c r="F1621" s="3"/>
      <c r="G1621" s="3">
        <f t="shared" si="75"/>
        <v>0</v>
      </c>
      <c r="H1621" s="3">
        <f t="shared" si="76"/>
        <v>0</v>
      </c>
      <c r="I1621" s="3">
        <f t="shared" si="77"/>
        <v>0</v>
      </c>
    </row>
    <row r="1622" spans="4:9" x14ac:dyDescent="0.35">
      <c r="D1622" s="2"/>
      <c r="E1622" s="2"/>
      <c r="F1622" s="3"/>
      <c r="G1622" s="3">
        <f t="shared" si="75"/>
        <v>0</v>
      </c>
      <c r="H1622" s="3">
        <f t="shared" si="76"/>
        <v>0</v>
      </c>
      <c r="I1622" s="3">
        <f t="shared" si="77"/>
        <v>0</v>
      </c>
    </row>
    <row r="1623" spans="4:9" x14ac:dyDescent="0.35">
      <c r="D1623" s="2"/>
      <c r="E1623" s="2"/>
      <c r="F1623" s="3"/>
      <c r="G1623" s="3">
        <f t="shared" si="75"/>
        <v>0</v>
      </c>
      <c r="H1623" s="3">
        <f t="shared" si="76"/>
        <v>0</v>
      </c>
      <c r="I1623" s="3">
        <f t="shared" si="77"/>
        <v>0</v>
      </c>
    </row>
    <row r="1624" spans="4:9" x14ac:dyDescent="0.35">
      <c r="D1624" s="2"/>
      <c r="E1624" s="2"/>
      <c r="F1624" s="3"/>
      <c r="G1624" s="3">
        <f t="shared" si="75"/>
        <v>0</v>
      </c>
      <c r="H1624" s="3">
        <f t="shared" si="76"/>
        <v>0</v>
      </c>
      <c r="I1624" s="3">
        <f t="shared" si="77"/>
        <v>0</v>
      </c>
    </row>
    <row r="1625" spans="4:9" x14ac:dyDescent="0.35">
      <c r="D1625" s="2"/>
      <c r="E1625" s="2"/>
      <c r="F1625" s="3"/>
      <c r="G1625" s="3">
        <f t="shared" si="75"/>
        <v>0</v>
      </c>
      <c r="H1625" s="3">
        <f t="shared" si="76"/>
        <v>0</v>
      </c>
      <c r="I1625" s="3">
        <f t="shared" si="77"/>
        <v>0</v>
      </c>
    </row>
    <row r="1626" spans="4:9" x14ac:dyDescent="0.35">
      <c r="D1626" s="2"/>
      <c r="E1626" s="2"/>
      <c r="F1626" s="3"/>
      <c r="G1626" s="3">
        <f t="shared" si="75"/>
        <v>0</v>
      </c>
      <c r="H1626" s="3">
        <f t="shared" si="76"/>
        <v>0</v>
      </c>
      <c r="I1626" s="3">
        <f t="shared" si="77"/>
        <v>0</v>
      </c>
    </row>
    <row r="1627" spans="4:9" x14ac:dyDescent="0.35">
      <c r="D1627" s="2"/>
      <c r="E1627" s="2"/>
      <c r="F1627" s="3"/>
      <c r="G1627" s="3">
        <f t="shared" si="75"/>
        <v>0</v>
      </c>
      <c r="H1627" s="3">
        <f t="shared" si="76"/>
        <v>0</v>
      </c>
      <c r="I1627" s="3">
        <f t="shared" si="77"/>
        <v>0</v>
      </c>
    </row>
    <row r="1628" spans="4:9" x14ac:dyDescent="0.35">
      <c r="D1628" s="2"/>
      <c r="E1628" s="2"/>
      <c r="F1628" s="3"/>
      <c r="G1628" s="3">
        <f t="shared" si="75"/>
        <v>0</v>
      </c>
      <c r="H1628" s="3">
        <f t="shared" si="76"/>
        <v>0</v>
      </c>
      <c r="I1628" s="3">
        <f t="shared" si="77"/>
        <v>0</v>
      </c>
    </row>
    <row r="1629" spans="4:9" x14ac:dyDescent="0.35">
      <c r="D1629" s="2"/>
      <c r="E1629" s="2"/>
      <c r="F1629" s="3"/>
      <c r="G1629" s="3">
        <f t="shared" si="75"/>
        <v>0</v>
      </c>
      <c r="H1629" s="3">
        <f t="shared" si="76"/>
        <v>0</v>
      </c>
      <c r="I1629" s="3">
        <f t="shared" si="77"/>
        <v>0</v>
      </c>
    </row>
    <row r="1630" spans="4:9" x14ac:dyDescent="0.35">
      <c r="D1630" s="2"/>
      <c r="E1630" s="2"/>
      <c r="F1630" s="3"/>
      <c r="G1630" s="3">
        <f t="shared" si="75"/>
        <v>0</v>
      </c>
      <c r="H1630" s="3">
        <f t="shared" si="76"/>
        <v>0</v>
      </c>
      <c r="I1630" s="3">
        <f t="shared" si="77"/>
        <v>0</v>
      </c>
    </row>
    <row r="1631" spans="4:9" x14ac:dyDescent="0.35">
      <c r="D1631" s="2"/>
      <c r="E1631" s="2"/>
      <c r="F1631" s="3"/>
      <c r="G1631" s="3">
        <f t="shared" si="75"/>
        <v>0</v>
      </c>
      <c r="H1631" s="3">
        <f t="shared" si="76"/>
        <v>0</v>
      </c>
      <c r="I1631" s="3">
        <f t="shared" si="77"/>
        <v>0</v>
      </c>
    </row>
    <row r="1632" spans="4:9" x14ac:dyDescent="0.35">
      <c r="D1632" s="2"/>
      <c r="E1632" s="2"/>
      <c r="F1632" s="3"/>
      <c r="G1632" s="3">
        <f t="shared" si="75"/>
        <v>0</v>
      </c>
      <c r="H1632" s="3">
        <f t="shared" si="76"/>
        <v>0</v>
      </c>
      <c r="I1632" s="3">
        <f t="shared" si="77"/>
        <v>0</v>
      </c>
    </row>
    <row r="1633" spans="4:9" x14ac:dyDescent="0.35">
      <c r="D1633" s="2"/>
      <c r="E1633" s="2"/>
      <c r="F1633" s="3"/>
      <c r="G1633" s="3">
        <f t="shared" si="75"/>
        <v>0</v>
      </c>
      <c r="H1633" s="3">
        <f t="shared" si="76"/>
        <v>0</v>
      </c>
      <c r="I1633" s="3">
        <f t="shared" si="77"/>
        <v>0</v>
      </c>
    </row>
    <row r="1634" spans="4:9" x14ac:dyDescent="0.35">
      <c r="D1634" s="2"/>
      <c r="E1634" s="2"/>
      <c r="F1634" s="3"/>
      <c r="G1634" s="3">
        <f t="shared" si="75"/>
        <v>0</v>
      </c>
      <c r="H1634" s="3">
        <f t="shared" si="76"/>
        <v>0</v>
      </c>
      <c r="I1634" s="3">
        <f t="shared" si="77"/>
        <v>0</v>
      </c>
    </row>
    <row r="1635" spans="4:9" x14ac:dyDescent="0.35">
      <c r="D1635" s="2"/>
      <c r="E1635" s="2"/>
      <c r="F1635" s="3"/>
      <c r="G1635" s="3">
        <f t="shared" si="75"/>
        <v>0</v>
      </c>
      <c r="H1635" s="3">
        <f t="shared" si="76"/>
        <v>0</v>
      </c>
      <c r="I1635" s="3">
        <f t="shared" si="77"/>
        <v>0</v>
      </c>
    </row>
    <row r="1636" spans="4:9" x14ac:dyDescent="0.35">
      <c r="D1636" s="2"/>
      <c r="E1636" s="2"/>
      <c r="F1636" s="3"/>
      <c r="G1636" s="3">
        <f t="shared" si="75"/>
        <v>0</v>
      </c>
      <c r="H1636" s="3">
        <f t="shared" si="76"/>
        <v>0</v>
      </c>
      <c r="I1636" s="3">
        <f t="shared" si="77"/>
        <v>0</v>
      </c>
    </row>
    <row r="1637" spans="4:9" x14ac:dyDescent="0.35">
      <c r="D1637" s="2"/>
      <c r="E1637" s="2"/>
      <c r="F1637" s="3"/>
      <c r="G1637" s="3">
        <f t="shared" si="75"/>
        <v>0</v>
      </c>
      <c r="H1637" s="3">
        <f t="shared" si="76"/>
        <v>0</v>
      </c>
      <c r="I1637" s="3">
        <f t="shared" si="77"/>
        <v>0</v>
      </c>
    </row>
    <row r="1638" spans="4:9" x14ac:dyDescent="0.35">
      <c r="D1638" s="2"/>
      <c r="E1638" s="2"/>
      <c r="F1638" s="3"/>
      <c r="G1638" s="3">
        <f t="shared" si="75"/>
        <v>0</v>
      </c>
      <c r="H1638" s="3">
        <f t="shared" si="76"/>
        <v>0</v>
      </c>
      <c r="I1638" s="3">
        <f t="shared" si="77"/>
        <v>0</v>
      </c>
    </row>
    <row r="1639" spans="4:9" x14ac:dyDescent="0.35">
      <c r="D1639" s="2"/>
      <c r="E1639" s="2"/>
      <c r="F1639" s="3"/>
      <c r="G1639" s="3">
        <f t="shared" si="75"/>
        <v>0</v>
      </c>
      <c r="H1639" s="3">
        <f t="shared" si="76"/>
        <v>0</v>
      </c>
      <c r="I1639" s="3">
        <f t="shared" si="77"/>
        <v>0</v>
      </c>
    </row>
    <row r="1640" spans="4:9" x14ac:dyDescent="0.35">
      <c r="D1640" s="2"/>
      <c r="E1640" s="2"/>
      <c r="F1640" s="3"/>
      <c r="G1640" s="3">
        <f t="shared" si="75"/>
        <v>0</v>
      </c>
      <c r="H1640" s="3">
        <f t="shared" si="76"/>
        <v>0</v>
      </c>
      <c r="I1640" s="3">
        <f t="shared" si="77"/>
        <v>0</v>
      </c>
    </row>
    <row r="1641" spans="4:9" x14ac:dyDescent="0.35">
      <c r="D1641" s="2"/>
      <c r="E1641" s="2"/>
      <c r="F1641" s="3"/>
      <c r="G1641" s="3">
        <f t="shared" si="75"/>
        <v>0</v>
      </c>
      <c r="H1641" s="3">
        <f t="shared" si="76"/>
        <v>0</v>
      </c>
      <c r="I1641" s="3">
        <f t="shared" si="77"/>
        <v>0</v>
      </c>
    </row>
    <row r="1642" spans="4:9" x14ac:dyDescent="0.35">
      <c r="D1642" s="2"/>
      <c r="E1642" s="2"/>
      <c r="F1642" s="3"/>
      <c r="G1642" s="3">
        <f t="shared" si="75"/>
        <v>0</v>
      </c>
      <c r="H1642" s="3">
        <f t="shared" si="76"/>
        <v>0</v>
      </c>
      <c r="I1642" s="3">
        <f t="shared" si="77"/>
        <v>0</v>
      </c>
    </row>
    <row r="1643" spans="4:9" x14ac:dyDescent="0.35">
      <c r="D1643" s="2"/>
      <c r="E1643" s="2"/>
      <c r="F1643" s="3"/>
      <c r="G1643" s="3">
        <f t="shared" si="75"/>
        <v>0</v>
      </c>
      <c r="H1643" s="3">
        <f t="shared" si="76"/>
        <v>0</v>
      </c>
      <c r="I1643" s="3">
        <f t="shared" si="77"/>
        <v>0</v>
      </c>
    </row>
    <row r="1644" spans="4:9" x14ac:dyDescent="0.35">
      <c r="D1644" s="2"/>
      <c r="E1644" s="2"/>
      <c r="F1644" s="3"/>
      <c r="G1644" s="3">
        <f t="shared" si="75"/>
        <v>0</v>
      </c>
      <c r="H1644" s="3">
        <f t="shared" si="76"/>
        <v>0</v>
      </c>
      <c r="I1644" s="3">
        <f t="shared" si="77"/>
        <v>0</v>
      </c>
    </row>
    <row r="1645" spans="4:9" x14ac:dyDescent="0.35">
      <c r="D1645" s="2"/>
      <c r="E1645" s="2"/>
      <c r="F1645" s="3"/>
      <c r="G1645" s="3">
        <f t="shared" si="75"/>
        <v>0</v>
      </c>
      <c r="H1645" s="3">
        <f t="shared" si="76"/>
        <v>0</v>
      </c>
      <c r="I1645" s="3">
        <f t="shared" si="77"/>
        <v>0</v>
      </c>
    </row>
    <row r="1646" spans="4:9" x14ac:dyDescent="0.35">
      <c r="D1646" s="2"/>
      <c r="E1646" s="2"/>
      <c r="F1646" s="3"/>
      <c r="G1646" s="3">
        <f t="shared" si="75"/>
        <v>0</v>
      </c>
      <c r="H1646" s="3">
        <f t="shared" si="76"/>
        <v>0</v>
      </c>
      <c r="I1646" s="3">
        <f t="shared" si="77"/>
        <v>0</v>
      </c>
    </row>
    <row r="1647" spans="4:9" x14ac:dyDescent="0.35">
      <c r="D1647" s="2"/>
      <c r="E1647" s="2"/>
      <c r="F1647" s="3"/>
      <c r="G1647" s="3">
        <f t="shared" si="75"/>
        <v>0</v>
      </c>
      <c r="H1647" s="3">
        <f t="shared" si="76"/>
        <v>0</v>
      </c>
      <c r="I1647" s="3">
        <f t="shared" si="77"/>
        <v>0</v>
      </c>
    </row>
    <row r="1648" spans="4:9" x14ac:dyDescent="0.35">
      <c r="D1648" s="2"/>
      <c r="E1648" s="2"/>
      <c r="F1648" s="3"/>
      <c r="G1648" s="3">
        <f t="shared" si="75"/>
        <v>0</v>
      </c>
      <c r="H1648" s="3">
        <f t="shared" si="76"/>
        <v>0</v>
      </c>
      <c r="I1648" s="3">
        <f t="shared" si="77"/>
        <v>0</v>
      </c>
    </row>
    <row r="1649" spans="4:9" x14ac:dyDescent="0.35">
      <c r="D1649" s="2"/>
      <c r="E1649" s="2"/>
      <c r="F1649" s="3"/>
      <c r="G1649" s="3">
        <f t="shared" si="75"/>
        <v>0</v>
      </c>
      <c r="H1649" s="3">
        <f t="shared" si="76"/>
        <v>0</v>
      </c>
      <c r="I1649" s="3">
        <f t="shared" si="77"/>
        <v>0</v>
      </c>
    </row>
    <row r="1650" spans="4:9" x14ac:dyDescent="0.35">
      <c r="D1650" s="2"/>
      <c r="E1650" s="2"/>
      <c r="F1650" s="3"/>
      <c r="G1650" s="3">
        <f t="shared" si="75"/>
        <v>0</v>
      </c>
      <c r="H1650" s="3">
        <f t="shared" si="76"/>
        <v>0</v>
      </c>
      <c r="I1650" s="3">
        <f t="shared" si="77"/>
        <v>0</v>
      </c>
    </row>
    <row r="1651" spans="4:9" x14ac:dyDescent="0.35">
      <c r="D1651" s="2"/>
      <c r="E1651" s="2"/>
      <c r="F1651" s="3"/>
      <c r="G1651" s="3">
        <f t="shared" si="75"/>
        <v>0</v>
      </c>
      <c r="H1651" s="3">
        <f t="shared" si="76"/>
        <v>0</v>
      </c>
      <c r="I1651" s="3">
        <f t="shared" si="77"/>
        <v>0</v>
      </c>
    </row>
    <row r="1652" spans="4:9" x14ac:dyDescent="0.35">
      <c r="D1652" s="2"/>
      <c r="E1652" s="2"/>
      <c r="F1652" s="3"/>
      <c r="G1652" s="3">
        <f t="shared" si="75"/>
        <v>0</v>
      </c>
      <c r="H1652" s="3">
        <f t="shared" si="76"/>
        <v>0</v>
      </c>
      <c r="I1652" s="3">
        <f t="shared" si="77"/>
        <v>0</v>
      </c>
    </row>
    <row r="1653" spans="4:9" x14ac:dyDescent="0.35">
      <c r="D1653" s="2"/>
      <c r="E1653" s="2"/>
      <c r="F1653" s="3"/>
      <c r="G1653" s="3">
        <f t="shared" si="75"/>
        <v>0</v>
      </c>
      <c r="H1653" s="3">
        <f t="shared" si="76"/>
        <v>0</v>
      </c>
      <c r="I1653" s="3">
        <f t="shared" si="77"/>
        <v>0</v>
      </c>
    </row>
    <row r="1654" spans="4:9" x14ac:dyDescent="0.35">
      <c r="D1654" s="2"/>
      <c r="E1654" s="2"/>
      <c r="F1654" s="3"/>
      <c r="G1654" s="3">
        <f t="shared" si="75"/>
        <v>0</v>
      </c>
      <c r="H1654" s="3">
        <f t="shared" si="76"/>
        <v>0</v>
      </c>
      <c r="I1654" s="3">
        <f t="shared" si="77"/>
        <v>0</v>
      </c>
    </row>
    <row r="1655" spans="4:9" x14ac:dyDescent="0.35">
      <c r="D1655" s="2"/>
      <c r="E1655" s="2"/>
      <c r="F1655" s="3"/>
      <c r="G1655" s="3">
        <f t="shared" si="75"/>
        <v>0</v>
      </c>
      <c r="H1655" s="3">
        <f t="shared" si="76"/>
        <v>0</v>
      </c>
      <c r="I1655" s="3">
        <f t="shared" si="77"/>
        <v>0</v>
      </c>
    </row>
    <row r="1656" spans="4:9" x14ac:dyDescent="0.35">
      <c r="D1656" s="2"/>
      <c r="E1656" s="2"/>
      <c r="F1656" s="3"/>
      <c r="G1656" s="3">
        <f t="shared" si="75"/>
        <v>0</v>
      </c>
      <c r="H1656" s="3">
        <f t="shared" si="76"/>
        <v>0</v>
      </c>
      <c r="I1656" s="3">
        <f t="shared" si="77"/>
        <v>0</v>
      </c>
    </row>
    <row r="1657" spans="4:9" x14ac:dyDescent="0.35">
      <c r="D1657" s="2"/>
      <c r="E1657" s="2"/>
      <c r="F1657" s="3"/>
      <c r="G1657" s="3">
        <f t="shared" si="75"/>
        <v>0</v>
      </c>
      <c r="H1657" s="3">
        <f t="shared" si="76"/>
        <v>0</v>
      </c>
      <c r="I1657" s="3">
        <f t="shared" si="77"/>
        <v>0</v>
      </c>
    </row>
    <row r="1658" spans="4:9" x14ac:dyDescent="0.35">
      <c r="D1658" s="2"/>
      <c r="E1658" s="2"/>
      <c r="F1658" s="3"/>
      <c r="G1658" s="3">
        <f t="shared" si="75"/>
        <v>0</v>
      </c>
      <c r="H1658" s="3">
        <f t="shared" si="76"/>
        <v>0</v>
      </c>
      <c r="I1658" s="3">
        <f t="shared" si="77"/>
        <v>0</v>
      </c>
    </row>
    <row r="1659" spans="4:9" x14ac:dyDescent="0.35">
      <c r="D1659" s="2"/>
      <c r="E1659" s="2"/>
      <c r="F1659" s="3"/>
      <c r="G1659" s="3">
        <f t="shared" si="75"/>
        <v>0</v>
      </c>
      <c r="H1659" s="3">
        <f t="shared" si="76"/>
        <v>0</v>
      </c>
      <c r="I1659" s="3">
        <f t="shared" si="77"/>
        <v>0</v>
      </c>
    </row>
    <row r="1660" spans="4:9" x14ac:dyDescent="0.35">
      <c r="D1660" s="2"/>
      <c r="E1660" s="2"/>
      <c r="F1660" s="3"/>
      <c r="G1660" s="3">
        <f t="shared" si="75"/>
        <v>0</v>
      </c>
      <c r="H1660" s="3">
        <f t="shared" si="76"/>
        <v>0</v>
      </c>
      <c r="I1660" s="3">
        <f t="shared" si="77"/>
        <v>0</v>
      </c>
    </row>
    <row r="1661" spans="4:9" x14ac:dyDescent="0.35">
      <c r="D1661" s="2"/>
      <c r="E1661" s="2"/>
      <c r="F1661" s="3"/>
      <c r="G1661" s="3">
        <f t="shared" si="75"/>
        <v>0</v>
      </c>
      <c r="H1661" s="3">
        <f t="shared" si="76"/>
        <v>0</v>
      </c>
      <c r="I1661" s="3">
        <f t="shared" si="77"/>
        <v>0</v>
      </c>
    </row>
    <row r="1662" spans="4:9" x14ac:dyDescent="0.35">
      <c r="D1662" s="2"/>
      <c r="E1662" s="2"/>
      <c r="F1662" s="3"/>
      <c r="G1662" s="3">
        <f t="shared" si="75"/>
        <v>0</v>
      </c>
      <c r="H1662" s="3">
        <f t="shared" si="76"/>
        <v>0</v>
      </c>
      <c r="I1662" s="3">
        <f t="shared" si="77"/>
        <v>0</v>
      </c>
    </row>
    <row r="1663" spans="4:9" x14ac:dyDescent="0.35">
      <c r="D1663" s="2"/>
      <c r="E1663" s="2"/>
      <c r="F1663" s="3"/>
      <c r="G1663" s="3">
        <f t="shared" si="75"/>
        <v>0</v>
      </c>
      <c r="H1663" s="3">
        <f t="shared" si="76"/>
        <v>0</v>
      </c>
      <c r="I1663" s="3">
        <f t="shared" si="77"/>
        <v>0</v>
      </c>
    </row>
    <row r="1664" spans="4:9" x14ac:dyDescent="0.35">
      <c r="D1664" s="2"/>
      <c r="E1664" s="2"/>
      <c r="F1664" s="3"/>
      <c r="G1664" s="3">
        <f t="shared" si="75"/>
        <v>0</v>
      </c>
      <c r="H1664" s="3">
        <f t="shared" si="76"/>
        <v>0</v>
      </c>
      <c r="I1664" s="3">
        <f t="shared" si="77"/>
        <v>0</v>
      </c>
    </row>
    <row r="1665" spans="4:9" x14ac:dyDescent="0.35">
      <c r="D1665" s="2"/>
      <c r="E1665" s="2"/>
      <c r="F1665" s="3"/>
      <c r="G1665" s="3">
        <f t="shared" si="75"/>
        <v>0</v>
      </c>
      <c r="H1665" s="3">
        <f t="shared" si="76"/>
        <v>0</v>
      </c>
      <c r="I1665" s="3">
        <f t="shared" si="77"/>
        <v>0</v>
      </c>
    </row>
    <row r="1666" spans="4:9" x14ac:dyDescent="0.35">
      <c r="D1666" s="2"/>
      <c r="E1666" s="2"/>
      <c r="F1666" s="3"/>
      <c r="G1666" s="3">
        <f t="shared" ref="G1666:G1729" si="78">IF($F1666&gt;0,$E1666/(1-$F1666),0)</f>
        <v>0</v>
      </c>
      <c r="H1666" s="3">
        <f t="shared" ref="H1666:H1729" si="79">IF($D1666&gt;0,$G1666/$D1666,0)</f>
        <v>0</v>
      </c>
      <c r="I1666" s="3">
        <f t="shared" ref="I1666:I1729" si="80">$E1666*1.1</f>
        <v>0</v>
      </c>
    </row>
    <row r="1667" spans="4:9" x14ac:dyDescent="0.35">
      <c r="D1667" s="2"/>
      <c r="E1667" s="2"/>
      <c r="F1667" s="3"/>
      <c r="G1667" s="3">
        <f t="shared" si="78"/>
        <v>0</v>
      </c>
      <c r="H1667" s="3">
        <f t="shared" si="79"/>
        <v>0</v>
      </c>
      <c r="I1667" s="3">
        <f t="shared" si="80"/>
        <v>0</v>
      </c>
    </row>
    <row r="1668" spans="4:9" x14ac:dyDescent="0.35">
      <c r="D1668" s="2"/>
      <c r="E1668" s="2"/>
      <c r="F1668" s="3"/>
      <c r="G1668" s="3">
        <f t="shared" si="78"/>
        <v>0</v>
      </c>
      <c r="H1668" s="3">
        <f t="shared" si="79"/>
        <v>0</v>
      </c>
      <c r="I1668" s="3">
        <f t="shared" si="80"/>
        <v>0</v>
      </c>
    </row>
    <row r="1669" spans="4:9" x14ac:dyDescent="0.35">
      <c r="D1669" s="2"/>
      <c r="E1669" s="2"/>
      <c r="F1669" s="3"/>
      <c r="G1669" s="3">
        <f t="shared" si="78"/>
        <v>0</v>
      </c>
      <c r="H1669" s="3">
        <f t="shared" si="79"/>
        <v>0</v>
      </c>
      <c r="I1669" s="3">
        <f t="shared" si="80"/>
        <v>0</v>
      </c>
    </row>
    <row r="1670" spans="4:9" x14ac:dyDescent="0.35">
      <c r="D1670" s="2"/>
      <c r="E1670" s="2"/>
      <c r="F1670" s="3"/>
      <c r="G1670" s="3">
        <f t="shared" si="78"/>
        <v>0</v>
      </c>
      <c r="H1670" s="3">
        <f t="shared" si="79"/>
        <v>0</v>
      </c>
      <c r="I1670" s="3">
        <f t="shared" si="80"/>
        <v>0</v>
      </c>
    </row>
    <row r="1671" spans="4:9" x14ac:dyDescent="0.35">
      <c r="D1671" s="2"/>
      <c r="E1671" s="2"/>
      <c r="F1671" s="3"/>
      <c r="G1671" s="3">
        <f t="shared" si="78"/>
        <v>0</v>
      </c>
      <c r="H1671" s="3">
        <f t="shared" si="79"/>
        <v>0</v>
      </c>
      <c r="I1671" s="3">
        <f t="shared" si="80"/>
        <v>0</v>
      </c>
    </row>
    <row r="1672" spans="4:9" x14ac:dyDescent="0.35">
      <c r="D1672" s="2"/>
      <c r="E1672" s="2"/>
      <c r="F1672" s="3"/>
      <c r="G1672" s="3">
        <f t="shared" si="78"/>
        <v>0</v>
      </c>
      <c r="H1672" s="3">
        <f t="shared" si="79"/>
        <v>0</v>
      </c>
      <c r="I1672" s="3">
        <f t="shared" si="80"/>
        <v>0</v>
      </c>
    </row>
    <row r="1673" spans="4:9" x14ac:dyDescent="0.35">
      <c r="D1673" s="2"/>
      <c r="E1673" s="2"/>
      <c r="F1673" s="3"/>
      <c r="G1673" s="3">
        <f t="shared" si="78"/>
        <v>0</v>
      </c>
      <c r="H1673" s="3">
        <f t="shared" si="79"/>
        <v>0</v>
      </c>
      <c r="I1673" s="3">
        <f t="shared" si="80"/>
        <v>0</v>
      </c>
    </row>
    <row r="1674" spans="4:9" x14ac:dyDescent="0.35">
      <c r="D1674" s="2"/>
      <c r="E1674" s="2"/>
      <c r="F1674" s="3"/>
      <c r="G1674" s="3">
        <f t="shared" si="78"/>
        <v>0</v>
      </c>
      <c r="H1674" s="3">
        <f t="shared" si="79"/>
        <v>0</v>
      </c>
      <c r="I1674" s="3">
        <f t="shared" si="80"/>
        <v>0</v>
      </c>
    </row>
    <row r="1675" spans="4:9" x14ac:dyDescent="0.35">
      <c r="D1675" s="2"/>
      <c r="E1675" s="2"/>
      <c r="F1675" s="3"/>
      <c r="G1675" s="3">
        <f t="shared" si="78"/>
        <v>0</v>
      </c>
      <c r="H1675" s="3">
        <f t="shared" si="79"/>
        <v>0</v>
      </c>
      <c r="I1675" s="3">
        <f t="shared" si="80"/>
        <v>0</v>
      </c>
    </row>
    <row r="1676" spans="4:9" x14ac:dyDescent="0.35">
      <c r="D1676" s="2"/>
      <c r="E1676" s="2"/>
      <c r="F1676" s="3"/>
      <c r="G1676" s="3">
        <f t="shared" si="78"/>
        <v>0</v>
      </c>
      <c r="H1676" s="3">
        <f t="shared" si="79"/>
        <v>0</v>
      </c>
      <c r="I1676" s="3">
        <f t="shared" si="80"/>
        <v>0</v>
      </c>
    </row>
    <row r="1677" spans="4:9" x14ac:dyDescent="0.35">
      <c r="D1677" s="2"/>
      <c r="E1677" s="2"/>
      <c r="F1677" s="3"/>
      <c r="G1677" s="3">
        <f t="shared" si="78"/>
        <v>0</v>
      </c>
      <c r="H1677" s="3">
        <f t="shared" si="79"/>
        <v>0</v>
      </c>
      <c r="I1677" s="3">
        <f t="shared" si="80"/>
        <v>0</v>
      </c>
    </row>
    <row r="1678" spans="4:9" x14ac:dyDescent="0.35">
      <c r="D1678" s="2"/>
      <c r="E1678" s="2"/>
      <c r="F1678" s="3"/>
      <c r="G1678" s="3">
        <f t="shared" si="78"/>
        <v>0</v>
      </c>
      <c r="H1678" s="3">
        <f t="shared" si="79"/>
        <v>0</v>
      </c>
      <c r="I1678" s="3">
        <f t="shared" si="80"/>
        <v>0</v>
      </c>
    </row>
    <row r="1679" spans="4:9" x14ac:dyDescent="0.35">
      <c r="D1679" s="2"/>
      <c r="E1679" s="2"/>
      <c r="F1679" s="3"/>
      <c r="G1679" s="3">
        <f t="shared" si="78"/>
        <v>0</v>
      </c>
      <c r="H1679" s="3">
        <f t="shared" si="79"/>
        <v>0</v>
      </c>
      <c r="I1679" s="3">
        <f t="shared" si="80"/>
        <v>0</v>
      </c>
    </row>
    <row r="1680" spans="4:9" x14ac:dyDescent="0.35">
      <c r="D1680" s="2"/>
      <c r="E1680" s="2"/>
      <c r="F1680" s="3"/>
      <c r="G1680" s="3">
        <f t="shared" si="78"/>
        <v>0</v>
      </c>
      <c r="H1680" s="3">
        <f t="shared" si="79"/>
        <v>0</v>
      </c>
      <c r="I1680" s="3">
        <f t="shared" si="80"/>
        <v>0</v>
      </c>
    </row>
    <row r="1681" spans="4:9" x14ac:dyDescent="0.35">
      <c r="D1681" s="2"/>
      <c r="E1681" s="2"/>
      <c r="F1681" s="3"/>
      <c r="G1681" s="3">
        <f t="shared" si="78"/>
        <v>0</v>
      </c>
      <c r="H1681" s="3">
        <f t="shared" si="79"/>
        <v>0</v>
      </c>
      <c r="I1681" s="3">
        <f t="shared" si="80"/>
        <v>0</v>
      </c>
    </row>
    <row r="1682" spans="4:9" x14ac:dyDescent="0.35">
      <c r="D1682" s="2"/>
      <c r="E1682" s="2"/>
      <c r="F1682" s="3"/>
      <c r="G1682" s="3">
        <f t="shared" si="78"/>
        <v>0</v>
      </c>
      <c r="H1682" s="3">
        <f t="shared" si="79"/>
        <v>0</v>
      </c>
      <c r="I1682" s="3">
        <f t="shared" si="80"/>
        <v>0</v>
      </c>
    </row>
    <row r="1683" spans="4:9" x14ac:dyDescent="0.35">
      <c r="D1683" s="2"/>
      <c r="E1683" s="2"/>
      <c r="F1683" s="3"/>
      <c r="G1683" s="3">
        <f t="shared" si="78"/>
        <v>0</v>
      </c>
      <c r="H1683" s="3">
        <f t="shared" si="79"/>
        <v>0</v>
      </c>
      <c r="I1683" s="3">
        <f t="shared" si="80"/>
        <v>0</v>
      </c>
    </row>
    <row r="1684" spans="4:9" x14ac:dyDescent="0.35">
      <c r="D1684" s="2"/>
      <c r="E1684" s="2"/>
      <c r="F1684" s="3"/>
      <c r="G1684" s="3">
        <f t="shared" si="78"/>
        <v>0</v>
      </c>
      <c r="H1684" s="3">
        <f t="shared" si="79"/>
        <v>0</v>
      </c>
      <c r="I1684" s="3">
        <f t="shared" si="80"/>
        <v>0</v>
      </c>
    </row>
    <row r="1685" spans="4:9" x14ac:dyDescent="0.35">
      <c r="D1685" s="2"/>
      <c r="E1685" s="2"/>
      <c r="F1685" s="3"/>
      <c r="G1685" s="3">
        <f t="shared" si="78"/>
        <v>0</v>
      </c>
      <c r="H1685" s="3">
        <f t="shared" si="79"/>
        <v>0</v>
      </c>
      <c r="I1685" s="3">
        <f t="shared" si="80"/>
        <v>0</v>
      </c>
    </row>
    <row r="1686" spans="4:9" x14ac:dyDescent="0.35">
      <c r="D1686" s="2"/>
      <c r="E1686" s="2"/>
      <c r="F1686" s="3"/>
      <c r="G1686" s="3">
        <f t="shared" si="78"/>
        <v>0</v>
      </c>
      <c r="H1686" s="3">
        <f t="shared" si="79"/>
        <v>0</v>
      </c>
      <c r="I1686" s="3">
        <f t="shared" si="80"/>
        <v>0</v>
      </c>
    </row>
    <row r="1687" spans="4:9" x14ac:dyDescent="0.35">
      <c r="D1687" s="2"/>
      <c r="E1687" s="2"/>
      <c r="F1687" s="3"/>
      <c r="G1687" s="3">
        <f t="shared" si="78"/>
        <v>0</v>
      </c>
      <c r="H1687" s="3">
        <f t="shared" si="79"/>
        <v>0</v>
      </c>
      <c r="I1687" s="3">
        <f t="shared" si="80"/>
        <v>0</v>
      </c>
    </row>
    <row r="1688" spans="4:9" x14ac:dyDescent="0.35">
      <c r="D1688" s="2"/>
      <c r="E1688" s="2"/>
      <c r="F1688" s="3"/>
      <c r="G1688" s="3">
        <f t="shared" si="78"/>
        <v>0</v>
      </c>
      <c r="H1688" s="3">
        <f t="shared" si="79"/>
        <v>0</v>
      </c>
      <c r="I1688" s="3">
        <f t="shared" si="80"/>
        <v>0</v>
      </c>
    </row>
    <row r="1689" spans="4:9" x14ac:dyDescent="0.35">
      <c r="D1689" s="2"/>
      <c r="E1689" s="2"/>
      <c r="F1689" s="3"/>
      <c r="G1689" s="3">
        <f t="shared" si="78"/>
        <v>0</v>
      </c>
      <c r="H1689" s="3">
        <f t="shared" si="79"/>
        <v>0</v>
      </c>
      <c r="I1689" s="3">
        <f t="shared" si="80"/>
        <v>0</v>
      </c>
    </row>
    <row r="1690" spans="4:9" x14ac:dyDescent="0.35">
      <c r="D1690" s="2"/>
      <c r="E1690" s="2"/>
      <c r="F1690" s="3"/>
      <c r="G1690" s="3">
        <f t="shared" si="78"/>
        <v>0</v>
      </c>
      <c r="H1690" s="3">
        <f t="shared" si="79"/>
        <v>0</v>
      </c>
      <c r="I1690" s="3">
        <f t="shared" si="80"/>
        <v>0</v>
      </c>
    </row>
    <row r="1691" spans="4:9" x14ac:dyDescent="0.35">
      <c r="D1691" s="2"/>
      <c r="E1691" s="2"/>
      <c r="F1691" s="3"/>
      <c r="G1691" s="3">
        <f t="shared" si="78"/>
        <v>0</v>
      </c>
      <c r="H1691" s="3">
        <f t="shared" si="79"/>
        <v>0</v>
      </c>
      <c r="I1691" s="3">
        <f t="shared" si="80"/>
        <v>0</v>
      </c>
    </row>
    <row r="1692" spans="4:9" x14ac:dyDescent="0.35">
      <c r="D1692" s="2"/>
      <c r="E1692" s="2"/>
      <c r="F1692" s="3"/>
      <c r="G1692" s="3">
        <f t="shared" si="78"/>
        <v>0</v>
      </c>
      <c r="H1692" s="3">
        <f t="shared" si="79"/>
        <v>0</v>
      </c>
      <c r="I1692" s="3">
        <f t="shared" si="80"/>
        <v>0</v>
      </c>
    </row>
    <row r="1693" spans="4:9" x14ac:dyDescent="0.35">
      <c r="D1693" s="2"/>
      <c r="E1693" s="2"/>
      <c r="F1693" s="3"/>
      <c r="G1693" s="3">
        <f t="shared" si="78"/>
        <v>0</v>
      </c>
      <c r="H1693" s="3">
        <f t="shared" si="79"/>
        <v>0</v>
      </c>
      <c r="I1693" s="3">
        <f t="shared" si="80"/>
        <v>0</v>
      </c>
    </row>
    <row r="1694" spans="4:9" x14ac:dyDescent="0.35">
      <c r="D1694" s="2"/>
      <c r="E1694" s="2"/>
      <c r="F1694" s="3"/>
      <c r="G1694" s="3">
        <f t="shared" si="78"/>
        <v>0</v>
      </c>
      <c r="H1694" s="3">
        <f t="shared" si="79"/>
        <v>0</v>
      </c>
      <c r="I1694" s="3">
        <f t="shared" si="80"/>
        <v>0</v>
      </c>
    </row>
    <row r="1695" spans="4:9" x14ac:dyDescent="0.35">
      <c r="D1695" s="2"/>
      <c r="E1695" s="2"/>
      <c r="F1695" s="3"/>
      <c r="G1695" s="3">
        <f t="shared" si="78"/>
        <v>0</v>
      </c>
      <c r="H1695" s="3">
        <f t="shared" si="79"/>
        <v>0</v>
      </c>
      <c r="I1695" s="3">
        <f t="shared" si="80"/>
        <v>0</v>
      </c>
    </row>
    <row r="1696" spans="4:9" x14ac:dyDescent="0.35">
      <c r="D1696" s="2"/>
      <c r="E1696" s="2"/>
      <c r="F1696" s="3"/>
      <c r="G1696" s="3">
        <f t="shared" si="78"/>
        <v>0</v>
      </c>
      <c r="H1696" s="3">
        <f t="shared" si="79"/>
        <v>0</v>
      </c>
      <c r="I1696" s="3">
        <f t="shared" si="80"/>
        <v>0</v>
      </c>
    </row>
    <row r="1697" spans="4:9" x14ac:dyDescent="0.35">
      <c r="D1697" s="2"/>
      <c r="E1697" s="2"/>
      <c r="F1697" s="3"/>
      <c r="G1697" s="3">
        <f t="shared" si="78"/>
        <v>0</v>
      </c>
      <c r="H1697" s="3">
        <f t="shared" si="79"/>
        <v>0</v>
      </c>
      <c r="I1697" s="3">
        <f t="shared" si="80"/>
        <v>0</v>
      </c>
    </row>
    <row r="1698" spans="4:9" x14ac:dyDescent="0.35">
      <c r="D1698" s="2"/>
      <c r="E1698" s="2"/>
      <c r="F1698" s="3"/>
      <c r="G1698" s="3">
        <f t="shared" si="78"/>
        <v>0</v>
      </c>
      <c r="H1698" s="3">
        <f t="shared" si="79"/>
        <v>0</v>
      </c>
      <c r="I1698" s="3">
        <f t="shared" si="80"/>
        <v>0</v>
      </c>
    </row>
    <row r="1699" spans="4:9" x14ac:dyDescent="0.35">
      <c r="D1699" s="2"/>
      <c r="E1699" s="2"/>
      <c r="F1699" s="3"/>
      <c r="G1699" s="3">
        <f t="shared" si="78"/>
        <v>0</v>
      </c>
      <c r="H1699" s="3">
        <f t="shared" si="79"/>
        <v>0</v>
      </c>
      <c r="I1699" s="3">
        <f t="shared" si="80"/>
        <v>0</v>
      </c>
    </row>
    <row r="1700" spans="4:9" x14ac:dyDescent="0.35">
      <c r="D1700" s="2"/>
      <c r="E1700" s="2"/>
      <c r="F1700" s="3"/>
      <c r="G1700" s="3">
        <f t="shared" si="78"/>
        <v>0</v>
      </c>
      <c r="H1700" s="3">
        <f t="shared" si="79"/>
        <v>0</v>
      </c>
      <c r="I1700" s="3">
        <f t="shared" si="80"/>
        <v>0</v>
      </c>
    </row>
    <row r="1701" spans="4:9" x14ac:dyDescent="0.35">
      <c r="D1701" s="2"/>
      <c r="E1701" s="2"/>
      <c r="F1701" s="3"/>
      <c r="G1701" s="3">
        <f t="shared" si="78"/>
        <v>0</v>
      </c>
      <c r="H1701" s="3">
        <f t="shared" si="79"/>
        <v>0</v>
      </c>
      <c r="I1701" s="3">
        <f t="shared" si="80"/>
        <v>0</v>
      </c>
    </row>
    <row r="1702" spans="4:9" x14ac:dyDescent="0.35">
      <c r="D1702" s="2"/>
      <c r="E1702" s="2"/>
      <c r="F1702" s="3"/>
      <c r="G1702" s="3">
        <f t="shared" si="78"/>
        <v>0</v>
      </c>
      <c r="H1702" s="3">
        <f t="shared" si="79"/>
        <v>0</v>
      </c>
      <c r="I1702" s="3">
        <f t="shared" si="80"/>
        <v>0</v>
      </c>
    </row>
    <row r="1703" spans="4:9" x14ac:dyDescent="0.35">
      <c r="D1703" s="2"/>
      <c r="E1703" s="2"/>
      <c r="F1703" s="3"/>
      <c r="G1703" s="3">
        <f t="shared" si="78"/>
        <v>0</v>
      </c>
      <c r="H1703" s="3">
        <f t="shared" si="79"/>
        <v>0</v>
      </c>
      <c r="I1703" s="3">
        <f t="shared" si="80"/>
        <v>0</v>
      </c>
    </row>
    <row r="1704" spans="4:9" x14ac:dyDescent="0.35">
      <c r="D1704" s="2"/>
      <c r="E1704" s="2"/>
      <c r="F1704" s="3"/>
      <c r="G1704" s="3">
        <f t="shared" si="78"/>
        <v>0</v>
      </c>
      <c r="H1704" s="3">
        <f t="shared" si="79"/>
        <v>0</v>
      </c>
      <c r="I1704" s="3">
        <f t="shared" si="80"/>
        <v>0</v>
      </c>
    </row>
    <row r="1705" spans="4:9" x14ac:dyDescent="0.35">
      <c r="D1705" s="2"/>
      <c r="E1705" s="2"/>
      <c r="F1705" s="3"/>
      <c r="G1705" s="3">
        <f t="shared" si="78"/>
        <v>0</v>
      </c>
      <c r="H1705" s="3">
        <f t="shared" si="79"/>
        <v>0</v>
      </c>
      <c r="I1705" s="3">
        <f t="shared" si="80"/>
        <v>0</v>
      </c>
    </row>
    <row r="1706" spans="4:9" x14ac:dyDescent="0.35">
      <c r="D1706" s="2"/>
      <c r="E1706" s="2"/>
      <c r="F1706" s="3"/>
      <c r="G1706" s="3">
        <f t="shared" si="78"/>
        <v>0</v>
      </c>
      <c r="H1706" s="3">
        <f t="shared" si="79"/>
        <v>0</v>
      </c>
      <c r="I1706" s="3">
        <f t="shared" si="80"/>
        <v>0</v>
      </c>
    </row>
    <row r="1707" spans="4:9" x14ac:dyDescent="0.35">
      <c r="D1707" s="2"/>
      <c r="E1707" s="2"/>
      <c r="F1707" s="3"/>
      <c r="G1707" s="3">
        <f t="shared" si="78"/>
        <v>0</v>
      </c>
      <c r="H1707" s="3">
        <f t="shared" si="79"/>
        <v>0</v>
      </c>
      <c r="I1707" s="3">
        <f t="shared" si="80"/>
        <v>0</v>
      </c>
    </row>
    <row r="1708" spans="4:9" x14ac:dyDescent="0.35">
      <c r="D1708" s="2"/>
      <c r="E1708" s="2"/>
      <c r="F1708" s="3"/>
      <c r="G1708" s="3">
        <f t="shared" si="78"/>
        <v>0</v>
      </c>
      <c r="H1708" s="3">
        <f t="shared" si="79"/>
        <v>0</v>
      </c>
      <c r="I1708" s="3">
        <f t="shared" si="80"/>
        <v>0</v>
      </c>
    </row>
    <row r="1709" spans="4:9" x14ac:dyDescent="0.35">
      <c r="D1709" s="2"/>
      <c r="E1709" s="2"/>
      <c r="F1709" s="3"/>
      <c r="G1709" s="3">
        <f t="shared" si="78"/>
        <v>0</v>
      </c>
      <c r="H1709" s="3">
        <f t="shared" si="79"/>
        <v>0</v>
      </c>
      <c r="I1709" s="3">
        <f t="shared" si="80"/>
        <v>0</v>
      </c>
    </row>
    <row r="1710" spans="4:9" x14ac:dyDescent="0.35">
      <c r="D1710" s="2"/>
      <c r="E1710" s="2"/>
      <c r="F1710" s="3"/>
      <c r="G1710" s="3">
        <f t="shared" si="78"/>
        <v>0</v>
      </c>
      <c r="H1710" s="3">
        <f t="shared" si="79"/>
        <v>0</v>
      </c>
      <c r="I1710" s="3">
        <f t="shared" si="80"/>
        <v>0</v>
      </c>
    </row>
    <row r="1711" spans="4:9" x14ac:dyDescent="0.35">
      <c r="D1711" s="2"/>
      <c r="E1711" s="2"/>
      <c r="F1711" s="3"/>
      <c r="G1711" s="3">
        <f t="shared" si="78"/>
        <v>0</v>
      </c>
      <c r="H1711" s="3">
        <f t="shared" si="79"/>
        <v>0</v>
      </c>
      <c r="I1711" s="3">
        <f t="shared" si="80"/>
        <v>0</v>
      </c>
    </row>
    <row r="1712" spans="4:9" x14ac:dyDescent="0.35">
      <c r="D1712" s="2"/>
      <c r="E1712" s="2"/>
      <c r="F1712" s="3"/>
      <c r="G1712" s="3">
        <f t="shared" si="78"/>
        <v>0</v>
      </c>
      <c r="H1712" s="3">
        <f t="shared" si="79"/>
        <v>0</v>
      </c>
      <c r="I1712" s="3">
        <f t="shared" si="80"/>
        <v>0</v>
      </c>
    </row>
    <row r="1713" spans="4:9" x14ac:dyDescent="0.35">
      <c r="D1713" s="2"/>
      <c r="E1713" s="2"/>
      <c r="F1713" s="3"/>
      <c r="G1713" s="3">
        <f t="shared" si="78"/>
        <v>0</v>
      </c>
      <c r="H1713" s="3">
        <f t="shared" si="79"/>
        <v>0</v>
      </c>
      <c r="I1713" s="3">
        <f t="shared" si="80"/>
        <v>0</v>
      </c>
    </row>
    <row r="1714" spans="4:9" x14ac:dyDescent="0.35">
      <c r="D1714" s="2"/>
      <c r="E1714" s="2"/>
      <c r="F1714" s="3"/>
      <c r="G1714" s="3">
        <f t="shared" si="78"/>
        <v>0</v>
      </c>
      <c r="H1714" s="3">
        <f t="shared" si="79"/>
        <v>0</v>
      </c>
      <c r="I1714" s="3">
        <f t="shared" si="80"/>
        <v>0</v>
      </c>
    </row>
    <row r="1715" spans="4:9" x14ac:dyDescent="0.35">
      <c r="D1715" s="2"/>
      <c r="E1715" s="2"/>
      <c r="F1715" s="3"/>
      <c r="G1715" s="3">
        <f t="shared" si="78"/>
        <v>0</v>
      </c>
      <c r="H1715" s="3">
        <f t="shared" si="79"/>
        <v>0</v>
      </c>
      <c r="I1715" s="3">
        <f t="shared" si="80"/>
        <v>0</v>
      </c>
    </row>
    <row r="1716" spans="4:9" x14ac:dyDescent="0.35">
      <c r="D1716" s="2"/>
      <c r="E1716" s="2"/>
      <c r="F1716" s="3"/>
      <c r="G1716" s="3">
        <f t="shared" si="78"/>
        <v>0</v>
      </c>
      <c r="H1716" s="3">
        <f t="shared" si="79"/>
        <v>0</v>
      </c>
      <c r="I1716" s="3">
        <f t="shared" si="80"/>
        <v>0</v>
      </c>
    </row>
    <row r="1717" spans="4:9" x14ac:dyDescent="0.35">
      <c r="D1717" s="2"/>
      <c r="E1717" s="2"/>
      <c r="F1717" s="3"/>
      <c r="G1717" s="3">
        <f t="shared" si="78"/>
        <v>0</v>
      </c>
      <c r="H1717" s="3">
        <f t="shared" si="79"/>
        <v>0</v>
      </c>
      <c r="I1717" s="3">
        <f t="shared" si="80"/>
        <v>0</v>
      </c>
    </row>
    <row r="1718" spans="4:9" x14ac:dyDescent="0.35">
      <c r="D1718" s="2"/>
      <c r="E1718" s="2"/>
      <c r="F1718" s="3"/>
      <c r="G1718" s="3">
        <f t="shared" si="78"/>
        <v>0</v>
      </c>
      <c r="H1718" s="3">
        <f t="shared" si="79"/>
        <v>0</v>
      </c>
      <c r="I1718" s="3">
        <f t="shared" si="80"/>
        <v>0</v>
      </c>
    </row>
    <row r="1719" spans="4:9" x14ac:dyDescent="0.35">
      <c r="D1719" s="2"/>
      <c r="E1719" s="2"/>
      <c r="F1719" s="3"/>
      <c r="G1719" s="3">
        <f t="shared" si="78"/>
        <v>0</v>
      </c>
      <c r="H1719" s="3">
        <f t="shared" si="79"/>
        <v>0</v>
      </c>
      <c r="I1719" s="3">
        <f t="shared" si="80"/>
        <v>0</v>
      </c>
    </row>
    <row r="1720" spans="4:9" x14ac:dyDescent="0.35">
      <c r="D1720" s="2"/>
      <c r="E1720" s="2"/>
      <c r="F1720" s="3"/>
      <c r="G1720" s="3">
        <f t="shared" si="78"/>
        <v>0</v>
      </c>
      <c r="H1720" s="3">
        <f t="shared" si="79"/>
        <v>0</v>
      </c>
      <c r="I1720" s="3">
        <f t="shared" si="80"/>
        <v>0</v>
      </c>
    </row>
    <row r="1721" spans="4:9" x14ac:dyDescent="0.35">
      <c r="D1721" s="2"/>
      <c r="E1721" s="2"/>
      <c r="F1721" s="3"/>
      <c r="G1721" s="3">
        <f t="shared" si="78"/>
        <v>0</v>
      </c>
      <c r="H1721" s="3">
        <f t="shared" si="79"/>
        <v>0</v>
      </c>
      <c r="I1721" s="3">
        <f t="shared" si="80"/>
        <v>0</v>
      </c>
    </row>
    <row r="1722" spans="4:9" x14ac:dyDescent="0.35">
      <c r="D1722" s="2"/>
      <c r="E1722" s="2"/>
      <c r="F1722" s="3"/>
      <c r="G1722" s="3">
        <f t="shared" si="78"/>
        <v>0</v>
      </c>
      <c r="H1722" s="3">
        <f t="shared" si="79"/>
        <v>0</v>
      </c>
      <c r="I1722" s="3">
        <f t="shared" si="80"/>
        <v>0</v>
      </c>
    </row>
    <row r="1723" spans="4:9" x14ac:dyDescent="0.35">
      <c r="D1723" s="2"/>
      <c r="E1723" s="2"/>
      <c r="F1723" s="3"/>
      <c r="G1723" s="3">
        <f t="shared" si="78"/>
        <v>0</v>
      </c>
      <c r="H1723" s="3">
        <f t="shared" si="79"/>
        <v>0</v>
      </c>
      <c r="I1723" s="3">
        <f t="shared" si="80"/>
        <v>0</v>
      </c>
    </row>
    <row r="1724" spans="4:9" x14ac:dyDescent="0.35">
      <c r="D1724" s="2"/>
      <c r="E1724" s="2"/>
      <c r="F1724" s="3"/>
      <c r="G1724" s="3">
        <f t="shared" si="78"/>
        <v>0</v>
      </c>
      <c r="H1724" s="3">
        <f t="shared" si="79"/>
        <v>0</v>
      </c>
      <c r="I1724" s="3">
        <f t="shared" si="80"/>
        <v>0</v>
      </c>
    </row>
    <row r="1725" spans="4:9" x14ac:dyDescent="0.35">
      <c r="D1725" s="2"/>
      <c r="E1725" s="2"/>
      <c r="F1725" s="3"/>
      <c r="G1725" s="3">
        <f t="shared" si="78"/>
        <v>0</v>
      </c>
      <c r="H1725" s="3">
        <f t="shared" si="79"/>
        <v>0</v>
      </c>
      <c r="I1725" s="3">
        <f t="shared" si="80"/>
        <v>0</v>
      </c>
    </row>
    <row r="1726" spans="4:9" x14ac:dyDescent="0.35">
      <c r="D1726" s="2"/>
      <c r="E1726" s="2"/>
      <c r="F1726" s="3"/>
      <c r="G1726" s="3">
        <f t="shared" si="78"/>
        <v>0</v>
      </c>
      <c r="H1726" s="3">
        <f t="shared" si="79"/>
        <v>0</v>
      </c>
      <c r="I1726" s="3">
        <f t="shared" si="80"/>
        <v>0</v>
      </c>
    </row>
    <row r="1727" spans="4:9" x14ac:dyDescent="0.35">
      <c r="D1727" s="2"/>
      <c r="E1727" s="2"/>
      <c r="F1727" s="3"/>
      <c r="G1727" s="3">
        <f t="shared" si="78"/>
        <v>0</v>
      </c>
      <c r="H1727" s="3">
        <f t="shared" si="79"/>
        <v>0</v>
      </c>
      <c r="I1727" s="3">
        <f t="shared" si="80"/>
        <v>0</v>
      </c>
    </row>
    <row r="1728" spans="4:9" x14ac:dyDescent="0.35">
      <c r="D1728" s="2"/>
      <c r="E1728" s="2"/>
      <c r="F1728" s="3"/>
      <c r="G1728" s="3">
        <f t="shared" si="78"/>
        <v>0</v>
      </c>
      <c r="H1728" s="3">
        <f t="shared" si="79"/>
        <v>0</v>
      </c>
      <c r="I1728" s="3">
        <f t="shared" si="80"/>
        <v>0</v>
      </c>
    </row>
    <row r="1729" spans="4:9" x14ac:dyDescent="0.35">
      <c r="D1729" s="2"/>
      <c r="E1729" s="2"/>
      <c r="F1729" s="3"/>
      <c r="G1729" s="3">
        <f t="shared" si="78"/>
        <v>0</v>
      </c>
      <c r="H1729" s="3">
        <f t="shared" si="79"/>
        <v>0</v>
      </c>
      <c r="I1729" s="3">
        <f t="shared" si="80"/>
        <v>0</v>
      </c>
    </row>
    <row r="1730" spans="4:9" x14ac:dyDescent="0.35">
      <c r="D1730" s="2"/>
      <c r="E1730" s="2"/>
      <c r="F1730" s="3"/>
      <c r="G1730" s="3">
        <f t="shared" ref="G1730:G1793" si="81">IF($F1730&gt;0,$E1730/(1-$F1730),0)</f>
        <v>0</v>
      </c>
      <c r="H1730" s="3">
        <f t="shared" ref="H1730:H1793" si="82">IF($D1730&gt;0,$G1730/$D1730,0)</f>
        <v>0</v>
      </c>
      <c r="I1730" s="3">
        <f t="shared" ref="I1730:I1793" si="83">$E1730*1.1</f>
        <v>0</v>
      </c>
    </row>
    <row r="1731" spans="4:9" x14ac:dyDescent="0.35">
      <c r="D1731" s="2"/>
      <c r="E1731" s="2"/>
      <c r="F1731" s="3"/>
      <c r="G1731" s="3">
        <f t="shared" si="81"/>
        <v>0</v>
      </c>
      <c r="H1731" s="3">
        <f t="shared" si="82"/>
        <v>0</v>
      </c>
      <c r="I1731" s="3">
        <f t="shared" si="83"/>
        <v>0</v>
      </c>
    </row>
    <row r="1732" spans="4:9" x14ac:dyDescent="0.35">
      <c r="D1732" s="2"/>
      <c r="E1732" s="2"/>
      <c r="F1732" s="3"/>
      <c r="G1732" s="3">
        <f t="shared" si="81"/>
        <v>0</v>
      </c>
      <c r="H1732" s="3">
        <f t="shared" si="82"/>
        <v>0</v>
      </c>
      <c r="I1732" s="3">
        <f t="shared" si="83"/>
        <v>0</v>
      </c>
    </row>
    <row r="1733" spans="4:9" x14ac:dyDescent="0.35">
      <c r="D1733" s="2"/>
      <c r="E1733" s="2"/>
      <c r="F1733" s="3"/>
      <c r="G1733" s="3">
        <f t="shared" si="81"/>
        <v>0</v>
      </c>
      <c r="H1733" s="3">
        <f t="shared" si="82"/>
        <v>0</v>
      </c>
      <c r="I1733" s="3">
        <f t="shared" si="83"/>
        <v>0</v>
      </c>
    </row>
    <row r="1734" spans="4:9" x14ac:dyDescent="0.35">
      <c r="D1734" s="2"/>
      <c r="E1734" s="2"/>
      <c r="F1734" s="3"/>
      <c r="G1734" s="3">
        <f t="shared" si="81"/>
        <v>0</v>
      </c>
      <c r="H1734" s="3">
        <f t="shared" si="82"/>
        <v>0</v>
      </c>
      <c r="I1734" s="3">
        <f t="shared" si="83"/>
        <v>0</v>
      </c>
    </row>
    <row r="1735" spans="4:9" x14ac:dyDescent="0.35">
      <c r="D1735" s="2"/>
      <c r="E1735" s="2"/>
      <c r="F1735" s="3"/>
      <c r="G1735" s="3">
        <f t="shared" si="81"/>
        <v>0</v>
      </c>
      <c r="H1735" s="3">
        <f t="shared" si="82"/>
        <v>0</v>
      </c>
      <c r="I1735" s="3">
        <f t="shared" si="83"/>
        <v>0</v>
      </c>
    </row>
    <row r="1736" spans="4:9" x14ac:dyDescent="0.35">
      <c r="D1736" s="2"/>
      <c r="E1736" s="2"/>
      <c r="F1736" s="3"/>
      <c r="G1736" s="3">
        <f t="shared" si="81"/>
        <v>0</v>
      </c>
      <c r="H1736" s="3">
        <f t="shared" si="82"/>
        <v>0</v>
      </c>
      <c r="I1736" s="3">
        <f t="shared" si="83"/>
        <v>0</v>
      </c>
    </row>
    <row r="1737" spans="4:9" x14ac:dyDescent="0.35">
      <c r="D1737" s="2"/>
      <c r="E1737" s="2"/>
      <c r="F1737" s="3"/>
      <c r="G1737" s="3">
        <f t="shared" si="81"/>
        <v>0</v>
      </c>
      <c r="H1737" s="3">
        <f t="shared" si="82"/>
        <v>0</v>
      </c>
      <c r="I1737" s="3">
        <f t="shared" si="83"/>
        <v>0</v>
      </c>
    </row>
    <row r="1738" spans="4:9" x14ac:dyDescent="0.35">
      <c r="D1738" s="2"/>
      <c r="E1738" s="2"/>
      <c r="F1738" s="3"/>
      <c r="G1738" s="3">
        <f t="shared" si="81"/>
        <v>0</v>
      </c>
      <c r="H1738" s="3">
        <f t="shared" si="82"/>
        <v>0</v>
      </c>
      <c r="I1738" s="3">
        <f t="shared" si="83"/>
        <v>0</v>
      </c>
    </row>
    <row r="1739" spans="4:9" x14ac:dyDescent="0.35">
      <c r="D1739" s="2"/>
      <c r="E1739" s="2"/>
      <c r="F1739" s="3"/>
      <c r="G1739" s="3">
        <f t="shared" si="81"/>
        <v>0</v>
      </c>
      <c r="H1739" s="3">
        <f t="shared" si="82"/>
        <v>0</v>
      </c>
      <c r="I1739" s="3">
        <f t="shared" si="83"/>
        <v>0</v>
      </c>
    </row>
    <row r="1740" spans="4:9" x14ac:dyDescent="0.35">
      <c r="D1740" s="2"/>
      <c r="E1740" s="2"/>
      <c r="F1740" s="3"/>
      <c r="G1740" s="3">
        <f t="shared" si="81"/>
        <v>0</v>
      </c>
      <c r="H1740" s="3">
        <f t="shared" si="82"/>
        <v>0</v>
      </c>
      <c r="I1740" s="3">
        <f t="shared" si="83"/>
        <v>0</v>
      </c>
    </row>
    <row r="1741" spans="4:9" x14ac:dyDescent="0.35">
      <c r="D1741" s="2"/>
      <c r="E1741" s="2"/>
      <c r="F1741" s="3"/>
      <c r="G1741" s="3">
        <f t="shared" si="81"/>
        <v>0</v>
      </c>
      <c r="H1741" s="3">
        <f t="shared" si="82"/>
        <v>0</v>
      </c>
      <c r="I1741" s="3">
        <f t="shared" si="83"/>
        <v>0</v>
      </c>
    </row>
    <row r="1742" spans="4:9" x14ac:dyDescent="0.35">
      <c r="D1742" s="2"/>
      <c r="E1742" s="2"/>
      <c r="F1742" s="3"/>
      <c r="G1742" s="3">
        <f t="shared" si="81"/>
        <v>0</v>
      </c>
      <c r="H1742" s="3">
        <f t="shared" si="82"/>
        <v>0</v>
      </c>
      <c r="I1742" s="3">
        <f t="shared" si="83"/>
        <v>0</v>
      </c>
    </row>
    <row r="1743" spans="4:9" x14ac:dyDescent="0.35">
      <c r="D1743" s="2"/>
      <c r="E1743" s="2"/>
      <c r="F1743" s="3"/>
      <c r="G1743" s="3">
        <f t="shared" si="81"/>
        <v>0</v>
      </c>
      <c r="H1743" s="3">
        <f t="shared" si="82"/>
        <v>0</v>
      </c>
      <c r="I1743" s="3">
        <f t="shared" si="83"/>
        <v>0</v>
      </c>
    </row>
    <row r="1744" spans="4:9" x14ac:dyDescent="0.35">
      <c r="D1744" s="2"/>
      <c r="E1744" s="2"/>
      <c r="F1744" s="3"/>
      <c r="G1744" s="3">
        <f t="shared" si="81"/>
        <v>0</v>
      </c>
      <c r="H1744" s="3">
        <f t="shared" si="82"/>
        <v>0</v>
      </c>
      <c r="I1744" s="3">
        <f t="shared" si="83"/>
        <v>0</v>
      </c>
    </row>
    <row r="1745" spans="4:9" x14ac:dyDescent="0.35">
      <c r="D1745" s="2"/>
      <c r="E1745" s="2"/>
      <c r="F1745" s="3"/>
      <c r="G1745" s="3">
        <f t="shared" si="81"/>
        <v>0</v>
      </c>
      <c r="H1745" s="3">
        <f t="shared" si="82"/>
        <v>0</v>
      </c>
      <c r="I1745" s="3">
        <f t="shared" si="83"/>
        <v>0</v>
      </c>
    </row>
    <row r="1746" spans="4:9" x14ac:dyDescent="0.35">
      <c r="D1746" s="2"/>
      <c r="E1746" s="2"/>
      <c r="F1746" s="3"/>
      <c r="G1746" s="3">
        <f t="shared" si="81"/>
        <v>0</v>
      </c>
      <c r="H1746" s="3">
        <f t="shared" si="82"/>
        <v>0</v>
      </c>
      <c r="I1746" s="3">
        <f t="shared" si="83"/>
        <v>0</v>
      </c>
    </row>
    <row r="1747" spans="4:9" x14ac:dyDescent="0.35">
      <c r="D1747" s="2"/>
      <c r="E1747" s="2"/>
      <c r="F1747" s="3"/>
      <c r="G1747" s="3">
        <f t="shared" si="81"/>
        <v>0</v>
      </c>
      <c r="H1747" s="3">
        <f t="shared" si="82"/>
        <v>0</v>
      </c>
      <c r="I1747" s="3">
        <f t="shared" si="83"/>
        <v>0</v>
      </c>
    </row>
    <row r="1748" spans="4:9" x14ac:dyDescent="0.35">
      <c r="D1748" s="2"/>
      <c r="E1748" s="2"/>
      <c r="F1748" s="3"/>
      <c r="G1748" s="3">
        <f t="shared" si="81"/>
        <v>0</v>
      </c>
      <c r="H1748" s="3">
        <f t="shared" si="82"/>
        <v>0</v>
      </c>
      <c r="I1748" s="3">
        <f t="shared" si="83"/>
        <v>0</v>
      </c>
    </row>
    <row r="1749" spans="4:9" x14ac:dyDescent="0.35">
      <c r="D1749" s="2"/>
      <c r="E1749" s="2"/>
      <c r="F1749" s="3"/>
      <c r="G1749" s="3">
        <f t="shared" si="81"/>
        <v>0</v>
      </c>
      <c r="H1749" s="3">
        <f t="shared" si="82"/>
        <v>0</v>
      </c>
      <c r="I1749" s="3">
        <f t="shared" si="83"/>
        <v>0</v>
      </c>
    </row>
    <row r="1750" spans="4:9" x14ac:dyDescent="0.35">
      <c r="D1750" s="2"/>
      <c r="E1750" s="2"/>
      <c r="F1750" s="3"/>
      <c r="G1750" s="3">
        <f t="shared" si="81"/>
        <v>0</v>
      </c>
      <c r="H1750" s="3">
        <f t="shared" si="82"/>
        <v>0</v>
      </c>
      <c r="I1750" s="3">
        <f t="shared" si="83"/>
        <v>0</v>
      </c>
    </row>
    <row r="1751" spans="4:9" x14ac:dyDescent="0.35">
      <c r="D1751" s="2"/>
      <c r="E1751" s="2"/>
      <c r="F1751" s="3"/>
      <c r="G1751" s="3">
        <f t="shared" si="81"/>
        <v>0</v>
      </c>
      <c r="H1751" s="3">
        <f t="shared" si="82"/>
        <v>0</v>
      </c>
      <c r="I1751" s="3">
        <f t="shared" si="83"/>
        <v>0</v>
      </c>
    </row>
    <row r="1752" spans="4:9" x14ac:dyDescent="0.35">
      <c r="D1752" s="2"/>
      <c r="E1752" s="2"/>
      <c r="F1752" s="3"/>
      <c r="G1752" s="3">
        <f t="shared" si="81"/>
        <v>0</v>
      </c>
      <c r="H1752" s="3">
        <f t="shared" si="82"/>
        <v>0</v>
      </c>
      <c r="I1752" s="3">
        <f t="shared" si="83"/>
        <v>0</v>
      </c>
    </row>
    <row r="1753" spans="4:9" x14ac:dyDescent="0.35">
      <c r="D1753" s="2"/>
      <c r="E1753" s="2"/>
      <c r="F1753" s="3"/>
      <c r="G1753" s="3">
        <f t="shared" si="81"/>
        <v>0</v>
      </c>
      <c r="H1753" s="3">
        <f t="shared" si="82"/>
        <v>0</v>
      </c>
      <c r="I1753" s="3">
        <f t="shared" si="83"/>
        <v>0</v>
      </c>
    </row>
    <row r="1754" spans="4:9" x14ac:dyDescent="0.35">
      <c r="D1754" s="2"/>
      <c r="E1754" s="2"/>
      <c r="F1754" s="3"/>
      <c r="G1754" s="3">
        <f t="shared" si="81"/>
        <v>0</v>
      </c>
      <c r="H1754" s="3">
        <f t="shared" si="82"/>
        <v>0</v>
      </c>
      <c r="I1754" s="3">
        <f t="shared" si="83"/>
        <v>0</v>
      </c>
    </row>
    <row r="1755" spans="4:9" x14ac:dyDescent="0.35">
      <c r="D1755" s="2"/>
      <c r="E1755" s="2"/>
      <c r="F1755" s="3"/>
      <c r="G1755" s="3">
        <f t="shared" si="81"/>
        <v>0</v>
      </c>
      <c r="H1755" s="3">
        <f t="shared" si="82"/>
        <v>0</v>
      </c>
      <c r="I1755" s="3">
        <f t="shared" si="83"/>
        <v>0</v>
      </c>
    </row>
    <row r="1756" spans="4:9" x14ac:dyDescent="0.35">
      <c r="D1756" s="2"/>
      <c r="E1756" s="2"/>
      <c r="F1756" s="3"/>
      <c r="G1756" s="3">
        <f t="shared" si="81"/>
        <v>0</v>
      </c>
      <c r="H1756" s="3">
        <f t="shared" si="82"/>
        <v>0</v>
      </c>
      <c r="I1756" s="3">
        <f t="shared" si="83"/>
        <v>0</v>
      </c>
    </row>
    <row r="1757" spans="4:9" x14ac:dyDescent="0.35">
      <c r="D1757" s="2"/>
      <c r="E1757" s="2"/>
      <c r="F1757" s="3"/>
      <c r="G1757" s="3">
        <f t="shared" si="81"/>
        <v>0</v>
      </c>
      <c r="H1757" s="3">
        <f t="shared" si="82"/>
        <v>0</v>
      </c>
      <c r="I1757" s="3">
        <f t="shared" si="83"/>
        <v>0</v>
      </c>
    </row>
    <row r="1758" spans="4:9" x14ac:dyDescent="0.35">
      <c r="D1758" s="2"/>
      <c r="E1758" s="2"/>
      <c r="F1758" s="3"/>
      <c r="G1758" s="3">
        <f t="shared" si="81"/>
        <v>0</v>
      </c>
      <c r="H1758" s="3">
        <f t="shared" si="82"/>
        <v>0</v>
      </c>
      <c r="I1758" s="3">
        <f t="shared" si="83"/>
        <v>0</v>
      </c>
    </row>
    <row r="1759" spans="4:9" x14ac:dyDescent="0.35">
      <c r="D1759" s="2"/>
      <c r="E1759" s="2"/>
      <c r="F1759" s="3"/>
      <c r="G1759" s="3">
        <f t="shared" si="81"/>
        <v>0</v>
      </c>
      <c r="H1759" s="3">
        <f t="shared" si="82"/>
        <v>0</v>
      </c>
      <c r="I1759" s="3">
        <f t="shared" si="83"/>
        <v>0</v>
      </c>
    </row>
    <row r="1760" spans="4:9" x14ac:dyDescent="0.35">
      <c r="D1760" s="2"/>
      <c r="E1760" s="2"/>
      <c r="F1760" s="3"/>
      <c r="G1760" s="3">
        <f t="shared" si="81"/>
        <v>0</v>
      </c>
      <c r="H1760" s="3">
        <f t="shared" si="82"/>
        <v>0</v>
      </c>
      <c r="I1760" s="3">
        <f t="shared" si="83"/>
        <v>0</v>
      </c>
    </row>
    <row r="1761" spans="4:9" x14ac:dyDescent="0.35">
      <c r="D1761" s="2"/>
      <c r="E1761" s="2"/>
      <c r="F1761" s="3"/>
      <c r="G1761" s="3">
        <f t="shared" si="81"/>
        <v>0</v>
      </c>
      <c r="H1761" s="3">
        <f t="shared" si="82"/>
        <v>0</v>
      </c>
      <c r="I1761" s="3">
        <f t="shared" si="83"/>
        <v>0</v>
      </c>
    </row>
    <row r="1762" spans="4:9" x14ac:dyDescent="0.35">
      <c r="D1762" s="2"/>
      <c r="E1762" s="2"/>
      <c r="F1762" s="3"/>
      <c r="G1762" s="3">
        <f t="shared" si="81"/>
        <v>0</v>
      </c>
      <c r="H1762" s="3">
        <f t="shared" si="82"/>
        <v>0</v>
      </c>
      <c r="I1762" s="3">
        <f t="shared" si="83"/>
        <v>0</v>
      </c>
    </row>
    <row r="1763" spans="4:9" x14ac:dyDescent="0.35">
      <c r="D1763" s="2"/>
      <c r="E1763" s="2"/>
      <c r="F1763" s="3"/>
      <c r="G1763" s="3">
        <f t="shared" si="81"/>
        <v>0</v>
      </c>
      <c r="H1763" s="3">
        <f t="shared" si="82"/>
        <v>0</v>
      </c>
      <c r="I1763" s="3">
        <f t="shared" si="83"/>
        <v>0</v>
      </c>
    </row>
    <row r="1764" spans="4:9" x14ac:dyDescent="0.35">
      <c r="D1764" s="2"/>
      <c r="E1764" s="2"/>
      <c r="F1764" s="3"/>
      <c r="G1764" s="3">
        <f t="shared" si="81"/>
        <v>0</v>
      </c>
      <c r="H1764" s="3">
        <f t="shared" si="82"/>
        <v>0</v>
      </c>
      <c r="I1764" s="3">
        <f t="shared" si="83"/>
        <v>0</v>
      </c>
    </row>
    <row r="1765" spans="4:9" x14ac:dyDescent="0.35">
      <c r="D1765" s="2"/>
      <c r="E1765" s="2"/>
      <c r="F1765" s="3"/>
      <c r="G1765" s="3">
        <f t="shared" si="81"/>
        <v>0</v>
      </c>
      <c r="H1765" s="3">
        <f t="shared" si="82"/>
        <v>0</v>
      </c>
      <c r="I1765" s="3">
        <f t="shared" si="83"/>
        <v>0</v>
      </c>
    </row>
    <row r="1766" spans="4:9" x14ac:dyDescent="0.35">
      <c r="D1766" s="2"/>
      <c r="E1766" s="2"/>
      <c r="F1766" s="3"/>
      <c r="G1766" s="3">
        <f t="shared" si="81"/>
        <v>0</v>
      </c>
      <c r="H1766" s="3">
        <f t="shared" si="82"/>
        <v>0</v>
      </c>
      <c r="I1766" s="3">
        <f t="shared" si="83"/>
        <v>0</v>
      </c>
    </row>
    <row r="1767" spans="4:9" x14ac:dyDescent="0.35">
      <c r="D1767" s="2"/>
      <c r="E1767" s="2"/>
      <c r="F1767" s="3"/>
      <c r="G1767" s="3">
        <f t="shared" si="81"/>
        <v>0</v>
      </c>
      <c r="H1767" s="3">
        <f t="shared" si="82"/>
        <v>0</v>
      </c>
      <c r="I1767" s="3">
        <f t="shared" si="83"/>
        <v>0</v>
      </c>
    </row>
    <row r="1768" spans="4:9" x14ac:dyDescent="0.35">
      <c r="D1768" s="2"/>
      <c r="E1768" s="2"/>
      <c r="F1768" s="3"/>
      <c r="G1768" s="3">
        <f t="shared" si="81"/>
        <v>0</v>
      </c>
      <c r="H1768" s="3">
        <f t="shared" si="82"/>
        <v>0</v>
      </c>
      <c r="I1768" s="3">
        <f t="shared" si="83"/>
        <v>0</v>
      </c>
    </row>
    <row r="1769" spans="4:9" x14ac:dyDescent="0.35">
      <c r="D1769" s="2"/>
      <c r="E1769" s="2"/>
      <c r="F1769" s="3"/>
      <c r="G1769" s="3">
        <f t="shared" si="81"/>
        <v>0</v>
      </c>
      <c r="H1769" s="3">
        <f t="shared" si="82"/>
        <v>0</v>
      </c>
      <c r="I1769" s="3">
        <f t="shared" si="83"/>
        <v>0</v>
      </c>
    </row>
    <row r="1770" spans="4:9" x14ac:dyDescent="0.35">
      <c r="D1770" s="2"/>
      <c r="E1770" s="2"/>
      <c r="F1770" s="3"/>
      <c r="G1770" s="3">
        <f t="shared" si="81"/>
        <v>0</v>
      </c>
      <c r="H1770" s="3">
        <f t="shared" si="82"/>
        <v>0</v>
      </c>
      <c r="I1770" s="3">
        <f t="shared" si="83"/>
        <v>0</v>
      </c>
    </row>
    <row r="1771" spans="4:9" x14ac:dyDescent="0.35">
      <c r="D1771" s="2"/>
      <c r="E1771" s="2"/>
      <c r="F1771" s="3"/>
      <c r="G1771" s="3">
        <f t="shared" si="81"/>
        <v>0</v>
      </c>
      <c r="H1771" s="3">
        <f t="shared" si="82"/>
        <v>0</v>
      </c>
      <c r="I1771" s="3">
        <f t="shared" si="83"/>
        <v>0</v>
      </c>
    </row>
    <row r="1772" spans="4:9" x14ac:dyDescent="0.35">
      <c r="D1772" s="2"/>
      <c r="E1772" s="2"/>
      <c r="F1772" s="3"/>
      <c r="G1772" s="3">
        <f t="shared" si="81"/>
        <v>0</v>
      </c>
      <c r="H1772" s="3">
        <f t="shared" si="82"/>
        <v>0</v>
      </c>
      <c r="I1772" s="3">
        <f t="shared" si="83"/>
        <v>0</v>
      </c>
    </row>
    <row r="1773" spans="4:9" x14ac:dyDescent="0.35">
      <c r="D1773" s="2"/>
      <c r="E1773" s="2"/>
      <c r="F1773" s="3"/>
      <c r="G1773" s="3">
        <f t="shared" si="81"/>
        <v>0</v>
      </c>
      <c r="H1773" s="3">
        <f t="shared" si="82"/>
        <v>0</v>
      </c>
      <c r="I1773" s="3">
        <f t="shared" si="83"/>
        <v>0</v>
      </c>
    </row>
    <row r="1774" spans="4:9" x14ac:dyDescent="0.35">
      <c r="D1774" s="2"/>
      <c r="E1774" s="2"/>
      <c r="F1774" s="3"/>
      <c r="G1774" s="3">
        <f t="shared" si="81"/>
        <v>0</v>
      </c>
      <c r="H1774" s="3">
        <f t="shared" si="82"/>
        <v>0</v>
      </c>
      <c r="I1774" s="3">
        <f t="shared" si="83"/>
        <v>0</v>
      </c>
    </row>
    <row r="1775" spans="4:9" x14ac:dyDescent="0.35">
      <c r="D1775" s="2"/>
      <c r="E1775" s="2"/>
      <c r="F1775" s="3"/>
      <c r="G1775" s="3">
        <f t="shared" si="81"/>
        <v>0</v>
      </c>
      <c r="H1775" s="3">
        <f t="shared" si="82"/>
        <v>0</v>
      </c>
      <c r="I1775" s="3">
        <f t="shared" si="83"/>
        <v>0</v>
      </c>
    </row>
    <row r="1776" spans="4:9" x14ac:dyDescent="0.35">
      <c r="D1776" s="2"/>
      <c r="E1776" s="2"/>
      <c r="F1776" s="3"/>
      <c r="G1776" s="3">
        <f t="shared" si="81"/>
        <v>0</v>
      </c>
      <c r="H1776" s="3">
        <f t="shared" si="82"/>
        <v>0</v>
      </c>
      <c r="I1776" s="3">
        <f t="shared" si="83"/>
        <v>0</v>
      </c>
    </row>
    <row r="1777" spans="4:9" x14ac:dyDescent="0.35">
      <c r="D1777" s="2"/>
      <c r="E1777" s="2"/>
      <c r="F1777" s="3"/>
      <c r="G1777" s="3">
        <f t="shared" si="81"/>
        <v>0</v>
      </c>
      <c r="H1777" s="3">
        <f t="shared" si="82"/>
        <v>0</v>
      </c>
      <c r="I1777" s="3">
        <f t="shared" si="83"/>
        <v>0</v>
      </c>
    </row>
    <row r="1778" spans="4:9" x14ac:dyDescent="0.35">
      <c r="D1778" s="2"/>
      <c r="E1778" s="2"/>
      <c r="F1778" s="3"/>
      <c r="G1778" s="3">
        <f t="shared" si="81"/>
        <v>0</v>
      </c>
      <c r="H1778" s="3">
        <f t="shared" si="82"/>
        <v>0</v>
      </c>
      <c r="I1778" s="3">
        <f t="shared" si="83"/>
        <v>0</v>
      </c>
    </row>
    <row r="1779" spans="4:9" x14ac:dyDescent="0.35">
      <c r="D1779" s="2"/>
      <c r="E1779" s="2"/>
      <c r="F1779" s="3"/>
      <c r="G1779" s="3">
        <f t="shared" si="81"/>
        <v>0</v>
      </c>
      <c r="H1779" s="3">
        <f t="shared" si="82"/>
        <v>0</v>
      </c>
      <c r="I1779" s="3">
        <f t="shared" si="83"/>
        <v>0</v>
      </c>
    </row>
    <row r="1780" spans="4:9" x14ac:dyDescent="0.35">
      <c r="D1780" s="2"/>
      <c r="E1780" s="2"/>
      <c r="F1780" s="3"/>
      <c r="G1780" s="3">
        <f t="shared" si="81"/>
        <v>0</v>
      </c>
      <c r="H1780" s="3">
        <f t="shared" si="82"/>
        <v>0</v>
      </c>
      <c r="I1780" s="3">
        <f t="shared" si="83"/>
        <v>0</v>
      </c>
    </row>
    <row r="1781" spans="4:9" x14ac:dyDescent="0.35">
      <c r="D1781" s="2"/>
      <c r="E1781" s="2"/>
      <c r="F1781" s="3"/>
      <c r="G1781" s="3">
        <f t="shared" si="81"/>
        <v>0</v>
      </c>
      <c r="H1781" s="3">
        <f t="shared" si="82"/>
        <v>0</v>
      </c>
      <c r="I1781" s="3">
        <f t="shared" si="83"/>
        <v>0</v>
      </c>
    </row>
    <row r="1782" spans="4:9" x14ac:dyDescent="0.35">
      <c r="D1782" s="2"/>
      <c r="E1782" s="2"/>
      <c r="F1782" s="3"/>
      <c r="G1782" s="3">
        <f t="shared" si="81"/>
        <v>0</v>
      </c>
      <c r="H1782" s="3">
        <f t="shared" si="82"/>
        <v>0</v>
      </c>
      <c r="I1782" s="3">
        <f t="shared" si="83"/>
        <v>0</v>
      </c>
    </row>
    <row r="1783" spans="4:9" x14ac:dyDescent="0.35">
      <c r="D1783" s="2"/>
      <c r="E1783" s="2"/>
      <c r="F1783" s="3"/>
      <c r="G1783" s="3">
        <f t="shared" si="81"/>
        <v>0</v>
      </c>
      <c r="H1783" s="3">
        <f t="shared" si="82"/>
        <v>0</v>
      </c>
      <c r="I1783" s="3">
        <f t="shared" si="83"/>
        <v>0</v>
      </c>
    </row>
    <row r="1784" spans="4:9" x14ac:dyDescent="0.35">
      <c r="D1784" s="2"/>
      <c r="E1784" s="2"/>
      <c r="F1784" s="3"/>
      <c r="G1784" s="3">
        <f t="shared" si="81"/>
        <v>0</v>
      </c>
      <c r="H1784" s="3">
        <f t="shared" si="82"/>
        <v>0</v>
      </c>
      <c r="I1784" s="3">
        <f t="shared" si="83"/>
        <v>0</v>
      </c>
    </row>
    <row r="1785" spans="4:9" x14ac:dyDescent="0.35">
      <c r="D1785" s="2"/>
      <c r="E1785" s="2"/>
      <c r="F1785" s="3"/>
      <c r="G1785" s="3">
        <f t="shared" si="81"/>
        <v>0</v>
      </c>
      <c r="H1785" s="3">
        <f t="shared" si="82"/>
        <v>0</v>
      </c>
      <c r="I1785" s="3">
        <f t="shared" si="83"/>
        <v>0</v>
      </c>
    </row>
    <row r="1786" spans="4:9" x14ac:dyDescent="0.35">
      <c r="D1786" s="2"/>
      <c r="E1786" s="2"/>
      <c r="F1786" s="3"/>
      <c r="G1786" s="3">
        <f t="shared" si="81"/>
        <v>0</v>
      </c>
      <c r="H1786" s="3">
        <f t="shared" si="82"/>
        <v>0</v>
      </c>
      <c r="I1786" s="3">
        <f t="shared" si="83"/>
        <v>0</v>
      </c>
    </row>
    <row r="1787" spans="4:9" x14ac:dyDescent="0.35">
      <c r="D1787" s="2"/>
      <c r="E1787" s="2"/>
      <c r="F1787" s="3"/>
      <c r="G1787" s="3">
        <f t="shared" si="81"/>
        <v>0</v>
      </c>
      <c r="H1787" s="3">
        <f t="shared" si="82"/>
        <v>0</v>
      </c>
      <c r="I1787" s="3">
        <f t="shared" si="83"/>
        <v>0</v>
      </c>
    </row>
    <row r="1788" spans="4:9" x14ac:dyDescent="0.35">
      <c r="D1788" s="2"/>
      <c r="E1788" s="2"/>
      <c r="F1788" s="3"/>
      <c r="G1788" s="3">
        <f t="shared" si="81"/>
        <v>0</v>
      </c>
      <c r="H1788" s="3">
        <f t="shared" si="82"/>
        <v>0</v>
      </c>
      <c r="I1788" s="3">
        <f t="shared" si="83"/>
        <v>0</v>
      </c>
    </row>
    <row r="1789" spans="4:9" x14ac:dyDescent="0.35">
      <c r="D1789" s="2"/>
      <c r="E1789" s="2"/>
      <c r="F1789" s="3"/>
      <c r="G1789" s="3">
        <f t="shared" si="81"/>
        <v>0</v>
      </c>
      <c r="H1789" s="3">
        <f t="shared" si="82"/>
        <v>0</v>
      </c>
      <c r="I1789" s="3">
        <f t="shared" si="83"/>
        <v>0</v>
      </c>
    </row>
    <row r="1790" spans="4:9" x14ac:dyDescent="0.35">
      <c r="D1790" s="2"/>
      <c r="E1790" s="2"/>
      <c r="F1790" s="3"/>
      <c r="G1790" s="3">
        <f t="shared" si="81"/>
        <v>0</v>
      </c>
      <c r="H1790" s="3">
        <f t="shared" si="82"/>
        <v>0</v>
      </c>
      <c r="I1790" s="3">
        <f t="shared" si="83"/>
        <v>0</v>
      </c>
    </row>
    <row r="1791" spans="4:9" x14ac:dyDescent="0.35">
      <c r="D1791" s="2"/>
      <c r="E1791" s="2"/>
      <c r="F1791" s="3"/>
      <c r="G1791" s="3">
        <f t="shared" si="81"/>
        <v>0</v>
      </c>
      <c r="H1791" s="3">
        <f t="shared" si="82"/>
        <v>0</v>
      </c>
      <c r="I1791" s="3">
        <f t="shared" si="83"/>
        <v>0</v>
      </c>
    </row>
    <row r="1792" spans="4:9" x14ac:dyDescent="0.35">
      <c r="D1792" s="2"/>
      <c r="E1792" s="2"/>
      <c r="F1792" s="3"/>
      <c r="G1792" s="3">
        <f t="shared" si="81"/>
        <v>0</v>
      </c>
      <c r="H1792" s="3">
        <f t="shared" si="82"/>
        <v>0</v>
      </c>
      <c r="I1792" s="3">
        <f t="shared" si="83"/>
        <v>0</v>
      </c>
    </row>
    <row r="1793" spans="4:9" x14ac:dyDescent="0.35">
      <c r="D1793" s="2"/>
      <c r="E1793" s="2"/>
      <c r="F1793" s="3"/>
      <c r="G1793" s="3">
        <f t="shared" si="81"/>
        <v>0</v>
      </c>
      <c r="H1793" s="3">
        <f t="shared" si="82"/>
        <v>0</v>
      </c>
      <c r="I1793" s="3">
        <f t="shared" si="83"/>
        <v>0</v>
      </c>
    </row>
    <row r="1794" spans="4:9" x14ac:dyDescent="0.35">
      <c r="D1794" s="2"/>
      <c r="E1794" s="2"/>
      <c r="F1794" s="3"/>
      <c r="G1794" s="3">
        <f t="shared" ref="G1794:G1857" si="84">IF($F1794&gt;0,$E1794/(1-$F1794),0)</f>
        <v>0</v>
      </c>
      <c r="H1794" s="3">
        <f t="shared" ref="H1794:H1857" si="85">IF($D1794&gt;0,$G1794/$D1794,0)</f>
        <v>0</v>
      </c>
      <c r="I1794" s="3">
        <f t="shared" ref="I1794:I1857" si="86">$E1794*1.1</f>
        <v>0</v>
      </c>
    </row>
    <row r="1795" spans="4:9" x14ac:dyDescent="0.35">
      <c r="D1795" s="2"/>
      <c r="E1795" s="2"/>
      <c r="F1795" s="3"/>
      <c r="G1795" s="3">
        <f t="shared" si="84"/>
        <v>0</v>
      </c>
      <c r="H1795" s="3">
        <f t="shared" si="85"/>
        <v>0</v>
      </c>
      <c r="I1795" s="3">
        <f t="shared" si="86"/>
        <v>0</v>
      </c>
    </row>
    <row r="1796" spans="4:9" x14ac:dyDescent="0.35">
      <c r="D1796" s="2"/>
      <c r="E1796" s="2"/>
      <c r="F1796" s="3"/>
      <c r="G1796" s="3">
        <f t="shared" si="84"/>
        <v>0</v>
      </c>
      <c r="H1796" s="3">
        <f t="shared" si="85"/>
        <v>0</v>
      </c>
      <c r="I1796" s="3">
        <f t="shared" si="86"/>
        <v>0</v>
      </c>
    </row>
    <row r="1797" spans="4:9" x14ac:dyDescent="0.35">
      <c r="D1797" s="2"/>
      <c r="E1797" s="2"/>
      <c r="F1797" s="3"/>
      <c r="G1797" s="3">
        <f t="shared" si="84"/>
        <v>0</v>
      </c>
      <c r="H1797" s="3">
        <f t="shared" si="85"/>
        <v>0</v>
      </c>
      <c r="I1797" s="3">
        <f t="shared" si="86"/>
        <v>0</v>
      </c>
    </row>
    <row r="1798" spans="4:9" x14ac:dyDescent="0.35">
      <c r="D1798" s="2"/>
      <c r="E1798" s="2"/>
      <c r="F1798" s="3"/>
      <c r="G1798" s="3">
        <f t="shared" si="84"/>
        <v>0</v>
      </c>
      <c r="H1798" s="3">
        <f t="shared" si="85"/>
        <v>0</v>
      </c>
      <c r="I1798" s="3">
        <f t="shared" si="86"/>
        <v>0</v>
      </c>
    </row>
    <row r="1799" spans="4:9" x14ac:dyDescent="0.35">
      <c r="D1799" s="2"/>
      <c r="E1799" s="2"/>
      <c r="F1799" s="3"/>
      <c r="G1799" s="3">
        <f t="shared" si="84"/>
        <v>0</v>
      </c>
      <c r="H1799" s="3">
        <f t="shared" si="85"/>
        <v>0</v>
      </c>
      <c r="I1799" s="3">
        <f t="shared" si="86"/>
        <v>0</v>
      </c>
    </row>
    <row r="1800" spans="4:9" x14ac:dyDescent="0.35">
      <c r="D1800" s="2"/>
      <c r="E1800" s="2"/>
      <c r="F1800" s="3"/>
      <c r="G1800" s="3">
        <f t="shared" si="84"/>
        <v>0</v>
      </c>
      <c r="H1800" s="3">
        <f t="shared" si="85"/>
        <v>0</v>
      </c>
      <c r="I1800" s="3">
        <f t="shared" si="86"/>
        <v>0</v>
      </c>
    </row>
    <row r="1801" spans="4:9" x14ac:dyDescent="0.35">
      <c r="D1801" s="2"/>
      <c r="E1801" s="2"/>
      <c r="F1801" s="3"/>
      <c r="G1801" s="3">
        <f t="shared" si="84"/>
        <v>0</v>
      </c>
      <c r="H1801" s="3">
        <f t="shared" si="85"/>
        <v>0</v>
      </c>
      <c r="I1801" s="3">
        <f t="shared" si="86"/>
        <v>0</v>
      </c>
    </row>
    <row r="1802" spans="4:9" x14ac:dyDescent="0.35">
      <c r="D1802" s="2"/>
      <c r="E1802" s="2"/>
      <c r="F1802" s="3"/>
      <c r="G1802" s="3">
        <f t="shared" si="84"/>
        <v>0</v>
      </c>
      <c r="H1802" s="3">
        <f t="shared" si="85"/>
        <v>0</v>
      </c>
      <c r="I1802" s="3">
        <f t="shared" si="86"/>
        <v>0</v>
      </c>
    </row>
    <row r="1803" spans="4:9" x14ac:dyDescent="0.35">
      <c r="D1803" s="2"/>
      <c r="E1803" s="2"/>
      <c r="F1803" s="3"/>
      <c r="G1803" s="3">
        <f t="shared" si="84"/>
        <v>0</v>
      </c>
      <c r="H1803" s="3">
        <f t="shared" si="85"/>
        <v>0</v>
      </c>
      <c r="I1803" s="3">
        <f t="shared" si="86"/>
        <v>0</v>
      </c>
    </row>
    <row r="1804" spans="4:9" x14ac:dyDescent="0.35">
      <c r="D1804" s="2"/>
      <c r="E1804" s="2"/>
      <c r="F1804" s="3"/>
      <c r="G1804" s="3">
        <f t="shared" si="84"/>
        <v>0</v>
      </c>
      <c r="H1804" s="3">
        <f t="shared" si="85"/>
        <v>0</v>
      </c>
      <c r="I1804" s="3">
        <f t="shared" si="86"/>
        <v>0</v>
      </c>
    </row>
    <row r="1805" spans="4:9" x14ac:dyDescent="0.35">
      <c r="D1805" s="2"/>
      <c r="E1805" s="2"/>
      <c r="F1805" s="3"/>
      <c r="G1805" s="3">
        <f t="shared" si="84"/>
        <v>0</v>
      </c>
      <c r="H1805" s="3">
        <f t="shared" si="85"/>
        <v>0</v>
      </c>
      <c r="I1805" s="3">
        <f t="shared" si="86"/>
        <v>0</v>
      </c>
    </row>
    <row r="1806" spans="4:9" x14ac:dyDescent="0.35">
      <c r="D1806" s="2"/>
      <c r="E1806" s="2"/>
      <c r="F1806" s="3"/>
      <c r="G1806" s="3">
        <f t="shared" si="84"/>
        <v>0</v>
      </c>
      <c r="H1806" s="3">
        <f t="shared" si="85"/>
        <v>0</v>
      </c>
      <c r="I1806" s="3">
        <f t="shared" si="86"/>
        <v>0</v>
      </c>
    </row>
    <row r="1807" spans="4:9" x14ac:dyDescent="0.35">
      <c r="D1807" s="2"/>
      <c r="E1807" s="2"/>
      <c r="F1807" s="3"/>
      <c r="G1807" s="3">
        <f t="shared" si="84"/>
        <v>0</v>
      </c>
      <c r="H1807" s="3">
        <f t="shared" si="85"/>
        <v>0</v>
      </c>
      <c r="I1807" s="3">
        <f t="shared" si="86"/>
        <v>0</v>
      </c>
    </row>
    <row r="1808" spans="4:9" x14ac:dyDescent="0.35">
      <c r="D1808" s="2"/>
      <c r="E1808" s="2"/>
      <c r="F1808" s="3"/>
      <c r="G1808" s="3">
        <f t="shared" si="84"/>
        <v>0</v>
      </c>
      <c r="H1808" s="3">
        <f t="shared" si="85"/>
        <v>0</v>
      </c>
      <c r="I1808" s="3">
        <f t="shared" si="86"/>
        <v>0</v>
      </c>
    </row>
    <row r="1809" spans="4:9" x14ac:dyDescent="0.35">
      <c r="D1809" s="2"/>
      <c r="E1809" s="2"/>
      <c r="F1809" s="3"/>
      <c r="G1809" s="3">
        <f t="shared" si="84"/>
        <v>0</v>
      </c>
      <c r="H1809" s="3">
        <f t="shared" si="85"/>
        <v>0</v>
      </c>
      <c r="I1809" s="3">
        <f t="shared" si="86"/>
        <v>0</v>
      </c>
    </row>
    <row r="1810" spans="4:9" x14ac:dyDescent="0.35">
      <c r="D1810" s="2"/>
      <c r="E1810" s="2"/>
      <c r="F1810" s="3"/>
      <c r="G1810" s="3">
        <f t="shared" si="84"/>
        <v>0</v>
      </c>
      <c r="H1810" s="3">
        <f t="shared" si="85"/>
        <v>0</v>
      </c>
      <c r="I1810" s="3">
        <f t="shared" si="86"/>
        <v>0</v>
      </c>
    </row>
    <row r="1811" spans="4:9" x14ac:dyDescent="0.35">
      <c r="D1811" s="2"/>
      <c r="E1811" s="2"/>
      <c r="F1811" s="3"/>
      <c r="G1811" s="3">
        <f t="shared" si="84"/>
        <v>0</v>
      </c>
      <c r="H1811" s="3">
        <f t="shared" si="85"/>
        <v>0</v>
      </c>
      <c r="I1811" s="3">
        <f t="shared" si="86"/>
        <v>0</v>
      </c>
    </row>
    <row r="1812" spans="4:9" x14ac:dyDescent="0.35">
      <c r="D1812" s="2"/>
      <c r="E1812" s="2"/>
      <c r="F1812" s="3"/>
      <c r="G1812" s="3">
        <f t="shared" si="84"/>
        <v>0</v>
      </c>
      <c r="H1812" s="3">
        <f t="shared" si="85"/>
        <v>0</v>
      </c>
      <c r="I1812" s="3">
        <f t="shared" si="86"/>
        <v>0</v>
      </c>
    </row>
    <row r="1813" spans="4:9" x14ac:dyDescent="0.35">
      <c r="D1813" s="2"/>
      <c r="E1813" s="2"/>
      <c r="F1813" s="3"/>
      <c r="G1813" s="3">
        <f t="shared" si="84"/>
        <v>0</v>
      </c>
      <c r="H1813" s="3">
        <f t="shared" si="85"/>
        <v>0</v>
      </c>
      <c r="I1813" s="3">
        <f t="shared" si="86"/>
        <v>0</v>
      </c>
    </row>
    <row r="1814" spans="4:9" x14ac:dyDescent="0.35">
      <c r="D1814" s="2"/>
      <c r="E1814" s="2"/>
      <c r="F1814" s="3"/>
      <c r="G1814" s="3">
        <f t="shared" si="84"/>
        <v>0</v>
      </c>
      <c r="H1814" s="3">
        <f t="shared" si="85"/>
        <v>0</v>
      </c>
      <c r="I1814" s="3">
        <f t="shared" si="86"/>
        <v>0</v>
      </c>
    </row>
    <row r="1815" spans="4:9" x14ac:dyDescent="0.35">
      <c r="D1815" s="2"/>
      <c r="E1815" s="2"/>
      <c r="F1815" s="3"/>
      <c r="G1815" s="3">
        <f t="shared" si="84"/>
        <v>0</v>
      </c>
      <c r="H1815" s="3">
        <f t="shared" si="85"/>
        <v>0</v>
      </c>
      <c r="I1815" s="3">
        <f t="shared" si="86"/>
        <v>0</v>
      </c>
    </row>
    <row r="1816" spans="4:9" x14ac:dyDescent="0.35">
      <c r="D1816" s="2"/>
      <c r="E1816" s="2"/>
      <c r="F1816" s="3"/>
      <c r="G1816" s="3">
        <f t="shared" si="84"/>
        <v>0</v>
      </c>
      <c r="H1816" s="3">
        <f t="shared" si="85"/>
        <v>0</v>
      </c>
      <c r="I1816" s="3">
        <f t="shared" si="86"/>
        <v>0</v>
      </c>
    </row>
    <row r="1817" spans="4:9" x14ac:dyDescent="0.35">
      <c r="D1817" s="2"/>
      <c r="E1817" s="2"/>
      <c r="F1817" s="3"/>
      <c r="G1817" s="3">
        <f t="shared" si="84"/>
        <v>0</v>
      </c>
      <c r="H1817" s="3">
        <f t="shared" si="85"/>
        <v>0</v>
      </c>
      <c r="I1817" s="3">
        <f t="shared" si="86"/>
        <v>0</v>
      </c>
    </row>
    <row r="1818" spans="4:9" x14ac:dyDescent="0.35">
      <c r="D1818" s="2"/>
      <c r="E1818" s="2"/>
      <c r="F1818" s="3"/>
      <c r="G1818" s="3">
        <f t="shared" si="84"/>
        <v>0</v>
      </c>
      <c r="H1818" s="3">
        <f t="shared" si="85"/>
        <v>0</v>
      </c>
      <c r="I1818" s="3">
        <f t="shared" si="86"/>
        <v>0</v>
      </c>
    </row>
    <row r="1819" spans="4:9" x14ac:dyDescent="0.35">
      <c r="D1819" s="2"/>
      <c r="E1819" s="2"/>
      <c r="F1819" s="3"/>
      <c r="G1819" s="3">
        <f t="shared" si="84"/>
        <v>0</v>
      </c>
      <c r="H1819" s="3">
        <f t="shared" si="85"/>
        <v>0</v>
      </c>
      <c r="I1819" s="3">
        <f t="shared" si="86"/>
        <v>0</v>
      </c>
    </row>
    <row r="1820" spans="4:9" x14ac:dyDescent="0.35">
      <c r="D1820" s="2"/>
      <c r="E1820" s="2"/>
      <c r="F1820" s="3"/>
      <c r="G1820" s="3">
        <f t="shared" si="84"/>
        <v>0</v>
      </c>
      <c r="H1820" s="3">
        <f t="shared" si="85"/>
        <v>0</v>
      </c>
      <c r="I1820" s="3">
        <f t="shared" si="86"/>
        <v>0</v>
      </c>
    </row>
    <row r="1821" spans="4:9" x14ac:dyDescent="0.35">
      <c r="D1821" s="2"/>
      <c r="E1821" s="2"/>
      <c r="F1821" s="3"/>
      <c r="G1821" s="3">
        <f t="shared" si="84"/>
        <v>0</v>
      </c>
      <c r="H1821" s="3">
        <f t="shared" si="85"/>
        <v>0</v>
      </c>
      <c r="I1821" s="3">
        <f t="shared" si="86"/>
        <v>0</v>
      </c>
    </row>
    <row r="1822" spans="4:9" x14ac:dyDescent="0.35">
      <c r="D1822" s="2"/>
      <c r="E1822" s="2"/>
      <c r="F1822" s="3"/>
      <c r="G1822" s="3">
        <f t="shared" si="84"/>
        <v>0</v>
      </c>
      <c r="H1822" s="3">
        <f t="shared" si="85"/>
        <v>0</v>
      </c>
      <c r="I1822" s="3">
        <f t="shared" si="86"/>
        <v>0</v>
      </c>
    </row>
    <row r="1823" spans="4:9" x14ac:dyDescent="0.35">
      <c r="D1823" s="2"/>
      <c r="E1823" s="2"/>
      <c r="F1823" s="3"/>
      <c r="G1823" s="3">
        <f t="shared" si="84"/>
        <v>0</v>
      </c>
      <c r="H1823" s="3">
        <f t="shared" si="85"/>
        <v>0</v>
      </c>
      <c r="I1823" s="3">
        <f t="shared" si="86"/>
        <v>0</v>
      </c>
    </row>
    <row r="1824" spans="4:9" x14ac:dyDescent="0.35">
      <c r="D1824" s="2"/>
      <c r="E1824" s="2"/>
      <c r="F1824" s="3"/>
      <c r="G1824" s="3">
        <f t="shared" si="84"/>
        <v>0</v>
      </c>
      <c r="H1824" s="3">
        <f t="shared" si="85"/>
        <v>0</v>
      </c>
      <c r="I1824" s="3">
        <f t="shared" si="86"/>
        <v>0</v>
      </c>
    </row>
    <row r="1825" spans="4:9" x14ac:dyDescent="0.35">
      <c r="D1825" s="2"/>
      <c r="E1825" s="2"/>
      <c r="F1825" s="3"/>
      <c r="G1825" s="3">
        <f t="shared" si="84"/>
        <v>0</v>
      </c>
      <c r="H1825" s="3">
        <f t="shared" si="85"/>
        <v>0</v>
      </c>
      <c r="I1825" s="3">
        <f t="shared" si="86"/>
        <v>0</v>
      </c>
    </row>
    <row r="1826" spans="4:9" x14ac:dyDescent="0.35">
      <c r="D1826" s="2"/>
      <c r="E1826" s="2"/>
      <c r="F1826" s="3"/>
      <c r="G1826" s="3">
        <f t="shared" si="84"/>
        <v>0</v>
      </c>
      <c r="H1826" s="3">
        <f t="shared" si="85"/>
        <v>0</v>
      </c>
      <c r="I1826" s="3">
        <f t="shared" si="86"/>
        <v>0</v>
      </c>
    </row>
    <row r="1827" spans="4:9" x14ac:dyDescent="0.35">
      <c r="D1827" s="2"/>
      <c r="E1827" s="2"/>
      <c r="F1827" s="3"/>
      <c r="G1827" s="3">
        <f t="shared" si="84"/>
        <v>0</v>
      </c>
      <c r="H1827" s="3">
        <f t="shared" si="85"/>
        <v>0</v>
      </c>
      <c r="I1827" s="3">
        <f t="shared" si="86"/>
        <v>0</v>
      </c>
    </row>
    <row r="1828" spans="4:9" x14ac:dyDescent="0.35">
      <c r="D1828" s="2"/>
      <c r="E1828" s="2"/>
      <c r="F1828" s="3"/>
      <c r="G1828" s="3">
        <f t="shared" si="84"/>
        <v>0</v>
      </c>
      <c r="H1828" s="3">
        <f t="shared" si="85"/>
        <v>0</v>
      </c>
      <c r="I1828" s="3">
        <f t="shared" si="86"/>
        <v>0</v>
      </c>
    </row>
    <row r="1829" spans="4:9" x14ac:dyDescent="0.35">
      <c r="D1829" s="2"/>
      <c r="E1829" s="2"/>
      <c r="F1829" s="3"/>
      <c r="G1829" s="3">
        <f t="shared" si="84"/>
        <v>0</v>
      </c>
      <c r="H1829" s="3">
        <f t="shared" si="85"/>
        <v>0</v>
      </c>
      <c r="I1829" s="3">
        <f t="shared" si="86"/>
        <v>0</v>
      </c>
    </row>
    <row r="1830" spans="4:9" x14ac:dyDescent="0.35">
      <c r="D1830" s="2"/>
      <c r="E1830" s="2"/>
      <c r="F1830" s="3"/>
      <c r="G1830" s="3">
        <f t="shared" si="84"/>
        <v>0</v>
      </c>
      <c r="H1830" s="3">
        <f t="shared" si="85"/>
        <v>0</v>
      </c>
      <c r="I1830" s="3">
        <f t="shared" si="86"/>
        <v>0</v>
      </c>
    </row>
    <row r="1831" spans="4:9" x14ac:dyDescent="0.35">
      <c r="D1831" s="2"/>
      <c r="E1831" s="2"/>
      <c r="F1831" s="3"/>
      <c r="G1831" s="3">
        <f t="shared" si="84"/>
        <v>0</v>
      </c>
      <c r="H1831" s="3">
        <f t="shared" si="85"/>
        <v>0</v>
      </c>
      <c r="I1831" s="3">
        <f t="shared" si="86"/>
        <v>0</v>
      </c>
    </row>
    <row r="1832" spans="4:9" x14ac:dyDescent="0.35">
      <c r="D1832" s="2"/>
      <c r="E1832" s="2"/>
      <c r="F1832" s="3"/>
      <c r="G1832" s="3">
        <f t="shared" si="84"/>
        <v>0</v>
      </c>
      <c r="H1832" s="3">
        <f t="shared" si="85"/>
        <v>0</v>
      </c>
      <c r="I1832" s="3">
        <f t="shared" si="86"/>
        <v>0</v>
      </c>
    </row>
    <row r="1833" spans="4:9" x14ac:dyDescent="0.35">
      <c r="D1833" s="2"/>
      <c r="E1833" s="2"/>
      <c r="F1833" s="3"/>
      <c r="G1833" s="3">
        <f t="shared" si="84"/>
        <v>0</v>
      </c>
      <c r="H1833" s="3">
        <f t="shared" si="85"/>
        <v>0</v>
      </c>
      <c r="I1833" s="3">
        <f t="shared" si="86"/>
        <v>0</v>
      </c>
    </row>
    <row r="1834" spans="4:9" x14ac:dyDescent="0.35">
      <c r="D1834" s="2"/>
      <c r="E1834" s="2"/>
      <c r="F1834" s="3"/>
      <c r="G1834" s="3">
        <f t="shared" si="84"/>
        <v>0</v>
      </c>
      <c r="H1834" s="3">
        <f t="shared" si="85"/>
        <v>0</v>
      </c>
      <c r="I1834" s="3">
        <f t="shared" si="86"/>
        <v>0</v>
      </c>
    </row>
    <row r="1835" spans="4:9" x14ac:dyDescent="0.35">
      <c r="D1835" s="2"/>
      <c r="E1835" s="2"/>
      <c r="F1835" s="3"/>
      <c r="G1835" s="3">
        <f t="shared" si="84"/>
        <v>0</v>
      </c>
      <c r="H1835" s="3">
        <f t="shared" si="85"/>
        <v>0</v>
      </c>
      <c r="I1835" s="3">
        <f t="shared" si="86"/>
        <v>0</v>
      </c>
    </row>
    <row r="1836" spans="4:9" x14ac:dyDescent="0.35">
      <c r="D1836" s="2"/>
      <c r="E1836" s="2"/>
      <c r="F1836" s="3"/>
      <c r="G1836" s="3">
        <f t="shared" si="84"/>
        <v>0</v>
      </c>
      <c r="H1836" s="3">
        <f t="shared" si="85"/>
        <v>0</v>
      </c>
      <c r="I1836" s="3">
        <f t="shared" si="86"/>
        <v>0</v>
      </c>
    </row>
    <row r="1837" spans="4:9" x14ac:dyDescent="0.35">
      <c r="D1837" s="2"/>
      <c r="E1837" s="2"/>
      <c r="F1837" s="3"/>
      <c r="G1837" s="3">
        <f t="shared" si="84"/>
        <v>0</v>
      </c>
      <c r="H1837" s="3">
        <f t="shared" si="85"/>
        <v>0</v>
      </c>
      <c r="I1837" s="3">
        <f t="shared" si="86"/>
        <v>0</v>
      </c>
    </row>
    <row r="1838" spans="4:9" x14ac:dyDescent="0.35">
      <c r="D1838" s="2"/>
      <c r="E1838" s="2"/>
      <c r="F1838" s="3"/>
      <c r="G1838" s="3">
        <f t="shared" si="84"/>
        <v>0</v>
      </c>
      <c r="H1838" s="3">
        <f t="shared" si="85"/>
        <v>0</v>
      </c>
      <c r="I1838" s="3">
        <f t="shared" si="86"/>
        <v>0</v>
      </c>
    </row>
    <row r="1839" spans="4:9" x14ac:dyDescent="0.35">
      <c r="D1839" s="2"/>
      <c r="E1839" s="2"/>
      <c r="F1839" s="3"/>
      <c r="G1839" s="3">
        <f t="shared" si="84"/>
        <v>0</v>
      </c>
      <c r="H1839" s="3">
        <f t="shared" si="85"/>
        <v>0</v>
      </c>
      <c r="I1839" s="3">
        <f t="shared" si="86"/>
        <v>0</v>
      </c>
    </row>
    <row r="1840" spans="4:9" x14ac:dyDescent="0.35">
      <c r="D1840" s="2"/>
      <c r="E1840" s="2"/>
      <c r="F1840" s="3"/>
      <c r="G1840" s="3">
        <f t="shared" si="84"/>
        <v>0</v>
      </c>
      <c r="H1840" s="3">
        <f t="shared" si="85"/>
        <v>0</v>
      </c>
      <c r="I1840" s="3">
        <f t="shared" si="86"/>
        <v>0</v>
      </c>
    </row>
    <row r="1841" spans="4:9" x14ac:dyDescent="0.35">
      <c r="D1841" s="2"/>
      <c r="E1841" s="2"/>
      <c r="F1841" s="3"/>
      <c r="G1841" s="3">
        <f t="shared" si="84"/>
        <v>0</v>
      </c>
      <c r="H1841" s="3">
        <f t="shared" si="85"/>
        <v>0</v>
      </c>
      <c r="I1841" s="3">
        <f t="shared" si="86"/>
        <v>0</v>
      </c>
    </row>
    <row r="1842" spans="4:9" x14ac:dyDescent="0.35">
      <c r="D1842" s="2"/>
      <c r="E1842" s="2"/>
      <c r="F1842" s="3"/>
      <c r="G1842" s="3">
        <f t="shared" si="84"/>
        <v>0</v>
      </c>
      <c r="H1842" s="3">
        <f t="shared" si="85"/>
        <v>0</v>
      </c>
      <c r="I1842" s="3">
        <f t="shared" si="86"/>
        <v>0</v>
      </c>
    </row>
    <row r="1843" spans="4:9" x14ac:dyDescent="0.35">
      <c r="D1843" s="2"/>
      <c r="E1843" s="2"/>
      <c r="F1843" s="3"/>
      <c r="G1843" s="3">
        <f t="shared" si="84"/>
        <v>0</v>
      </c>
      <c r="H1843" s="3">
        <f t="shared" si="85"/>
        <v>0</v>
      </c>
      <c r="I1843" s="3">
        <f t="shared" si="86"/>
        <v>0</v>
      </c>
    </row>
    <row r="1844" spans="4:9" x14ac:dyDescent="0.35">
      <c r="D1844" s="2"/>
      <c r="E1844" s="2"/>
      <c r="F1844" s="3"/>
      <c r="G1844" s="3">
        <f t="shared" si="84"/>
        <v>0</v>
      </c>
      <c r="H1844" s="3">
        <f t="shared" si="85"/>
        <v>0</v>
      </c>
      <c r="I1844" s="3">
        <f t="shared" si="86"/>
        <v>0</v>
      </c>
    </row>
    <row r="1845" spans="4:9" x14ac:dyDescent="0.35">
      <c r="D1845" s="2"/>
      <c r="E1845" s="2"/>
      <c r="F1845" s="3"/>
      <c r="G1845" s="3">
        <f t="shared" si="84"/>
        <v>0</v>
      </c>
      <c r="H1845" s="3">
        <f t="shared" si="85"/>
        <v>0</v>
      </c>
      <c r="I1845" s="3">
        <f t="shared" si="86"/>
        <v>0</v>
      </c>
    </row>
    <row r="1846" spans="4:9" x14ac:dyDescent="0.35">
      <c r="D1846" s="2"/>
      <c r="E1846" s="2"/>
      <c r="F1846" s="3"/>
      <c r="G1846" s="3">
        <f t="shared" si="84"/>
        <v>0</v>
      </c>
      <c r="H1846" s="3">
        <f t="shared" si="85"/>
        <v>0</v>
      </c>
      <c r="I1846" s="3">
        <f t="shared" si="86"/>
        <v>0</v>
      </c>
    </row>
    <row r="1847" spans="4:9" x14ac:dyDescent="0.35">
      <c r="D1847" s="2"/>
      <c r="E1847" s="2"/>
      <c r="F1847" s="3"/>
      <c r="G1847" s="3">
        <f t="shared" si="84"/>
        <v>0</v>
      </c>
      <c r="H1847" s="3">
        <f t="shared" si="85"/>
        <v>0</v>
      </c>
      <c r="I1847" s="3">
        <f t="shared" si="86"/>
        <v>0</v>
      </c>
    </row>
    <row r="1848" spans="4:9" x14ac:dyDescent="0.35">
      <c r="D1848" s="2"/>
      <c r="E1848" s="2"/>
      <c r="F1848" s="3"/>
      <c r="G1848" s="3">
        <f t="shared" si="84"/>
        <v>0</v>
      </c>
      <c r="H1848" s="3">
        <f t="shared" si="85"/>
        <v>0</v>
      </c>
      <c r="I1848" s="3">
        <f t="shared" si="86"/>
        <v>0</v>
      </c>
    </row>
    <row r="1849" spans="4:9" x14ac:dyDescent="0.35">
      <c r="D1849" s="2"/>
      <c r="E1849" s="2"/>
      <c r="F1849" s="3"/>
      <c r="G1849" s="3">
        <f t="shared" si="84"/>
        <v>0</v>
      </c>
      <c r="H1849" s="3">
        <f t="shared" si="85"/>
        <v>0</v>
      </c>
      <c r="I1849" s="3">
        <f t="shared" si="86"/>
        <v>0</v>
      </c>
    </row>
    <row r="1850" spans="4:9" x14ac:dyDescent="0.35">
      <c r="D1850" s="2"/>
      <c r="E1850" s="2"/>
      <c r="F1850" s="3"/>
      <c r="G1850" s="3">
        <f t="shared" si="84"/>
        <v>0</v>
      </c>
      <c r="H1850" s="3">
        <f t="shared" si="85"/>
        <v>0</v>
      </c>
      <c r="I1850" s="3">
        <f t="shared" si="86"/>
        <v>0</v>
      </c>
    </row>
    <row r="1851" spans="4:9" x14ac:dyDescent="0.35">
      <c r="D1851" s="2"/>
      <c r="E1851" s="2"/>
      <c r="F1851" s="3"/>
      <c r="G1851" s="3">
        <f t="shared" si="84"/>
        <v>0</v>
      </c>
      <c r="H1851" s="3">
        <f t="shared" si="85"/>
        <v>0</v>
      </c>
      <c r="I1851" s="3">
        <f t="shared" si="86"/>
        <v>0</v>
      </c>
    </row>
    <row r="1852" spans="4:9" x14ac:dyDescent="0.35">
      <c r="D1852" s="2"/>
      <c r="E1852" s="2"/>
      <c r="F1852" s="3"/>
      <c r="G1852" s="3">
        <f t="shared" si="84"/>
        <v>0</v>
      </c>
      <c r="H1852" s="3">
        <f t="shared" si="85"/>
        <v>0</v>
      </c>
      <c r="I1852" s="3">
        <f t="shared" si="86"/>
        <v>0</v>
      </c>
    </row>
    <row r="1853" spans="4:9" x14ac:dyDescent="0.35">
      <c r="D1853" s="2"/>
      <c r="E1853" s="2"/>
      <c r="F1853" s="3"/>
      <c r="G1853" s="3">
        <f t="shared" si="84"/>
        <v>0</v>
      </c>
      <c r="H1853" s="3">
        <f t="shared" si="85"/>
        <v>0</v>
      </c>
      <c r="I1853" s="3">
        <f t="shared" si="86"/>
        <v>0</v>
      </c>
    </row>
    <row r="1854" spans="4:9" x14ac:dyDescent="0.35">
      <c r="D1854" s="2"/>
      <c r="E1854" s="2"/>
      <c r="F1854" s="3"/>
      <c r="G1854" s="3">
        <f t="shared" si="84"/>
        <v>0</v>
      </c>
      <c r="H1854" s="3">
        <f t="shared" si="85"/>
        <v>0</v>
      </c>
      <c r="I1854" s="3">
        <f t="shared" si="86"/>
        <v>0</v>
      </c>
    </row>
    <row r="1855" spans="4:9" x14ac:dyDescent="0.35">
      <c r="D1855" s="2"/>
      <c r="E1855" s="2"/>
      <c r="F1855" s="3"/>
      <c r="G1855" s="3">
        <f t="shared" si="84"/>
        <v>0</v>
      </c>
      <c r="H1855" s="3">
        <f t="shared" si="85"/>
        <v>0</v>
      </c>
      <c r="I1855" s="3">
        <f t="shared" si="86"/>
        <v>0</v>
      </c>
    </row>
    <row r="1856" spans="4:9" x14ac:dyDescent="0.35">
      <c r="D1856" s="2"/>
      <c r="E1856" s="2"/>
      <c r="F1856" s="3"/>
      <c r="G1856" s="3">
        <f t="shared" si="84"/>
        <v>0</v>
      </c>
      <c r="H1856" s="3">
        <f t="shared" si="85"/>
        <v>0</v>
      </c>
      <c r="I1856" s="3">
        <f t="shared" si="86"/>
        <v>0</v>
      </c>
    </row>
    <row r="1857" spans="4:9" x14ac:dyDescent="0.35">
      <c r="D1857" s="2"/>
      <c r="E1857" s="2"/>
      <c r="F1857" s="3"/>
      <c r="G1857" s="3">
        <f t="shared" si="84"/>
        <v>0</v>
      </c>
      <c r="H1857" s="3">
        <f t="shared" si="85"/>
        <v>0</v>
      </c>
      <c r="I1857" s="3">
        <f t="shared" si="86"/>
        <v>0</v>
      </c>
    </row>
    <row r="1858" spans="4:9" x14ac:dyDescent="0.35">
      <c r="D1858" s="2"/>
      <c r="E1858" s="2"/>
      <c r="F1858" s="3"/>
      <c r="G1858" s="3">
        <f t="shared" ref="G1858:G1921" si="87">IF($F1858&gt;0,$E1858/(1-$F1858),0)</f>
        <v>0</v>
      </c>
      <c r="H1858" s="3">
        <f t="shared" ref="H1858:H1921" si="88">IF($D1858&gt;0,$G1858/$D1858,0)</f>
        <v>0</v>
      </c>
      <c r="I1858" s="3">
        <f t="shared" ref="I1858:I1921" si="89">$E1858*1.1</f>
        <v>0</v>
      </c>
    </row>
    <row r="1859" spans="4:9" x14ac:dyDescent="0.35">
      <c r="D1859" s="2"/>
      <c r="E1859" s="2"/>
      <c r="F1859" s="3"/>
      <c r="G1859" s="3">
        <f t="shared" si="87"/>
        <v>0</v>
      </c>
      <c r="H1859" s="3">
        <f t="shared" si="88"/>
        <v>0</v>
      </c>
      <c r="I1859" s="3">
        <f t="shared" si="89"/>
        <v>0</v>
      </c>
    </row>
    <row r="1860" spans="4:9" x14ac:dyDescent="0.35">
      <c r="D1860" s="2"/>
      <c r="E1860" s="2"/>
      <c r="F1860" s="3"/>
      <c r="G1860" s="3">
        <f t="shared" si="87"/>
        <v>0</v>
      </c>
      <c r="H1860" s="3">
        <f t="shared" si="88"/>
        <v>0</v>
      </c>
      <c r="I1860" s="3">
        <f t="shared" si="89"/>
        <v>0</v>
      </c>
    </row>
    <row r="1861" spans="4:9" x14ac:dyDescent="0.35">
      <c r="D1861" s="2"/>
      <c r="E1861" s="2"/>
      <c r="F1861" s="3"/>
      <c r="G1861" s="3">
        <f t="shared" si="87"/>
        <v>0</v>
      </c>
      <c r="H1861" s="3">
        <f t="shared" si="88"/>
        <v>0</v>
      </c>
      <c r="I1861" s="3">
        <f t="shared" si="89"/>
        <v>0</v>
      </c>
    </row>
    <row r="1862" spans="4:9" x14ac:dyDescent="0.35">
      <c r="D1862" s="2"/>
      <c r="E1862" s="2"/>
      <c r="F1862" s="3"/>
      <c r="G1862" s="3">
        <f t="shared" si="87"/>
        <v>0</v>
      </c>
      <c r="H1862" s="3">
        <f t="shared" si="88"/>
        <v>0</v>
      </c>
      <c r="I1862" s="3">
        <f t="shared" si="89"/>
        <v>0</v>
      </c>
    </row>
    <row r="1863" spans="4:9" x14ac:dyDescent="0.35">
      <c r="D1863" s="2"/>
      <c r="E1863" s="2"/>
      <c r="F1863" s="3"/>
      <c r="G1863" s="3">
        <f t="shared" si="87"/>
        <v>0</v>
      </c>
      <c r="H1863" s="3">
        <f t="shared" si="88"/>
        <v>0</v>
      </c>
      <c r="I1863" s="3">
        <f t="shared" si="89"/>
        <v>0</v>
      </c>
    </row>
    <row r="1864" spans="4:9" x14ac:dyDescent="0.35">
      <c r="D1864" s="2"/>
      <c r="E1864" s="2"/>
      <c r="F1864" s="3"/>
      <c r="G1864" s="3">
        <f t="shared" si="87"/>
        <v>0</v>
      </c>
      <c r="H1864" s="3">
        <f t="shared" si="88"/>
        <v>0</v>
      </c>
      <c r="I1864" s="3">
        <f t="shared" si="89"/>
        <v>0</v>
      </c>
    </row>
    <row r="1865" spans="4:9" x14ac:dyDescent="0.35">
      <c r="D1865" s="2"/>
      <c r="E1865" s="2"/>
      <c r="F1865" s="3"/>
      <c r="G1865" s="3">
        <f t="shared" si="87"/>
        <v>0</v>
      </c>
      <c r="H1865" s="3">
        <f t="shared" si="88"/>
        <v>0</v>
      </c>
      <c r="I1865" s="3">
        <f t="shared" si="89"/>
        <v>0</v>
      </c>
    </row>
    <row r="1866" spans="4:9" x14ac:dyDescent="0.35">
      <c r="D1866" s="2"/>
      <c r="E1866" s="2"/>
      <c r="F1866" s="3"/>
      <c r="G1866" s="3">
        <f t="shared" si="87"/>
        <v>0</v>
      </c>
      <c r="H1866" s="3">
        <f t="shared" si="88"/>
        <v>0</v>
      </c>
      <c r="I1866" s="3">
        <f t="shared" si="89"/>
        <v>0</v>
      </c>
    </row>
    <row r="1867" spans="4:9" x14ac:dyDescent="0.35">
      <c r="D1867" s="2"/>
      <c r="E1867" s="2"/>
      <c r="F1867" s="3"/>
      <c r="G1867" s="3">
        <f t="shared" si="87"/>
        <v>0</v>
      </c>
      <c r="H1867" s="3">
        <f t="shared" si="88"/>
        <v>0</v>
      </c>
      <c r="I1867" s="3">
        <f t="shared" si="89"/>
        <v>0</v>
      </c>
    </row>
    <row r="1868" spans="4:9" x14ac:dyDescent="0.35">
      <c r="D1868" s="2"/>
      <c r="E1868" s="2"/>
      <c r="F1868" s="3"/>
      <c r="G1868" s="3">
        <f t="shared" si="87"/>
        <v>0</v>
      </c>
      <c r="H1868" s="3">
        <f t="shared" si="88"/>
        <v>0</v>
      </c>
      <c r="I1868" s="3">
        <f t="shared" si="89"/>
        <v>0</v>
      </c>
    </row>
    <row r="1869" spans="4:9" x14ac:dyDescent="0.35">
      <c r="D1869" s="2"/>
      <c r="E1869" s="2"/>
      <c r="F1869" s="3"/>
      <c r="G1869" s="3">
        <f t="shared" si="87"/>
        <v>0</v>
      </c>
      <c r="H1869" s="3">
        <f t="shared" si="88"/>
        <v>0</v>
      </c>
      <c r="I1869" s="3">
        <f t="shared" si="89"/>
        <v>0</v>
      </c>
    </row>
    <row r="1870" spans="4:9" x14ac:dyDescent="0.35">
      <c r="D1870" s="2"/>
      <c r="E1870" s="2"/>
      <c r="F1870" s="3"/>
      <c r="G1870" s="3">
        <f t="shared" si="87"/>
        <v>0</v>
      </c>
      <c r="H1870" s="3">
        <f t="shared" si="88"/>
        <v>0</v>
      </c>
      <c r="I1870" s="3">
        <f t="shared" si="89"/>
        <v>0</v>
      </c>
    </row>
    <row r="1871" spans="4:9" x14ac:dyDescent="0.35">
      <c r="D1871" s="2"/>
      <c r="E1871" s="2"/>
      <c r="F1871" s="3"/>
      <c r="G1871" s="3">
        <f t="shared" si="87"/>
        <v>0</v>
      </c>
      <c r="H1871" s="3">
        <f t="shared" si="88"/>
        <v>0</v>
      </c>
      <c r="I1871" s="3">
        <f t="shared" si="89"/>
        <v>0</v>
      </c>
    </row>
    <row r="1872" spans="4:9" x14ac:dyDescent="0.35">
      <c r="D1872" s="2"/>
      <c r="E1872" s="2"/>
      <c r="F1872" s="3"/>
      <c r="G1872" s="3">
        <f t="shared" si="87"/>
        <v>0</v>
      </c>
      <c r="H1872" s="3">
        <f t="shared" si="88"/>
        <v>0</v>
      </c>
      <c r="I1872" s="3">
        <f t="shared" si="89"/>
        <v>0</v>
      </c>
    </row>
    <row r="1873" spans="4:9" x14ac:dyDescent="0.35">
      <c r="D1873" s="2"/>
      <c r="E1873" s="2"/>
      <c r="F1873" s="3"/>
      <c r="G1873" s="3">
        <f t="shared" si="87"/>
        <v>0</v>
      </c>
      <c r="H1873" s="3">
        <f t="shared" si="88"/>
        <v>0</v>
      </c>
      <c r="I1873" s="3">
        <f t="shared" si="89"/>
        <v>0</v>
      </c>
    </row>
    <row r="1874" spans="4:9" x14ac:dyDescent="0.35">
      <c r="D1874" s="2"/>
      <c r="E1874" s="2"/>
      <c r="F1874" s="3"/>
      <c r="G1874" s="3">
        <f t="shared" si="87"/>
        <v>0</v>
      </c>
      <c r="H1874" s="3">
        <f t="shared" si="88"/>
        <v>0</v>
      </c>
      <c r="I1874" s="3">
        <f t="shared" si="89"/>
        <v>0</v>
      </c>
    </row>
    <row r="1875" spans="4:9" x14ac:dyDescent="0.35">
      <c r="D1875" s="2"/>
      <c r="E1875" s="2"/>
      <c r="F1875" s="3"/>
      <c r="G1875" s="3">
        <f t="shared" si="87"/>
        <v>0</v>
      </c>
      <c r="H1875" s="3">
        <f t="shared" si="88"/>
        <v>0</v>
      </c>
      <c r="I1875" s="3">
        <f t="shared" si="89"/>
        <v>0</v>
      </c>
    </row>
    <row r="1876" spans="4:9" x14ac:dyDescent="0.35">
      <c r="D1876" s="2"/>
      <c r="E1876" s="2"/>
      <c r="F1876" s="3"/>
      <c r="G1876" s="3">
        <f t="shared" si="87"/>
        <v>0</v>
      </c>
      <c r="H1876" s="3">
        <f t="shared" si="88"/>
        <v>0</v>
      </c>
      <c r="I1876" s="3">
        <f t="shared" si="89"/>
        <v>0</v>
      </c>
    </row>
    <row r="1877" spans="4:9" x14ac:dyDescent="0.35">
      <c r="D1877" s="2"/>
      <c r="E1877" s="2"/>
      <c r="F1877" s="3"/>
      <c r="G1877" s="3">
        <f t="shared" si="87"/>
        <v>0</v>
      </c>
      <c r="H1877" s="3">
        <f t="shared" si="88"/>
        <v>0</v>
      </c>
      <c r="I1877" s="3">
        <f t="shared" si="89"/>
        <v>0</v>
      </c>
    </row>
    <row r="1878" spans="4:9" x14ac:dyDescent="0.35">
      <c r="D1878" s="2"/>
      <c r="E1878" s="2"/>
      <c r="F1878" s="3"/>
      <c r="G1878" s="3">
        <f t="shared" si="87"/>
        <v>0</v>
      </c>
      <c r="H1878" s="3">
        <f t="shared" si="88"/>
        <v>0</v>
      </c>
      <c r="I1878" s="3">
        <f t="shared" si="89"/>
        <v>0</v>
      </c>
    </row>
    <row r="1879" spans="4:9" x14ac:dyDescent="0.35">
      <c r="D1879" s="2"/>
      <c r="E1879" s="2"/>
      <c r="F1879" s="3"/>
      <c r="G1879" s="3">
        <f t="shared" si="87"/>
        <v>0</v>
      </c>
      <c r="H1879" s="3">
        <f t="shared" si="88"/>
        <v>0</v>
      </c>
      <c r="I1879" s="3">
        <f t="shared" si="89"/>
        <v>0</v>
      </c>
    </row>
    <row r="1880" spans="4:9" x14ac:dyDescent="0.35">
      <c r="D1880" s="2"/>
      <c r="E1880" s="2"/>
      <c r="F1880" s="3"/>
      <c r="G1880" s="3">
        <f t="shared" si="87"/>
        <v>0</v>
      </c>
      <c r="H1880" s="3">
        <f t="shared" si="88"/>
        <v>0</v>
      </c>
      <c r="I1880" s="3">
        <f t="shared" si="89"/>
        <v>0</v>
      </c>
    </row>
    <row r="1881" spans="4:9" x14ac:dyDescent="0.35">
      <c r="D1881" s="2"/>
      <c r="E1881" s="2"/>
      <c r="F1881" s="3"/>
      <c r="G1881" s="3">
        <f t="shared" si="87"/>
        <v>0</v>
      </c>
      <c r="H1881" s="3">
        <f t="shared" si="88"/>
        <v>0</v>
      </c>
      <c r="I1881" s="3">
        <f t="shared" si="89"/>
        <v>0</v>
      </c>
    </row>
    <row r="1882" spans="4:9" x14ac:dyDescent="0.35">
      <c r="D1882" s="2"/>
      <c r="E1882" s="2"/>
      <c r="F1882" s="3"/>
      <c r="G1882" s="3">
        <f t="shared" si="87"/>
        <v>0</v>
      </c>
      <c r="H1882" s="3">
        <f t="shared" si="88"/>
        <v>0</v>
      </c>
      <c r="I1882" s="3">
        <f t="shared" si="89"/>
        <v>0</v>
      </c>
    </row>
    <row r="1883" spans="4:9" x14ac:dyDescent="0.35">
      <c r="D1883" s="2"/>
      <c r="E1883" s="2"/>
      <c r="F1883" s="3"/>
      <c r="G1883" s="3">
        <f t="shared" si="87"/>
        <v>0</v>
      </c>
      <c r="H1883" s="3">
        <f t="shared" si="88"/>
        <v>0</v>
      </c>
      <c r="I1883" s="3">
        <f t="shared" si="89"/>
        <v>0</v>
      </c>
    </row>
    <row r="1884" spans="4:9" x14ac:dyDescent="0.35">
      <c r="D1884" s="2"/>
      <c r="E1884" s="2"/>
      <c r="F1884" s="3"/>
      <c r="G1884" s="3">
        <f t="shared" si="87"/>
        <v>0</v>
      </c>
      <c r="H1884" s="3">
        <f t="shared" si="88"/>
        <v>0</v>
      </c>
      <c r="I1884" s="3">
        <f t="shared" si="89"/>
        <v>0</v>
      </c>
    </row>
    <row r="1885" spans="4:9" x14ac:dyDescent="0.35">
      <c r="D1885" s="2"/>
      <c r="E1885" s="2"/>
      <c r="F1885" s="3"/>
      <c r="G1885" s="3">
        <f t="shared" si="87"/>
        <v>0</v>
      </c>
      <c r="H1885" s="3">
        <f t="shared" si="88"/>
        <v>0</v>
      </c>
      <c r="I1885" s="3">
        <f t="shared" si="89"/>
        <v>0</v>
      </c>
    </row>
    <row r="1886" spans="4:9" x14ac:dyDescent="0.35">
      <c r="D1886" s="2"/>
      <c r="E1886" s="2"/>
      <c r="F1886" s="3"/>
      <c r="G1886" s="3">
        <f t="shared" si="87"/>
        <v>0</v>
      </c>
      <c r="H1886" s="3">
        <f t="shared" si="88"/>
        <v>0</v>
      </c>
      <c r="I1886" s="3">
        <f t="shared" si="89"/>
        <v>0</v>
      </c>
    </row>
    <row r="1887" spans="4:9" x14ac:dyDescent="0.35">
      <c r="D1887" s="2"/>
      <c r="E1887" s="2"/>
      <c r="F1887" s="3"/>
      <c r="G1887" s="3">
        <f t="shared" si="87"/>
        <v>0</v>
      </c>
      <c r="H1887" s="3">
        <f t="shared" si="88"/>
        <v>0</v>
      </c>
      <c r="I1887" s="3">
        <f t="shared" si="89"/>
        <v>0</v>
      </c>
    </row>
    <row r="1888" spans="4:9" x14ac:dyDescent="0.35">
      <c r="D1888" s="2"/>
      <c r="E1888" s="2"/>
      <c r="F1888" s="3"/>
      <c r="G1888" s="3">
        <f t="shared" si="87"/>
        <v>0</v>
      </c>
      <c r="H1888" s="3">
        <f t="shared" si="88"/>
        <v>0</v>
      </c>
      <c r="I1888" s="3">
        <f t="shared" si="89"/>
        <v>0</v>
      </c>
    </row>
    <row r="1889" spans="4:9" x14ac:dyDescent="0.35">
      <c r="D1889" s="2"/>
      <c r="E1889" s="2"/>
      <c r="F1889" s="3"/>
      <c r="G1889" s="3">
        <f t="shared" si="87"/>
        <v>0</v>
      </c>
      <c r="H1889" s="3">
        <f t="shared" si="88"/>
        <v>0</v>
      </c>
      <c r="I1889" s="3">
        <f t="shared" si="89"/>
        <v>0</v>
      </c>
    </row>
    <row r="1890" spans="4:9" x14ac:dyDescent="0.35">
      <c r="D1890" s="2"/>
      <c r="E1890" s="2"/>
      <c r="F1890" s="3"/>
      <c r="G1890" s="3">
        <f t="shared" si="87"/>
        <v>0</v>
      </c>
      <c r="H1890" s="3">
        <f t="shared" si="88"/>
        <v>0</v>
      </c>
      <c r="I1890" s="3">
        <f t="shared" si="89"/>
        <v>0</v>
      </c>
    </row>
    <row r="1891" spans="4:9" x14ac:dyDescent="0.35">
      <c r="D1891" s="2"/>
      <c r="E1891" s="2"/>
      <c r="F1891" s="3"/>
      <c r="G1891" s="3">
        <f t="shared" si="87"/>
        <v>0</v>
      </c>
      <c r="H1891" s="3">
        <f t="shared" si="88"/>
        <v>0</v>
      </c>
      <c r="I1891" s="3">
        <f t="shared" si="89"/>
        <v>0</v>
      </c>
    </row>
    <row r="1892" spans="4:9" x14ac:dyDescent="0.35">
      <c r="D1892" s="2"/>
      <c r="E1892" s="2"/>
      <c r="F1892" s="3"/>
      <c r="G1892" s="3">
        <f t="shared" si="87"/>
        <v>0</v>
      </c>
      <c r="H1892" s="3">
        <f t="shared" si="88"/>
        <v>0</v>
      </c>
      <c r="I1892" s="3">
        <f t="shared" si="89"/>
        <v>0</v>
      </c>
    </row>
    <row r="1893" spans="4:9" x14ac:dyDescent="0.35">
      <c r="D1893" s="2"/>
      <c r="E1893" s="2"/>
      <c r="F1893" s="3"/>
      <c r="G1893" s="3">
        <f t="shared" si="87"/>
        <v>0</v>
      </c>
      <c r="H1893" s="3">
        <f t="shared" si="88"/>
        <v>0</v>
      </c>
      <c r="I1893" s="3">
        <f t="shared" si="89"/>
        <v>0</v>
      </c>
    </row>
    <row r="1894" spans="4:9" x14ac:dyDescent="0.35">
      <c r="D1894" s="2"/>
      <c r="E1894" s="2"/>
      <c r="F1894" s="3"/>
      <c r="G1894" s="3">
        <f t="shared" si="87"/>
        <v>0</v>
      </c>
      <c r="H1894" s="3">
        <f t="shared" si="88"/>
        <v>0</v>
      </c>
      <c r="I1894" s="3">
        <f t="shared" si="89"/>
        <v>0</v>
      </c>
    </row>
    <row r="1895" spans="4:9" x14ac:dyDescent="0.35">
      <c r="D1895" s="2"/>
      <c r="E1895" s="2"/>
      <c r="F1895" s="3"/>
      <c r="G1895" s="3">
        <f t="shared" si="87"/>
        <v>0</v>
      </c>
      <c r="H1895" s="3">
        <f t="shared" si="88"/>
        <v>0</v>
      </c>
      <c r="I1895" s="3">
        <f t="shared" si="89"/>
        <v>0</v>
      </c>
    </row>
    <row r="1896" spans="4:9" x14ac:dyDescent="0.35">
      <c r="D1896" s="2"/>
      <c r="E1896" s="2"/>
      <c r="F1896" s="3"/>
      <c r="G1896" s="3">
        <f t="shared" si="87"/>
        <v>0</v>
      </c>
      <c r="H1896" s="3">
        <f t="shared" si="88"/>
        <v>0</v>
      </c>
      <c r="I1896" s="3">
        <f t="shared" si="89"/>
        <v>0</v>
      </c>
    </row>
    <row r="1897" spans="4:9" x14ac:dyDescent="0.35">
      <c r="D1897" s="2"/>
      <c r="E1897" s="2"/>
      <c r="F1897" s="3"/>
      <c r="G1897" s="3">
        <f t="shared" si="87"/>
        <v>0</v>
      </c>
      <c r="H1897" s="3">
        <f t="shared" si="88"/>
        <v>0</v>
      </c>
      <c r="I1897" s="3">
        <f t="shared" si="89"/>
        <v>0</v>
      </c>
    </row>
    <row r="1898" spans="4:9" x14ac:dyDescent="0.35">
      <c r="D1898" s="2"/>
      <c r="E1898" s="2"/>
      <c r="F1898" s="3"/>
      <c r="G1898" s="3">
        <f t="shared" si="87"/>
        <v>0</v>
      </c>
      <c r="H1898" s="3">
        <f t="shared" si="88"/>
        <v>0</v>
      </c>
      <c r="I1898" s="3">
        <f t="shared" si="89"/>
        <v>0</v>
      </c>
    </row>
    <row r="1899" spans="4:9" x14ac:dyDescent="0.35">
      <c r="D1899" s="2"/>
      <c r="E1899" s="2"/>
      <c r="F1899" s="3"/>
      <c r="G1899" s="3">
        <f t="shared" si="87"/>
        <v>0</v>
      </c>
      <c r="H1899" s="3">
        <f t="shared" si="88"/>
        <v>0</v>
      </c>
      <c r="I1899" s="3">
        <f t="shared" si="89"/>
        <v>0</v>
      </c>
    </row>
    <row r="1900" spans="4:9" x14ac:dyDescent="0.35">
      <c r="D1900" s="2"/>
      <c r="E1900" s="2"/>
      <c r="F1900" s="3"/>
      <c r="G1900" s="3">
        <f t="shared" si="87"/>
        <v>0</v>
      </c>
      <c r="H1900" s="3">
        <f t="shared" si="88"/>
        <v>0</v>
      </c>
      <c r="I1900" s="3">
        <f t="shared" si="89"/>
        <v>0</v>
      </c>
    </row>
    <row r="1901" spans="4:9" x14ac:dyDescent="0.35">
      <c r="D1901" s="2"/>
      <c r="E1901" s="2"/>
      <c r="F1901" s="3"/>
      <c r="G1901" s="3">
        <f t="shared" si="87"/>
        <v>0</v>
      </c>
      <c r="H1901" s="3">
        <f t="shared" si="88"/>
        <v>0</v>
      </c>
      <c r="I1901" s="3">
        <f t="shared" si="89"/>
        <v>0</v>
      </c>
    </row>
    <row r="1902" spans="4:9" x14ac:dyDescent="0.35">
      <c r="D1902" s="2"/>
      <c r="E1902" s="2"/>
      <c r="F1902" s="3"/>
      <c r="G1902" s="3">
        <f t="shared" si="87"/>
        <v>0</v>
      </c>
      <c r="H1902" s="3">
        <f t="shared" si="88"/>
        <v>0</v>
      </c>
      <c r="I1902" s="3">
        <f t="shared" si="89"/>
        <v>0</v>
      </c>
    </row>
    <row r="1903" spans="4:9" x14ac:dyDescent="0.35">
      <c r="D1903" s="2"/>
      <c r="E1903" s="2"/>
      <c r="F1903" s="3"/>
      <c r="G1903" s="3">
        <f t="shared" si="87"/>
        <v>0</v>
      </c>
      <c r="H1903" s="3">
        <f t="shared" si="88"/>
        <v>0</v>
      </c>
      <c r="I1903" s="3">
        <f t="shared" si="89"/>
        <v>0</v>
      </c>
    </row>
    <row r="1904" spans="4:9" x14ac:dyDescent="0.35">
      <c r="D1904" s="2"/>
      <c r="E1904" s="2"/>
      <c r="F1904" s="3"/>
      <c r="G1904" s="3">
        <f t="shared" si="87"/>
        <v>0</v>
      </c>
      <c r="H1904" s="3">
        <f t="shared" si="88"/>
        <v>0</v>
      </c>
      <c r="I1904" s="3">
        <f t="shared" si="89"/>
        <v>0</v>
      </c>
    </row>
    <row r="1905" spans="4:9" x14ac:dyDescent="0.35">
      <c r="D1905" s="2"/>
      <c r="E1905" s="2"/>
      <c r="F1905" s="3"/>
      <c r="G1905" s="3">
        <f t="shared" si="87"/>
        <v>0</v>
      </c>
      <c r="H1905" s="3">
        <f t="shared" si="88"/>
        <v>0</v>
      </c>
      <c r="I1905" s="3">
        <f t="shared" si="89"/>
        <v>0</v>
      </c>
    </row>
    <row r="1906" spans="4:9" x14ac:dyDescent="0.35">
      <c r="D1906" s="2"/>
      <c r="E1906" s="2"/>
      <c r="F1906" s="3"/>
      <c r="G1906" s="3">
        <f t="shared" si="87"/>
        <v>0</v>
      </c>
      <c r="H1906" s="3">
        <f t="shared" si="88"/>
        <v>0</v>
      </c>
      <c r="I1906" s="3">
        <f t="shared" si="89"/>
        <v>0</v>
      </c>
    </row>
    <row r="1907" spans="4:9" x14ac:dyDescent="0.35">
      <c r="D1907" s="2"/>
      <c r="E1907" s="2"/>
      <c r="F1907" s="3"/>
      <c r="G1907" s="3">
        <f t="shared" si="87"/>
        <v>0</v>
      </c>
      <c r="H1907" s="3">
        <f t="shared" si="88"/>
        <v>0</v>
      </c>
      <c r="I1907" s="3">
        <f t="shared" si="89"/>
        <v>0</v>
      </c>
    </row>
    <row r="1908" spans="4:9" x14ac:dyDescent="0.35">
      <c r="D1908" s="2"/>
      <c r="E1908" s="2"/>
      <c r="F1908" s="3"/>
      <c r="G1908" s="3">
        <f t="shared" si="87"/>
        <v>0</v>
      </c>
      <c r="H1908" s="3">
        <f t="shared" si="88"/>
        <v>0</v>
      </c>
      <c r="I1908" s="3">
        <f t="shared" si="89"/>
        <v>0</v>
      </c>
    </row>
    <row r="1909" spans="4:9" x14ac:dyDescent="0.35">
      <c r="D1909" s="2"/>
      <c r="E1909" s="2"/>
      <c r="F1909" s="3"/>
      <c r="G1909" s="3">
        <f t="shared" si="87"/>
        <v>0</v>
      </c>
      <c r="H1909" s="3">
        <f t="shared" si="88"/>
        <v>0</v>
      </c>
      <c r="I1909" s="3">
        <f t="shared" si="89"/>
        <v>0</v>
      </c>
    </row>
    <row r="1910" spans="4:9" x14ac:dyDescent="0.35">
      <c r="D1910" s="2"/>
      <c r="E1910" s="2"/>
      <c r="F1910" s="3"/>
      <c r="G1910" s="3">
        <f t="shared" si="87"/>
        <v>0</v>
      </c>
      <c r="H1910" s="3">
        <f t="shared" si="88"/>
        <v>0</v>
      </c>
      <c r="I1910" s="3">
        <f t="shared" si="89"/>
        <v>0</v>
      </c>
    </row>
    <row r="1911" spans="4:9" x14ac:dyDescent="0.35">
      <c r="D1911" s="2"/>
      <c r="E1911" s="2"/>
      <c r="F1911" s="3"/>
      <c r="G1911" s="3">
        <f t="shared" si="87"/>
        <v>0</v>
      </c>
      <c r="H1911" s="3">
        <f t="shared" si="88"/>
        <v>0</v>
      </c>
      <c r="I1911" s="3">
        <f t="shared" si="89"/>
        <v>0</v>
      </c>
    </row>
    <row r="1912" spans="4:9" x14ac:dyDescent="0.35">
      <c r="D1912" s="2"/>
      <c r="E1912" s="2"/>
      <c r="F1912" s="3"/>
      <c r="G1912" s="3">
        <f t="shared" si="87"/>
        <v>0</v>
      </c>
      <c r="H1912" s="3">
        <f t="shared" si="88"/>
        <v>0</v>
      </c>
      <c r="I1912" s="3">
        <f t="shared" si="89"/>
        <v>0</v>
      </c>
    </row>
    <row r="1913" spans="4:9" x14ac:dyDescent="0.35">
      <c r="D1913" s="2"/>
      <c r="E1913" s="2"/>
      <c r="F1913" s="3"/>
      <c r="G1913" s="3">
        <f t="shared" si="87"/>
        <v>0</v>
      </c>
      <c r="H1913" s="3">
        <f t="shared" si="88"/>
        <v>0</v>
      </c>
      <c r="I1913" s="3">
        <f t="shared" si="89"/>
        <v>0</v>
      </c>
    </row>
    <row r="1914" spans="4:9" x14ac:dyDescent="0.35">
      <c r="D1914" s="2"/>
      <c r="E1914" s="2"/>
      <c r="F1914" s="3"/>
      <c r="G1914" s="3">
        <f t="shared" si="87"/>
        <v>0</v>
      </c>
      <c r="H1914" s="3">
        <f t="shared" si="88"/>
        <v>0</v>
      </c>
      <c r="I1914" s="3">
        <f t="shared" si="89"/>
        <v>0</v>
      </c>
    </row>
    <row r="1915" spans="4:9" x14ac:dyDescent="0.35">
      <c r="D1915" s="2"/>
      <c r="E1915" s="2"/>
      <c r="F1915" s="3"/>
      <c r="G1915" s="3">
        <f t="shared" si="87"/>
        <v>0</v>
      </c>
      <c r="H1915" s="3">
        <f t="shared" si="88"/>
        <v>0</v>
      </c>
      <c r="I1915" s="3">
        <f t="shared" si="89"/>
        <v>0</v>
      </c>
    </row>
    <row r="1916" spans="4:9" x14ac:dyDescent="0.35">
      <c r="D1916" s="2"/>
      <c r="E1916" s="2"/>
      <c r="F1916" s="3"/>
      <c r="G1916" s="3">
        <f t="shared" si="87"/>
        <v>0</v>
      </c>
      <c r="H1916" s="3">
        <f t="shared" si="88"/>
        <v>0</v>
      </c>
      <c r="I1916" s="3">
        <f t="shared" si="89"/>
        <v>0</v>
      </c>
    </row>
    <row r="1917" spans="4:9" x14ac:dyDescent="0.35">
      <c r="D1917" s="2"/>
      <c r="E1917" s="2"/>
      <c r="F1917" s="3"/>
      <c r="G1917" s="3">
        <f t="shared" si="87"/>
        <v>0</v>
      </c>
      <c r="H1917" s="3">
        <f t="shared" si="88"/>
        <v>0</v>
      </c>
      <c r="I1917" s="3">
        <f t="shared" si="89"/>
        <v>0</v>
      </c>
    </row>
    <row r="1918" spans="4:9" x14ac:dyDescent="0.35">
      <c r="D1918" s="2"/>
      <c r="E1918" s="2"/>
      <c r="F1918" s="3"/>
      <c r="G1918" s="3">
        <f t="shared" si="87"/>
        <v>0</v>
      </c>
      <c r="H1918" s="3">
        <f t="shared" si="88"/>
        <v>0</v>
      </c>
      <c r="I1918" s="3">
        <f t="shared" si="89"/>
        <v>0</v>
      </c>
    </row>
    <row r="1919" spans="4:9" x14ac:dyDescent="0.35">
      <c r="D1919" s="2"/>
      <c r="E1919" s="2"/>
      <c r="F1919" s="3"/>
      <c r="G1919" s="3">
        <f t="shared" si="87"/>
        <v>0</v>
      </c>
      <c r="H1919" s="3">
        <f t="shared" si="88"/>
        <v>0</v>
      </c>
      <c r="I1919" s="3">
        <f t="shared" si="89"/>
        <v>0</v>
      </c>
    </row>
    <row r="1920" spans="4:9" x14ac:dyDescent="0.35">
      <c r="D1920" s="2"/>
      <c r="E1920" s="2"/>
      <c r="F1920" s="3"/>
      <c r="G1920" s="3">
        <f t="shared" si="87"/>
        <v>0</v>
      </c>
      <c r="H1920" s="3">
        <f t="shared" si="88"/>
        <v>0</v>
      </c>
      <c r="I1920" s="3">
        <f t="shared" si="89"/>
        <v>0</v>
      </c>
    </row>
    <row r="1921" spans="4:9" x14ac:dyDescent="0.35">
      <c r="D1921" s="2"/>
      <c r="E1921" s="2"/>
      <c r="F1921" s="3"/>
      <c r="G1921" s="3">
        <f t="shared" si="87"/>
        <v>0</v>
      </c>
      <c r="H1921" s="3">
        <f t="shared" si="88"/>
        <v>0</v>
      </c>
      <c r="I1921" s="3">
        <f t="shared" si="89"/>
        <v>0</v>
      </c>
    </row>
    <row r="1922" spans="4:9" x14ac:dyDescent="0.35">
      <c r="D1922" s="2"/>
      <c r="E1922" s="2"/>
      <c r="F1922" s="3"/>
      <c r="G1922" s="3">
        <f t="shared" ref="G1922:G1985" si="90">IF($F1922&gt;0,$E1922/(1-$F1922),0)</f>
        <v>0</v>
      </c>
      <c r="H1922" s="3">
        <f t="shared" ref="H1922:H1985" si="91">IF($D1922&gt;0,$G1922/$D1922,0)</f>
        <v>0</v>
      </c>
      <c r="I1922" s="3">
        <f t="shared" ref="I1922:I1985" si="92">$E1922*1.1</f>
        <v>0</v>
      </c>
    </row>
    <row r="1923" spans="4:9" x14ac:dyDescent="0.35">
      <c r="D1923" s="2"/>
      <c r="E1923" s="2"/>
      <c r="F1923" s="3"/>
      <c r="G1923" s="3">
        <f t="shared" si="90"/>
        <v>0</v>
      </c>
      <c r="H1923" s="3">
        <f t="shared" si="91"/>
        <v>0</v>
      </c>
      <c r="I1923" s="3">
        <f t="shared" si="92"/>
        <v>0</v>
      </c>
    </row>
    <row r="1924" spans="4:9" x14ac:dyDescent="0.35">
      <c r="D1924" s="2"/>
      <c r="E1924" s="2"/>
      <c r="F1924" s="3"/>
      <c r="G1924" s="3">
        <f t="shared" si="90"/>
        <v>0</v>
      </c>
      <c r="H1924" s="3">
        <f t="shared" si="91"/>
        <v>0</v>
      </c>
      <c r="I1924" s="3">
        <f t="shared" si="92"/>
        <v>0</v>
      </c>
    </row>
    <row r="1925" spans="4:9" x14ac:dyDescent="0.35">
      <c r="D1925" s="2"/>
      <c r="E1925" s="2"/>
      <c r="F1925" s="3"/>
      <c r="G1925" s="3">
        <f t="shared" si="90"/>
        <v>0</v>
      </c>
      <c r="H1925" s="3">
        <f t="shared" si="91"/>
        <v>0</v>
      </c>
      <c r="I1925" s="3">
        <f t="shared" si="92"/>
        <v>0</v>
      </c>
    </row>
    <row r="1926" spans="4:9" x14ac:dyDescent="0.35">
      <c r="D1926" s="2"/>
      <c r="E1926" s="2"/>
      <c r="F1926" s="3"/>
      <c r="G1926" s="3">
        <f t="shared" si="90"/>
        <v>0</v>
      </c>
      <c r="H1926" s="3">
        <f t="shared" si="91"/>
        <v>0</v>
      </c>
      <c r="I1926" s="3">
        <f t="shared" si="92"/>
        <v>0</v>
      </c>
    </row>
    <row r="1927" spans="4:9" x14ac:dyDescent="0.35">
      <c r="D1927" s="2"/>
      <c r="E1927" s="2"/>
      <c r="F1927" s="3"/>
      <c r="G1927" s="3">
        <f t="shared" si="90"/>
        <v>0</v>
      </c>
      <c r="H1927" s="3">
        <f t="shared" si="91"/>
        <v>0</v>
      </c>
      <c r="I1927" s="3">
        <f t="shared" si="92"/>
        <v>0</v>
      </c>
    </row>
    <row r="1928" spans="4:9" x14ac:dyDescent="0.35">
      <c r="D1928" s="2"/>
      <c r="E1928" s="2"/>
      <c r="F1928" s="3"/>
      <c r="G1928" s="3">
        <f t="shared" si="90"/>
        <v>0</v>
      </c>
      <c r="H1928" s="3">
        <f t="shared" si="91"/>
        <v>0</v>
      </c>
      <c r="I1928" s="3">
        <f t="shared" si="92"/>
        <v>0</v>
      </c>
    </row>
    <row r="1929" spans="4:9" x14ac:dyDescent="0.35">
      <c r="D1929" s="2"/>
      <c r="E1929" s="2"/>
      <c r="F1929" s="3"/>
      <c r="G1929" s="3">
        <f t="shared" si="90"/>
        <v>0</v>
      </c>
      <c r="H1929" s="3">
        <f t="shared" si="91"/>
        <v>0</v>
      </c>
      <c r="I1929" s="3">
        <f t="shared" si="92"/>
        <v>0</v>
      </c>
    </row>
    <row r="1930" spans="4:9" x14ac:dyDescent="0.35">
      <c r="D1930" s="2"/>
      <c r="E1930" s="2"/>
      <c r="F1930" s="3"/>
      <c r="G1930" s="3">
        <f t="shared" si="90"/>
        <v>0</v>
      </c>
      <c r="H1930" s="3">
        <f t="shared" si="91"/>
        <v>0</v>
      </c>
      <c r="I1930" s="3">
        <f t="shared" si="92"/>
        <v>0</v>
      </c>
    </row>
    <row r="1931" spans="4:9" x14ac:dyDescent="0.35">
      <c r="D1931" s="2"/>
      <c r="E1931" s="2"/>
      <c r="F1931" s="3"/>
      <c r="G1931" s="3">
        <f t="shared" si="90"/>
        <v>0</v>
      </c>
      <c r="H1931" s="3">
        <f t="shared" si="91"/>
        <v>0</v>
      </c>
      <c r="I1931" s="3">
        <f t="shared" si="92"/>
        <v>0</v>
      </c>
    </row>
    <row r="1932" spans="4:9" x14ac:dyDescent="0.35">
      <c r="D1932" s="2"/>
      <c r="E1932" s="2"/>
      <c r="F1932" s="3"/>
      <c r="G1932" s="3">
        <f t="shared" si="90"/>
        <v>0</v>
      </c>
      <c r="H1932" s="3">
        <f t="shared" si="91"/>
        <v>0</v>
      </c>
      <c r="I1932" s="3">
        <f t="shared" si="92"/>
        <v>0</v>
      </c>
    </row>
    <row r="1933" spans="4:9" x14ac:dyDescent="0.35">
      <c r="D1933" s="2"/>
      <c r="E1933" s="2"/>
      <c r="F1933" s="3"/>
      <c r="G1933" s="3">
        <f t="shared" si="90"/>
        <v>0</v>
      </c>
      <c r="H1933" s="3">
        <f t="shared" si="91"/>
        <v>0</v>
      </c>
      <c r="I1933" s="3">
        <f t="shared" si="92"/>
        <v>0</v>
      </c>
    </row>
    <row r="1934" spans="4:9" x14ac:dyDescent="0.35">
      <c r="D1934" s="2"/>
      <c r="E1934" s="2"/>
      <c r="F1934" s="3"/>
      <c r="G1934" s="3">
        <f t="shared" si="90"/>
        <v>0</v>
      </c>
      <c r="H1934" s="3">
        <f t="shared" si="91"/>
        <v>0</v>
      </c>
      <c r="I1934" s="3">
        <f t="shared" si="92"/>
        <v>0</v>
      </c>
    </row>
    <row r="1935" spans="4:9" x14ac:dyDescent="0.35">
      <c r="D1935" s="2"/>
      <c r="E1935" s="2"/>
      <c r="F1935" s="3"/>
      <c r="G1935" s="3">
        <f t="shared" si="90"/>
        <v>0</v>
      </c>
      <c r="H1935" s="3">
        <f t="shared" si="91"/>
        <v>0</v>
      </c>
      <c r="I1935" s="3">
        <f t="shared" si="92"/>
        <v>0</v>
      </c>
    </row>
    <row r="1936" spans="4:9" x14ac:dyDescent="0.35">
      <c r="D1936" s="2"/>
      <c r="E1936" s="2"/>
      <c r="F1936" s="3"/>
      <c r="G1936" s="3">
        <f t="shared" si="90"/>
        <v>0</v>
      </c>
      <c r="H1936" s="3">
        <f t="shared" si="91"/>
        <v>0</v>
      </c>
      <c r="I1936" s="3">
        <f t="shared" si="92"/>
        <v>0</v>
      </c>
    </row>
    <row r="1937" spans="4:9" x14ac:dyDescent="0.35">
      <c r="D1937" s="2"/>
      <c r="E1937" s="2"/>
      <c r="F1937" s="3"/>
      <c r="G1937" s="3">
        <f t="shared" si="90"/>
        <v>0</v>
      </c>
      <c r="H1937" s="3">
        <f t="shared" si="91"/>
        <v>0</v>
      </c>
      <c r="I1937" s="3">
        <f t="shared" si="92"/>
        <v>0</v>
      </c>
    </row>
    <row r="1938" spans="4:9" x14ac:dyDescent="0.35">
      <c r="D1938" s="2"/>
      <c r="E1938" s="2"/>
      <c r="F1938" s="3"/>
      <c r="G1938" s="3">
        <f t="shared" si="90"/>
        <v>0</v>
      </c>
      <c r="H1938" s="3">
        <f t="shared" si="91"/>
        <v>0</v>
      </c>
      <c r="I1938" s="3">
        <f t="shared" si="92"/>
        <v>0</v>
      </c>
    </row>
    <row r="1939" spans="4:9" x14ac:dyDescent="0.35">
      <c r="D1939" s="2"/>
      <c r="E1939" s="2"/>
      <c r="F1939" s="3"/>
      <c r="G1939" s="3">
        <f t="shared" si="90"/>
        <v>0</v>
      </c>
      <c r="H1939" s="3">
        <f t="shared" si="91"/>
        <v>0</v>
      </c>
      <c r="I1939" s="3">
        <f t="shared" si="92"/>
        <v>0</v>
      </c>
    </row>
    <row r="1940" spans="4:9" x14ac:dyDescent="0.35">
      <c r="D1940" s="2"/>
      <c r="E1940" s="2"/>
      <c r="F1940" s="3"/>
      <c r="G1940" s="3">
        <f t="shared" si="90"/>
        <v>0</v>
      </c>
      <c r="H1940" s="3">
        <f t="shared" si="91"/>
        <v>0</v>
      </c>
      <c r="I1940" s="3">
        <f t="shared" si="92"/>
        <v>0</v>
      </c>
    </row>
    <row r="1941" spans="4:9" x14ac:dyDescent="0.35">
      <c r="D1941" s="2"/>
      <c r="E1941" s="2"/>
      <c r="F1941" s="3"/>
      <c r="G1941" s="3">
        <f t="shared" si="90"/>
        <v>0</v>
      </c>
      <c r="H1941" s="3">
        <f t="shared" si="91"/>
        <v>0</v>
      </c>
      <c r="I1941" s="3">
        <f t="shared" si="92"/>
        <v>0</v>
      </c>
    </row>
    <row r="1942" spans="4:9" x14ac:dyDescent="0.35">
      <c r="D1942" s="2"/>
      <c r="E1942" s="2"/>
      <c r="F1942" s="3"/>
      <c r="G1942" s="3">
        <f t="shared" si="90"/>
        <v>0</v>
      </c>
      <c r="H1942" s="3">
        <f t="shared" si="91"/>
        <v>0</v>
      </c>
      <c r="I1942" s="3">
        <f t="shared" si="92"/>
        <v>0</v>
      </c>
    </row>
    <row r="1943" spans="4:9" x14ac:dyDescent="0.35">
      <c r="D1943" s="2"/>
      <c r="E1943" s="2"/>
      <c r="F1943" s="3"/>
      <c r="G1943" s="3">
        <f t="shared" si="90"/>
        <v>0</v>
      </c>
      <c r="H1943" s="3">
        <f t="shared" si="91"/>
        <v>0</v>
      </c>
      <c r="I1943" s="3">
        <f t="shared" si="92"/>
        <v>0</v>
      </c>
    </row>
    <row r="1944" spans="4:9" x14ac:dyDescent="0.35">
      <c r="D1944" s="2"/>
      <c r="E1944" s="2"/>
      <c r="F1944" s="3"/>
      <c r="G1944" s="3">
        <f t="shared" si="90"/>
        <v>0</v>
      </c>
      <c r="H1944" s="3">
        <f t="shared" si="91"/>
        <v>0</v>
      </c>
      <c r="I1944" s="3">
        <f t="shared" si="92"/>
        <v>0</v>
      </c>
    </row>
    <row r="1945" spans="4:9" x14ac:dyDescent="0.35">
      <c r="D1945" s="2"/>
      <c r="E1945" s="2"/>
      <c r="F1945" s="3"/>
      <c r="G1945" s="3">
        <f t="shared" si="90"/>
        <v>0</v>
      </c>
      <c r="H1945" s="3">
        <f t="shared" si="91"/>
        <v>0</v>
      </c>
      <c r="I1945" s="3">
        <f t="shared" si="92"/>
        <v>0</v>
      </c>
    </row>
    <row r="1946" spans="4:9" x14ac:dyDescent="0.35">
      <c r="D1946" s="2"/>
      <c r="E1946" s="2"/>
      <c r="F1946" s="3"/>
      <c r="G1946" s="3">
        <f t="shared" si="90"/>
        <v>0</v>
      </c>
      <c r="H1946" s="3">
        <f t="shared" si="91"/>
        <v>0</v>
      </c>
      <c r="I1946" s="3">
        <f t="shared" si="92"/>
        <v>0</v>
      </c>
    </row>
    <row r="1947" spans="4:9" x14ac:dyDescent="0.35">
      <c r="D1947" s="2"/>
      <c r="E1947" s="2"/>
      <c r="F1947" s="3"/>
      <c r="G1947" s="3">
        <f t="shared" si="90"/>
        <v>0</v>
      </c>
      <c r="H1947" s="3">
        <f t="shared" si="91"/>
        <v>0</v>
      </c>
      <c r="I1947" s="3">
        <f t="shared" si="92"/>
        <v>0</v>
      </c>
    </row>
    <row r="1948" spans="4:9" x14ac:dyDescent="0.35">
      <c r="D1948" s="2"/>
      <c r="E1948" s="2"/>
      <c r="F1948" s="3"/>
      <c r="G1948" s="3">
        <f t="shared" si="90"/>
        <v>0</v>
      </c>
      <c r="H1948" s="3">
        <f t="shared" si="91"/>
        <v>0</v>
      </c>
      <c r="I1948" s="3">
        <f t="shared" si="92"/>
        <v>0</v>
      </c>
    </row>
    <row r="1949" spans="4:9" x14ac:dyDescent="0.35">
      <c r="D1949" s="2"/>
      <c r="E1949" s="2"/>
      <c r="F1949" s="3"/>
      <c r="G1949" s="3">
        <f t="shared" si="90"/>
        <v>0</v>
      </c>
      <c r="H1949" s="3">
        <f t="shared" si="91"/>
        <v>0</v>
      </c>
      <c r="I1949" s="3">
        <f t="shared" si="92"/>
        <v>0</v>
      </c>
    </row>
    <row r="1950" spans="4:9" x14ac:dyDescent="0.35">
      <c r="D1950" s="2"/>
      <c r="E1950" s="2"/>
      <c r="F1950" s="3"/>
      <c r="G1950" s="3">
        <f t="shared" si="90"/>
        <v>0</v>
      </c>
      <c r="H1950" s="3">
        <f t="shared" si="91"/>
        <v>0</v>
      </c>
      <c r="I1950" s="3">
        <f t="shared" si="92"/>
        <v>0</v>
      </c>
    </row>
    <row r="1951" spans="4:9" x14ac:dyDescent="0.35">
      <c r="D1951" s="2"/>
      <c r="E1951" s="2"/>
      <c r="F1951" s="3"/>
      <c r="G1951" s="3">
        <f t="shared" si="90"/>
        <v>0</v>
      </c>
      <c r="H1951" s="3">
        <f t="shared" si="91"/>
        <v>0</v>
      </c>
      <c r="I1951" s="3">
        <f t="shared" si="92"/>
        <v>0</v>
      </c>
    </row>
    <row r="1952" spans="4:9" x14ac:dyDescent="0.35">
      <c r="D1952" s="2"/>
      <c r="E1952" s="2"/>
      <c r="F1952" s="3"/>
      <c r="G1952" s="3">
        <f t="shared" si="90"/>
        <v>0</v>
      </c>
      <c r="H1952" s="3">
        <f t="shared" si="91"/>
        <v>0</v>
      </c>
      <c r="I1952" s="3">
        <f t="shared" si="92"/>
        <v>0</v>
      </c>
    </row>
    <row r="1953" spans="4:9" x14ac:dyDescent="0.35">
      <c r="D1953" s="2"/>
      <c r="E1953" s="2"/>
      <c r="F1953" s="3"/>
      <c r="G1953" s="3">
        <f t="shared" si="90"/>
        <v>0</v>
      </c>
      <c r="H1953" s="3">
        <f t="shared" si="91"/>
        <v>0</v>
      </c>
      <c r="I1953" s="3">
        <f t="shared" si="92"/>
        <v>0</v>
      </c>
    </row>
    <row r="1954" spans="4:9" x14ac:dyDescent="0.35">
      <c r="D1954" s="2"/>
      <c r="E1954" s="2"/>
      <c r="F1954" s="3"/>
      <c r="G1954" s="3">
        <f t="shared" si="90"/>
        <v>0</v>
      </c>
      <c r="H1954" s="3">
        <f t="shared" si="91"/>
        <v>0</v>
      </c>
      <c r="I1954" s="3">
        <f t="shared" si="92"/>
        <v>0</v>
      </c>
    </row>
    <row r="1955" spans="4:9" x14ac:dyDescent="0.35">
      <c r="D1955" s="2"/>
      <c r="E1955" s="2"/>
      <c r="F1955" s="3"/>
      <c r="G1955" s="3">
        <f t="shared" si="90"/>
        <v>0</v>
      </c>
      <c r="H1955" s="3">
        <f t="shared" si="91"/>
        <v>0</v>
      </c>
      <c r="I1955" s="3">
        <f t="shared" si="92"/>
        <v>0</v>
      </c>
    </row>
    <row r="1956" spans="4:9" x14ac:dyDescent="0.35">
      <c r="D1956" s="2"/>
      <c r="E1956" s="2"/>
      <c r="F1956" s="3"/>
      <c r="G1956" s="3">
        <f t="shared" si="90"/>
        <v>0</v>
      </c>
      <c r="H1956" s="3">
        <f t="shared" si="91"/>
        <v>0</v>
      </c>
      <c r="I1956" s="3">
        <f t="shared" si="92"/>
        <v>0</v>
      </c>
    </row>
    <row r="1957" spans="4:9" x14ac:dyDescent="0.35">
      <c r="D1957" s="2"/>
      <c r="E1957" s="2"/>
      <c r="F1957" s="3"/>
      <c r="G1957" s="3">
        <f t="shared" si="90"/>
        <v>0</v>
      </c>
      <c r="H1957" s="3">
        <f t="shared" si="91"/>
        <v>0</v>
      </c>
      <c r="I1957" s="3">
        <f t="shared" si="92"/>
        <v>0</v>
      </c>
    </row>
    <row r="1958" spans="4:9" x14ac:dyDescent="0.35">
      <c r="D1958" s="2"/>
      <c r="E1958" s="2"/>
      <c r="F1958" s="3"/>
      <c r="G1958" s="3">
        <f t="shared" si="90"/>
        <v>0</v>
      </c>
      <c r="H1958" s="3">
        <f t="shared" si="91"/>
        <v>0</v>
      </c>
      <c r="I1958" s="3">
        <f t="shared" si="92"/>
        <v>0</v>
      </c>
    </row>
    <row r="1959" spans="4:9" x14ac:dyDescent="0.35">
      <c r="D1959" s="2"/>
      <c r="E1959" s="2"/>
      <c r="F1959" s="3"/>
      <c r="G1959" s="3">
        <f t="shared" si="90"/>
        <v>0</v>
      </c>
      <c r="H1959" s="3">
        <f t="shared" si="91"/>
        <v>0</v>
      </c>
      <c r="I1959" s="3">
        <f t="shared" si="92"/>
        <v>0</v>
      </c>
    </row>
    <row r="1960" spans="4:9" x14ac:dyDescent="0.35">
      <c r="D1960" s="2"/>
      <c r="E1960" s="2"/>
      <c r="F1960" s="3"/>
      <c r="G1960" s="3">
        <f t="shared" si="90"/>
        <v>0</v>
      </c>
      <c r="H1960" s="3">
        <f t="shared" si="91"/>
        <v>0</v>
      </c>
      <c r="I1960" s="3">
        <f t="shared" si="92"/>
        <v>0</v>
      </c>
    </row>
    <row r="1961" spans="4:9" x14ac:dyDescent="0.35">
      <c r="D1961" s="2"/>
      <c r="E1961" s="2"/>
      <c r="F1961" s="3"/>
      <c r="G1961" s="3">
        <f t="shared" si="90"/>
        <v>0</v>
      </c>
      <c r="H1961" s="3">
        <f t="shared" si="91"/>
        <v>0</v>
      </c>
      <c r="I1961" s="3">
        <f t="shared" si="92"/>
        <v>0</v>
      </c>
    </row>
    <row r="1962" spans="4:9" x14ac:dyDescent="0.35">
      <c r="D1962" s="2"/>
      <c r="E1962" s="2"/>
      <c r="F1962" s="3"/>
      <c r="G1962" s="3">
        <f t="shared" si="90"/>
        <v>0</v>
      </c>
      <c r="H1962" s="3">
        <f t="shared" si="91"/>
        <v>0</v>
      </c>
      <c r="I1962" s="3">
        <f t="shared" si="92"/>
        <v>0</v>
      </c>
    </row>
    <row r="1963" spans="4:9" x14ac:dyDescent="0.35">
      <c r="D1963" s="2"/>
      <c r="E1963" s="2"/>
      <c r="F1963" s="3"/>
      <c r="G1963" s="3">
        <f t="shared" si="90"/>
        <v>0</v>
      </c>
      <c r="H1963" s="3">
        <f t="shared" si="91"/>
        <v>0</v>
      </c>
      <c r="I1963" s="3">
        <f t="shared" si="92"/>
        <v>0</v>
      </c>
    </row>
    <row r="1964" spans="4:9" x14ac:dyDescent="0.35">
      <c r="D1964" s="2"/>
      <c r="E1964" s="2"/>
      <c r="F1964" s="3"/>
      <c r="G1964" s="3">
        <f t="shared" si="90"/>
        <v>0</v>
      </c>
      <c r="H1964" s="3">
        <f t="shared" si="91"/>
        <v>0</v>
      </c>
      <c r="I1964" s="3">
        <f t="shared" si="92"/>
        <v>0</v>
      </c>
    </row>
    <row r="1965" spans="4:9" x14ac:dyDescent="0.35">
      <c r="D1965" s="2"/>
      <c r="E1965" s="2"/>
      <c r="F1965" s="3"/>
      <c r="G1965" s="3">
        <f t="shared" si="90"/>
        <v>0</v>
      </c>
      <c r="H1965" s="3">
        <f t="shared" si="91"/>
        <v>0</v>
      </c>
      <c r="I1965" s="3">
        <f t="shared" si="92"/>
        <v>0</v>
      </c>
    </row>
    <row r="1966" spans="4:9" x14ac:dyDescent="0.35">
      <c r="D1966" s="2"/>
      <c r="E1966" s="2"/>
      <c r="F1966" s="3"/>
      <c r="G1966" s="3">
        <f t="shared" si="90"/>
        <v>0</v>
      </c>
      <c r="H1966" s="3">
        <f t="shared" si="91"/>
        <v>0</v>
      </c>
      <c r="I1966" s="3">
        <f t="shared" si="92"/>
        <v>0</v>
      </c>
    </row>
    <row r="1967" spans="4:9" x14ac:dyDescent="0.35">
      <c r="D1967" s="2"/>
      <c r="E1967" s="2"/>
      <c r="F1967" s="3"/>
      <c r="G1967" s="3">
        <f t="shared" si="90"/>
        <v>0</v>
      </c>
      <c r="H1967" s="3">
        <f t="shared" si="91"/>
        <v>0</v>
      </c>
      <c r="I1967" s="3">
        <f t="shared" si="92"/>
        <v>0</v>
      </c>
    </row>
    <row r="1968" spans="4:9" x14ac:dyDescent="0.35">
      <c r="D1968" s="2"/>
      <c r="E1968" s="2"/>
      <c r="F1968" s="3"/>
      <c r="G1968" s="3">
        <f t="shared" si="90"/>
        <v>0</v>
      </c>
      <c r="H1968" s="3">
        <f t="shared" si="91"/>
        <v>0</v>
      </c>
      <c r="I1968" s="3">
        <f t="shared" si="92"/>
        <v>0</v>
      </c>
    </row>
    <row r="1969" spans="4:9" x14ac:dyDescent="0.35">
      <c r="D1969" s="2"/>
      <c r="E1969" s="2"/>
      <c r="F1969" s="3"/>
      <c r="G1969" s="3">
        <f t="shared" si="90"/>
        <v>0</v>
      </c>
      <c r="H1969" s="3">
        <f t="shared" si="91"/>
        <v>0</v>
      </c>
      <c r="I1969" s="3">
        <f t="shared" si="92"/>
        <v>0</v>
      </c>
    </row>
    <row r="1970" spans="4:9" x14ac:dyDescent="0.35">
      <c r="D1970" s="2"/>
      <c r="E1970" s="2"/>
      <c r="F1970" s="3"/>
      <c r="G1970" s="3">
        <f t="shared" si="90"/>
        <v>0</v>
      </c>
      <c r="H1970" s="3">
        <f t="shared" si="91"/>
        <v>0</v>
      </c>
      <c r="I1970" s="3">
        <f t="shared" si="92"/>
        <v>0</v>
      </c>
    </row>
    <row r="1971" spans="4:9" x14ac:dyDescent="0.35">
      <c r="D1971" s="2"/>
      <c r="E1971" s="2"/>
      <c r="F1971" s="3"/>
      <c r="G1971" s="3">
        <f t="shared" si="90"/>
        <v>0</v>
      </c>
      <c r="H1971" s="3">
        <f t="shared" si="91"/>
        <v>0</v>
      </c>
      <c r="I1971" s="3">
        <f t="shared" si="92"/>
        <v>0</v>
      </c>
    </row>
    <row r="1972" spans="4:9" x14ac:dyDescent="0.35">
      <c r="D1972" s="2"/>
      <c r="E1972" s="2"/>
      <c r="F1972" s="3"/>
      <c r="G1972" s="3">
        <f t="shared" si="90"/>
        <v>0</v>
      </c>
      <c r="H1972" s="3">
        <f t="shared" si="91"/>
        <v>0</v>
      </c>
      <c r="I1972" s="3">
        <f t="shared" si="92"/>
        <v>0</v>
      </c>
    </row>
    <row r="1973" spans="4:9" x14ac:dyDescent="0.35">
      <c r="D1973" s="2"/>
      <c r="E1973" s="2"/>
      <c r="F1973" s="3"/>
      <c r="G1973" s="3">
        <f t="shared" si="90"/>
        <v>0</v>
      </c>
      <c r="H1973" s="3">
        <f t="shared" si="91"/>
        <v>0</v>
      </c>
      <c r="I1973" s="3">
        <f t="shared" si="92"/>
        <v>0</v>
      </c>
    </row>
    <row r="1974" spans="4:9" x14ac:dyDescent="0.35">
      <c r="D1974" s="2"/>
      <c r="E1974" s="2"/>
      <c r="F1974" s="3"/>
      <c r="G1974" s="3">
        <f t="shared" si="90"/>
        <v>0</v>
      </c>
      <c r="H1974" s="3">
        <f t="shared" si="91"/>
        <v>0</v>
      </c>
      <c r="I1974" s="3">
        <f t="shared" si="92"/>
        <v>0</v>
      </c>
    </row>
    <row r="1975" spans="4:9" x14ac:dyDescent="0.35">
      <c r="D1975" s="2"/>
      <c r="E1975" s="2"/>
      <c r="F1975" s="3"/>
      <c r="G1975" s="3">
        <f t="shared" si="90"/>
        <v>0</v>
      </c>
      <c r="H1975" s="3">
        <f t="shared" si="91"/>
        <v>0</v>
      </c>
      <c r="I1975" s="3">
        <f t="shared" si="92"/>
        <v>0</v>
      </c>
    </row>
    <row r="1976" spans="4:9" x14ac:dyDescent="0.35">
      <c r="D1976" s="2"/>
      <c r="E1976" s="2"/>
      <c r="F1976" s="3"/>
      <c r="G1976" s="3">
        <f t="shared" si="90"/>
        <v>0</v>
      </c>
      <c r="H1976" s="3">
        <f t="shared" si="91"/>
        <v>0</v>
      </c>
      <c r="I1976" s="3">
        <f t="shared" si="92"/>
        <v>0</v>
      </c>
    </row>
    <row r="1977" spans="4:9" x14ac:dyDescent="0.35">
      <c r="D1977" s="2"/>
      <c r="E1977" s="2"/>
      <c r="F1977" s="3"/>
      <c r="G1977" s="3">
        <f t="shared" si="90"/>
        <v>0</v>
      </c>
      <c r="H1977" s="3">
        <f t="shared" si="91"/>
        <v>0</v>
      </c>
      <c r="I1977" s="3">
        <f t="shared" si="92"/>
        <v>0</v>
      </c>
    </row>
    <row r="1978" spans="4:9" x14ac:dyDescent="0.35">
      <c r="D1978" s="2"/>
      <c r="E1978" s="2"/>
      <c r="F1978" s="3"/>
      <c r="G1978" s="3">
        <f t="shared" si="90"/>
        <v>0</v>
      </c>
      <c r="H1978" s="3">
        <f t="shared" si="91"/>
        <v>0</v>
      </c>
      <c r="I1978" s="3">
        <f t="shared" si="92"/>
        <v>0</v>
      </c>
    </row>
    <row r="1979" spans="4:9" x14ac:dyDescent="0.35">
      <c r="D1979" s="2"/>
      <c r="E1979" s="2"/>
      <c r="F1979" s="3"/>
      <c r="G1979" s="3">
        <f t="shared" si="90"/>
        <v>0</v>
      </c>
      <c r="H1979" s="3">
        <f t="shared" si="91"/>
        <v>0</v>
      </c>
      <c r="I1979" s="3">
        <f t="shared" si="92"/>
        <v>0</v>
      </c>
    </row>
    <row r="1980" spans="4:9" x14ac:dyDescent="0.35">
      <c r="D1980" s="2"/>
      <c r="E1980" s="2"/>
      <c r="F1980" s="3"/>
      <c r="G1980" s="3">
        <f t="shared" si="90"/>
        <v>0</v>
      </c>
      <c r="H1980" s="3">
        <f t="shared" si="91"/>
        <v>0</v>
      </c>
      <c r="I1980" s="3">
        <f t="shared" si="92"/>
        <v>0</v>
      </c>
    </row>
    <row r="1981" spans="4:9" x14ac:dyDescent="0.35">
      <c r="D1981" s="2"/>
      <c r="E1981" s="2"/>
      <c r="F1981" s="3"/>
      <c r="G1981" s="3">
        <f t="shared" si="90"/>
        <v>0</v>
      </c>
      <c r="H1981" s="3">
        <f t="shared" si="91"/>
        <v>0</v>
      </c>
      <c r="I1981" s="3">
        <f t="shared" si="92"/>
        <v>0</v>
      </c>
    </row>
    <row r="1982" spans="4:9" x14ac:dyDescent="0.35">
      <c r="D1982" s="2"/>
      <c r="E1982" s="2"/>
      <c r="F1982" s="3"/>
      <c r="G1982" s="3">
        <f t="shared" si="90"/>
        <v>0</v>
      </c>
      <c r="H1982" s="3">
        <f t="shared" si="91"/>
        <v>0</v>
      </c>
      <c r="I1982" s="3">
        <f t="shared" si="92"/>
        <v>0</v>
      </c>
    </row>
    <row r="1983" spans="4:9" x14ac:dyDescent="0.35">
      <c r="D1983" s="2"/>
      <c r="E1983" s="2"/>
      <c r="F1983" s="3"/>
      <c r="G1983" s="3">
        <f t="shared" si="90"/>
        <v>0</v>
      </c>
      <c r="H1983" s="3">
        <f t="shared" si="91"/>
        <v>0</v>
      </c>
      <c r="I1983" s="3">
        <f t="shared" si="92"/>
        <v>0</v>
      </c>
    </row>
    <row r="1984" spans="4:9" x14ac:dyDescent="0.35">
      <c r="D1984" s="2"/>
      <c r="E1984" s="2"/>
      <c r="F1984" s="3"/>
      <c r="G1984" s="3">
        <f t="shared" si="90"/>
        <v>0</v>
      </c>
      <c r="H1984" s="3">
        <f t="shared" si="91"/>
        <v>0</v>
      </c>
      <c r="I1984" s="3">
        <f t="shared" si="92"/>
        <v>0</v>
      </c>
    </row>
    <row r="1985" spans="4:9" x14ac:dyDescent="0.35">
      <c r="D1985" s="2"/>
      <c r="E1985" s="2"/>
      <c r="F1985" s="3"/>
      <c r="G1985" s="3">
        <f t="shared" si="90"/>
        <v>0</v>
      </c>
      <c r="H1985" s="3">
        <f t="shared" si="91"/>
        <v>0</v>
      </c>
      <c r="I1985" s="3">
        <f t="shared" si="92"/>
        <v>0</v>
      </c>
    </row>
    <row r="1986" spans="4:9" x14ac:dyDescent="0.35">
      <c r="D1986" s="2"/>
      <c r="E1986" s="2"/>
      <c r="F1986" s="3"/>
      <c r="G1986" s="3">
        <f t="shared" ref="G1986:G2001" si="93">IF($F1986&gt;0,$E1986/(1-$F1986),0)</f>
        <v>0</v>
      </c>
      <c r="H1986" s="3">
        <f t="shared" ref="H1986:H2001" si="94">IF($D1986&gt;0,$G1986/$D1986,0)</f>
        <v>0</v>
      </c>
      <c r="I1986" s="3">
        <f t="shared" ref="I1986:I2001" si="95">$E1986*1.1</f>
        <v>0</v>
      </c>
    </row>
    <row r="1987" spans="4:9" x14ac:dyDescent="0.35">
      <c r="D1987" s="2"/>
      <c r="E1987" s="2"/>
      <c r="F1987" s="3"/>
      <c r="G1987" s="3">
        <f t="shared" si="93"/>
        <v>0</v>
      </c>
      <c r="H1987" s="3">
        <f t="shared" si="94"/>
        <v>0</v>
      </c>
      <c r="I1987" s="3">
        <f t="shared" si="95"/>
        <v>0</v>
      </c>
    </row>
    <row r="1988" spans="4:9" x14ac:dyDescent="0.35">
      <c r="D1988" s="2"/>
      <c r="E1988" s="2"/>
      <c r="F1988" s="3"/>
      <c r="G1988" s="3">
        <f t="shared" si="93"/>
        <v>0</v>
      </c>
      <c r="H1988" s="3">
        <f t="shared" si="94"/>
        <v>0</v>
      </c>
      <c r="I1988" s="3">
        <f t="shared" si="95"/>
        <v>0</v>
      </c>
    </row>
    <row r="1989" spans="4:9" x14ac:dyDescent="0.35">
      <c r="D1989" s="2"/>
      <c r="E1989" s="2"/>
      <c r="F1989" s="3"/>
      <c r="G1989" s="3">
        <f t="shared" si="93"/>
        <v>0</v>
      </c>
      <c r="H1989" s="3">
        <f t="shared" si="94"/>
        <v>0</v>
      </c>
      <c r="I1989" s="3">
        <f t="shared" si="95"/>
        <v>0</v>
      </c>
    </row>
    <row r="1990" spans="4:9" x14ac:dyDescent="0.35">
      <c r="D1990" s="2"/>
      <c r="E1990" s="2"/>
      <c r="F1990" s="3"/>
      <c r="G1990" s="3">
        <f t="shared" si="93"/>
        <v>0</v>
      </c>
      <c r="H1990" s="3">
        <f t="shared" si="94"/>
        <v>0</v>
      </c>
      <c r="I1990" s="3">
        <f t="shared" si="95"/>
        <v>0</v>
      </c>
    </row>
    <row r="1991" spans="4:9" x14ac:dyDescent="0.35">
      <c r="D1991" s="2"/>
      <c r="E1991" s="2"/>
      <c r="F1991" s="3"/>
      <c r="G1991" s="3">
        <f t="shared" si="93"/>
        <v>0</v>
      </c>
      <c r="H1991" s="3">
        <f t="shared" si="94"/>
        <v>0</v>
      </c>
      <c r="I1991" s="3">
        <f t="shared" si="95"/>
        <v>0</v>
      </c>
    </row>
    <row r="1992" spans="4:9" x14ac:dyDescent="0.35">
      <c r="D1992" s="2"/>
      <c r="E1992" s="2"/>
      <c r="F1992" s="3"/>
      <c r="G1992" s="3">
        <f t="shared" si="93"/>
        <v>0</v>
      </c>
      <c r="H1992" s="3">
        <f t="shared" si="94"/>
        <v>0</v>
      </c>
      <c r="I1992" s="3">
        <f t="shared" si="95"/>
        <v>0</v>
      </c>
    </row>
    <row r="1993" spans="4:9" x14ac:dyDescent="0.35">
      <c r="D1993" s="2"/>
      <c r="E1993" s="2"/>
      <c r="F1993" s="3"/>
      <c r="G1993" s="3">
        <f t="shared" si="93"/>
        <v>0</v>
      </c>
      <c r="H1993" s="3">
        <f t="shared" si="94"/>
        <v>0</v>
      </c>
      <c r="I1993" s="3">
        <f t="shared" si="95"/>
        <v>0</v>
      </c>
    </row>
    <row r="1994" spans="4:9" x14ac:dyDescent="0.35">
      <c r="D1994" s="2"/>
      <c r="E1994" s="2"/>
      <c r="F1994" s="3"/>
      <c r="G1994" s="3">
        <f t="shared" si="93"/>
        <v>0</v>
      </c>
      <c r="H1994" s="3">
        <f t="shared" si="94"/>
        <v>0</v>
      </c>
      <c r="I1994" s="3">
        <f t="shared" si="95"/>
        <v>0</v>
      </c>
    </row>
    <row r="1995" spans="4:9" x14ac:dyDescent="0.35">
      <c r="D1995" s="2"/>
      <c r="E1995" s="2"/>
      <c r="F1995" s="3"/>
      <c r="G1995" s="3">
        <f t="shared" si="93"/>
        <v>0</v>
      </c>
      <c r="H1995" s="3">
        <f t="shared" si="94"/>
        <v>0</v>
      </c>
      <c r="I1995" s="3">
        <f t="shared" si="95"/>
        <v>0</v>
      </c>
    </row>
    <row r="1996" spans="4:9" x14ac:dyDescent="0.35">
      <c r="D1996" s="2"/>
      <c r="E1996" s="2"/>
      <c r="F1996" s="3"/>
      <c r="G1996" s="3">
        <f t="shared" si="93"/>
        <v>0</v>
      </c>
      <c r="H1996" s="3">
        <f t="shared" si="94"/>
        <v>0</v>
      </c>
      <c r="I1996" s="3">
        <f t="shared" si="95"/>
        <v>0</v>
      </c>
    </row>
    <row r="1997" spans="4:9" x14ac:dyDescent="0.35">
      <c r="D1997" s="2"/>
      <c r="E1997" s="2"/>
      <c r="F1997" s="3"/>
      <c r="G1997" s="3">
        <f t="shared" si="93"/>
        <v>0</v>
      </c>
      <c r="H1997" s="3">
        <f t="shared" si="94"/>
        <v>0</v>
      </c>
      <c r="I1997" s="3">
        <f t="shared" si="95"/>
        <v>0</v>
      </c>
    </row>
    <row r="1998" spans="4:9" x14ac:dyDescent="0.35">
      <c r="D1998" s="2"/>
      <c r="E1998" s="2"/>
      <c r="F1998" s="3"/>
      <c r="G1998" s="3">
        <f t="shared" si="93"/>
        <v>0</v>
      </c>
      <c r="H1998" s="3">
        <f t="shared" si="94"/>
        <v>0</v>
      </c>
      <c r="I1998" s="3">
        <f t="shared" si="95"/>
        <v>0</v>
      </c>
    </row>
    <row r="1999" spans="4:9" x14ac:dyDescent="0.35">
      <c r="D1999" s="2"/>
      <c r="E1999" s="2"/>
      <c r="F1999" s="3"/>
      <c r="G1999" s="3">
        <f t="shared" si="93"/>
        <v>0</v>
      </c>
      <c r="H1999" s="3">
        <f t="shared" si="94"/>
        <v>0</v>
      </c>
      <c r="I1999" s="3">
        <f t="shared" si="95"/>
        <v>0</v>
      </c>
    </row>
    <row r="2000" spans="4:9" x14ac:dyDescent="0.35">
      <c r="D2000" s="2"/>
      <c r="E2000" s="2"/>
      <c r="F2000" s="3"/>
      <c r="G2000" s="3">
        <f t="shared" si="93"/>
        <v>0</v>
      </c>
      <c r="H2000" s="3">
        <f t="shared" si="94"/>
        <v>0</v>
      </c>
      <c r="I2000" s="3">
        <f t="shared" si="95"/>
        <v>0</v>
      </c>
    </row>
    <row r="2001" spans="4:9" x14ac:dyDescent="0.35">
      <c r="D2001" s="2"/>
      <c r="E2001" s="2"/>
      <c r="F2001" s="3"/>
      <c r="G2001" s="3">
        <f t="shared" si="93"/>
        <v>0</v>
      </c>
      <c r="H2001" s="3">
        <f t="shared" si="94"/>
        <v>0</v>
      </c>
      <c r="I2001" s="3">
        <f t="shared" si="95"/>
        <v>0</v>
      </c>
    </row>
  </sheetData>
  <dataValidations count="1">
    <dataValidation type="list" sqref="A2:A50 C2:C2000 F2:F2000" xr:uid="{00000000-0002-0000-0600-000001000000}">
      <formula1>"MXN,USD,EUR,GBP"</formula1>
    </dataValidation>
  </dataValidations>
  <pageMargins left="0.75" right="0.75" top="1" bottom="1" header="0.5" footer="0.5"/>
  <tableParts count="1">
    <tablePart r:id="rId1"/>
  </tableParts>
  <extLst>
    <ext xmlns:x14="http://schemas.microsoft.com/office/spreadsheetml/2009/9/main" uri="{CCE6A557-97BC-4b89-ADB6-D9C93CAAB3DF}">
      <x14:dataValidations xmlns:xm="http://schemas.microsoft.com/office/excel/2006/main" count="1">
        <x14:dataValidation type="list" xr:uid="{00000000-0002-0000-0600-000000000000}">
          <x14:formula1>
            <xm:f>POLITICAS_MARGEN!$A$2:$A$200</xm:f>
          </x14:formula1>
          <xm:sqref>B2:B2000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
  <sheetViews>
    <sheetView workbookViewId="0">
      <pane ySplit="1" topLeftCell="A2" activePane="bottomLeft" state="frozen"/>
      <selection pane="bottomLeft" activeCell="A2" sqref="A2"/>
    </sheetView>
  </sheetViews>
  <sheetFormatPr baseColWidth="10" defaultColWidth="8.7265625" defaultRowHeight="14.5" x14ac:dyDescent="0.35"/>
  <cols>
    <col min="1" max="2" width="14" customWidth="1"/>
    <col min="3" max="3" width="19" customWidth="1"/>
    <col min="4" max="4" width="15" customWidth="1"/>
  </cols>
  <sheetData>
    <row r="1" spans="1:4" x14ac:dyDescent="0.35">
      <c r="A1" s="1" t="s">
        <v>246</v>
      </c>
      <c r="B1" s="1" t="s">
        <v>272</v>
      </c>
      <c r="C1" s="1" t="s">
        <v>273</v>
      </c>
      <c r="D1" s="1" t="s">
        <v>274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CATALOGO_PRODUCTOS</vt:lpstr>
      <vt:lpstr>COSTO_BASE</vt:lpstr>
      <vt:lpstr>PARAMETROS_IMPORTACION</vt:lpstr>
      <vt:lpstr>TIPOS_CAMBIO</vt:lpstr>
      <vt:lpstr>LANDED_COST</vt:lpstr>
      <vt:lpstr>POLITICAS_MARGEN</vt:lpstr>
      <vt:lpstr>LISTA_PRECIOS</vt:lpstr>
      <vt:lpstr>CONTROL_VERSIONES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Fernando Olvera Rendon</cp:lastModifiedBy>
  <cp:revision/>
  <dcterms:created xsi:type="dcterms:W3CDTF">2025-12-24T15:55:03Z</dcterms:created>
  <dcterms:modified xsi:type="dcterms:W3CDTF">2026-01-05T14:38:40Z</dcterms:modified>
  <cp:category/>
  <cp:contentStatus/>
</cp:coreProperties>
</file>