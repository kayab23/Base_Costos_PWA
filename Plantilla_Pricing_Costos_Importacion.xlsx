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ernandoOlveraRendon\Documents\Base_Costos\"/>
    </mc:Choice>
  </mc:AlternateContent>
  <xr:revisionPtr revIDLastSave="0" documentId="13_ncr:1_{2BA657BC-B462-4B73-9B1B-FC0A4273EC67}" xr6:coauthVersionLast="47" xr6:coauthVersionMax="47" xr10:uidLastSave="{00000000-0000-0000-0000-000000000000}"/>
  <bookViews>
    <workbookView xWindow="28680" yWindow="-120" windowWidth="29040" windowHeight="15720" xr2:uid="{00000000-000D-0000-FFFF-FFFF00000000}"/>
  </bookViews>
  <sheets>
    <sheet name="CATALOGO_PRODUCTOS" sheetId="1" r:id="rId1"/>
    <sheet name="PARAMETROS_IMPORTACION" sheetId="3" r:id="rId2"/>
    <sheet name="TIPOS_CAMBIO" sheetId="4" r:id="rId3"/>
    <sheet name="LANDED_COST" sheetId="5" r:id="rId4"/>
    <sheet name="CONTROL_VERSIONES"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H4" i="5"/>
  <c r="H7" i="5"/>
  <c r="H6" i="5"/>
  <c r="H5" i="5"/>
  <c r="C5" i="5"/>
  <c r="D5" i="5"/>
  <c r="F5" i="5" s="1"/>
  <c r="E5" i="5"/>
  <c r="I5" i="5"/>
  <c r="J5" i="5"/>
  <c r="K5" i="5"/>
  <c r="L5" i="5"/>
  <c r="M5" i="5"/>
  <c r="C6" i="5"/>
  <c r="D6" i="5"/>
  <c r="F6" i="5" s="1"/>
  <c r="E6" i="5"/>
  <c r="I6" i="5"/>
  <c r="J6" i="5"/>
  <c r="K6" i="5"/>
  <c r="L6" i="5"/>
  <c r="M6" i="5"/>
  <c r="C7" i="5"/>
  <c r="D7" i="5"/>
  <c r="F7" i="5" s="1"/>
  <c r="E7" i="5"/>
  <c r="I7" i="5"/>
  <c r="J7" i="5"/>
  <c r="K7" i="5"/>
  <c r="L7" i="5"/>
  <c r="M7" i="5"/>
  <c r="C4" i="5"/>
  <c r="D4" i="5"/>
  <c r="F4" i="5" s="1"/>
  <c r="E4" i="5"/>
  <c r="I4" i="5"/>
  <c r="J4" i="5"/>
  <c r="K4" i="5"/>
  <c r="L4" i="5"/>
  <c r="M4" i="5"/>
  <c r="H3" i="5"/>
  <c r="C3" i="5"/>
  <c r="D3" i="5"/>
  <c r="F3" i="5" s="1"/>
  <c r="E3" i="5"/>
  <c r="I3" i="5"/>
  <c r="J3" i="5"/>
  <c r="K3" i="5"/>
  <c r="L3" i="5"/>
  <c r="M3" i="5"/>
  <c r="L2" i="5"/>
  <c r="M2" i="5"/>
  <c r="E2" i="5"/>
  <c r="K2" i="5"/>
  <c r="H2" i="5"/>
  <c r="I2" i="5"/>
  <c r="J2" i="5"/>
  <c r="D2" i="5"/>
  <c r="F2" i="5" s="1"/>
  <c r="C2" i="5"/>
  <c r="G7" i="5" l="1"/>
  <c r="N7" i="5" s="1"/>
  <c r="O7" i="5" s="1"/>
  <c r="G6" i="5"/>
  <c r="N6" i="5" s="1"/>
  <c r="O6" i="5" s="1"/>
  <c r="G5" i="5"/>
  <c r="N5" i="5" s="1"/>
  <c r="O5" i="5" s="1"/>
  <c r="G4" i="5"/>
  <c r="G3" i="5"/>
  <c r="G2" i="5"/>
  <c r="N3" i="5" l="1"/>
  <c r="O3" i="5" s="1"/>
  <c r="N4" i="5"/>
  <c r="O4" i="5" s="1"/>
  <c r="N2" i="5"/>
  <c r="O2" i="5" s="1"/>
</calcChain>
</file>

<file path=xl/sharedStrings.xml><?xml version="1.0" encoding="utf-8"?>
<sst xmlns="http://schemas.openxmlformats.org/spreadsheetml/2006/main" count="3934" uniqueCount="900">
  <si>
    <t>SKU</t>
  </si>
  <si>
    <t>Descripción</t>
  </si>
  <si>
    <t>Proveedor</t>
  </si>
  <si>
    <t>Model</t>
  </si>
  <si>
    <t>Origen</t>
  </si>
  <si>
    <t>Categoría</t>
  </si>
  <si>
    <t>Unidad</t>
  </si>
  <si>
    <t>Moneda_Base</t>
  </si>
  <si>
    <t>Activo (Sí/No)</t>
  </si>
  <si>
    <t>3101-00123-01</t>
  </si>
  <si>
    <t xml:space="preserve">Set de infusión fotosensible, con un puerto para aguja, conector luer lock, clamp de rodillo, libre de DEHP, de PVC, longitud: 250 cm </t>
  </si>
  <si>
    <t>Ander Med</t>
  </si>
  <si>
    <t>Set de infusión fotosensible</t>
  </si>
  <si>
    <t>Importado</t>
  </si>
  <si>
    <t>Insumo</t>
  </si>
  <si>
    <t>Pza</t>
  </si>
  <si>
    <t>USD</t>
  </si>
  <si>
    <t>No</t>
  </si>
  <si>
    <t>3101-00142-01</t>
  </si>
  <si>
    <t>Set de infusión de volumenes medidos, cámara de bureta de 150 ml, dos conexiones para aguja, clamp Robert, libre de DEHP, de PVC, longitud: 300 cm</t>
  </si>
  <si>
    <t>Set de infusión de volumenes medidos</t>
  </si>
  <si>
    <t>3101-00138-01</t>
  </si>
  <si>
    <t xml:space="preserve">Set de infusión convencional, con dos puertos para aguja, conector luer lock, clamp de rodillo, libre de DEHP, de PVC, longitud: 300 cm </t>
  </si>
  <si>
    <t>Set de infusión convencional</t>
  </si>
  <si>
    <t>3101-00149-01</t>
  </si>
  <si>
    <t xml:space="preserve">Set de infusión para hemoderivados, filtro de 200 μm, conector luer lock, clamp de rodillo, libre de DEHP, de PVC, longitud: 250 cm </t>
  </si>
  <si>
    <t>Set de infusión para hemoderivados</t>
  </si>
  <si>
    <t>3103-00004-01</t>
  </si>
  <si>
    <t xml:space="preserve">Linea de extensión para perfusor, una conexión luer hembra y una conexión luer macho, clamp de pinza, diámetro interno 1.4 mm, libre de DEHP, de PVC, longitud: 150 cm </t>
  </si>
  <si>
    <t>Linea de extensión para perfusor</t>
  </si>
  <si>
    <t>5105-00155-01</t>
  </si>
  <si>
    <t xml:space="preserve">Linea de extensión fotosensible para perfusor, una conexión luer hembra y una conexión luer macho, clamp de pinza, diámetro interno 1.4 mm, libre de DEHP, de PVC, longitud: 150 cm </t>
  </si>
  <si>
    <t>Linea de extensión fotosensible para perfusor</t>
  </si>
  <si>
    <t>3101-00140-01</t>
  </si>
  <si>
    <t xml:space="preserve">Set de infusión para soluciones paraenterales, con dos puertos para aguja, conector luer lock, clamp de rodillo, filtro de 1.2 μm, libre de DEHP, de PVC longitud: 300 cm </t>
  </si>
  <si>
    <t>Set de infusión para soluciones paraenterales</t>
  </si>
  <si>
    <t>3101-00137-01</t>
  </si>
  <si>
    <t>Set de infusión convencional, una pinza de rodillo, conector Luer Lock, dos puertos de inyección sin aguja;
PVC sin DEHP; Longitud del tubo: 300 cm.</t>
  </si>
  <si>
    <t>3101-00141-01</t>
  </si>
  <si>
    <t>Set de infusión para volumenes medidos de 150 ml, espiga separada, pinza de rodillo, dos puertos de inyección sin aguja, cierre Luer giratorio, pinza Robert;
PVC sin DEHP; Longitud del tubo: 300 cm.</t>
  </si>
  <si>
    <t>Set de infusión para volumenes medidos de 150 ml</t>
  </si>
  <si>
    <t>3101-00132-01</t>
  </si>
  <si>
    <t>Set de infusión para soluciones paraenterales, una pinza de rodillo, conector Luer Lock, un puerto de inyección sin aguja, filtro de 1,2 μm; PVC sin DEHP; Longitud del tubo: 300 cm.</t>
  </si>
  <si>
    <t>3101-00147-01</t>
  </si>
  <si>
    <t>Set de infusión para hemoderivados, pinza antirretorno, espiga universal, una pinza de rodillo, conector Luer Lock, un puerto de inyección sin aguja, filtro de 200 μm; PVC sin DEHP; longitud del tubo: 250 cm.</t>
  </si>
  <si>
    <t>3101-00120-01</t>
  </si>
  <si>
    <t>Set de infusión fotosensible, una pinza de rodillo, un puerto de inyección sin aguja, conector Luer Lock;
PVC sensible a los rayos UV, sin DEHP; Longitud del tubo: 250 cm.</t>
  </si>
  <si>
    <t>3101-00119-01</t>
  </si>
  <si>
    <t xml:space="preserve">Set de infusión para hemoderivados, filtro de 200 μm, conector luer lock, clamp de rodillo, con segmento de silicon libre de DEHP, de PVC, longitud: 300 cm </t>
  </si>
  <si>
    <t>3101-00115-01</t>
  </si>
  <si>
    <t>Set de infusión fotosensible, con un puerto para aguja, conector luer lock, clamp de rodillo, con segmento de silicon, libre de DEHP, de PVC, longitud: 300 cm</t>
  </si>
  <si>
    <t>3101-00368-01</t>
  </si>
  <si>
    <t>Set de infusión convencional, con dos puertos para aguja, conector luer lock, clamp de rodillo, con segmento de silicon libre de DEHP, de PVC, longitud: 300 cm</t>
  </si>
  <si>
    <t>3101-00369-01</t>
  </si>
  <si>
    <t xml:space="preserve">Set de infusión para soluciones paraenterales, con un puerto para aguja, conector luer lock, clamp de rodillo, filtro de 1.2 μm, con segmento de silicon libre de DEHP, de PVC longitud: 300 cm </t>
  </si>
  <si>
    <t>3101-00370-01</t>
  </si>
  <si>
    <t xml:space="preserve">Set de infusión de volumenes medidos, cámara de bureta de 150 ml, dos conexiones para aguja, clamp Robert, con segmento de silicona libre de DEHP, de PVC,  longitud: 300 cm </t>
  </si>
  <si>
    <t>3101-00371-01</t>
  </si>
  <si>
    <t>Set de infusión, con filtro de 0.2 μm, con segmento de silicon y con puerto de conexión para aguja, libre de DEHP y de PVC  (para medicamentos oncológicos)</t>
  </si>
  <si>
    <t>Set de infusión, con filtro de 0.2 μm</t>
  </si>
  <si>
    <t>3101-00117-01</t>
  </si>
  <si>
    <t>Set de infusión fotosensible, con un puerto libre de aguja, conector luer lock, clamp de rodillo, con segmento de silicon, libre de DEHP, de PVC, longitud: 300 cm</t>
  </si>
  <si>
    <t>NPZ-W-S1</t>
  </si>
  <si>
    <t>Set de infusión convencional, con dos puertos libres de aguja, conector luer lock, clamp de rodillo, con segmento de silicon libre de DEHP, de PVC, longitud: 300 cm</t>
  </si>
  <si>
    <t>3101-00112-01</t>
  </si>
  <si>
    <t xml:space="preserve">Set de infusión para soluciones paraenterales, con un puerto libre de aguja, conector luer lock, clamp de rodillo, filtro de 1.2 μm, con segmento de silicon libre de DEHP, de PVC longitud: 300 cm </t>
  </si>
  <si>
    <t>NPZ-WP-D3</t>
  </si>
  <si>
    <t xml:space="preserve">Set de infusión de volumenes medidos, cámara de bureta de 150 ml, dos conexiones libres de aguja, clamp Robert, con segmento de silicona libre de DEHP, de PVC,  longitud: 300 cm </t>
  </si>
  <si>
    <t>3101-00154-01</t>
  </si>
  <si>
    <t>Set de infusión, con filtro de 0.2 μm, con segmento de silicon y un puerto de conexión libre aguja, libre de DEHP y de PVC  (para medicamentos oncológicos)</t>
  </si>
  <si>
    <t>HP60B-CTO-06</t>
  </si>
  <si>
    <t>Bomba de infusión con pantalla táctil universal, sets IV compatibles. 1 asa HP-81, 1 bracket HP  y 1 cable de alimentación.</t>
  </si>
  <si>
    <t>Medcaptain</t>
  </si>
  <si>
    <t>HP-60</t>
  </si>
  <si>
    <t>Equipo</t>
  </si>
  <si>
    <t>Si</t>
  </si>
  <si>
    <t>AP-60</t>
  </si>
  <si>
    <t>HP30B-CTO-01</t>
  </si>
  <si>
    <t xml:space="preserve"> Perfusor con pantalla táctil, compatible con jeringas universales (2ml, 3ml, 5ml, 10ml, 20ml, 30ml, 50/60ml). 1 asa HP-81, 1 bracket HP y 1 cable de alimentación.</t>
  </si>
  <si>
    <t>HP-30</t>
  </si>
  <si>
    <t>HP30B-CTO-05</t>
  </si>
  <si>
    <t>Perfusor para uso con pacientes neonatales, con pantalla táctil, Compatible con jeringa universal (2ml, 3ml, 5ml, 10ml, 20ml, 30ml, 50/60ml). 1 asa HP-81, 1 bracket HP y 1 cable de alimentación.</t>
  </si>
  <si>
    <t>HP-30 Neo (Standard)</t>
  </si>
  <si>
    <t>HP30B-CTO-13</t>
  </si>
  <si>
    <t>HP-30 Neo (MRI compatible)</t>
  </si>
  <si>
    <t>Perfusor con pantalla táctil con modo TCI (sistema de infusión controlada por objetivo). 1 asa HP-81, 1 bracket HP y 1 cable de alimentación.</t>
  </si>
  <si>
    <t>IP17B-CTO-02</t>
  </si>
  <si>
    <t>Unidad de control principal + 4 ranuras. Estación de trabajo modular sin bombas. Con 1 SCU, 1 MSU, 1 pinza HP-80 y 1 cable de alimentación.</t>
  </si>
  <si>
    <t>HP-80 MRI Monitor</t>
  </si>
  <si>
    <t>HP80C-CTO-02</t>
  </si>
  <si>
    <t>Unidad de mando inteligente, Módulo WiFi.</t>
  </si>
  <si>
    <t>HP SCU</t>
  </si>
  <si>
    <t>1201-00065-01</t>
  </si>
  <si>
    <t>Unidad modular de apilamiento con 1 abrazadera de estación HP, sin bombas. No hay cable de alimentación. No SCU, Llamada de enfermería y sensor de entrega.</t>
  </si>
  <si>
    <t>HP MSU</t>
  </si>
  <si>
    <t>IP17B-CTO-01</t>
  </si>
  <si>
    <t>Estación de trabajo HP-80 para resonancia magnética con un carro sin bomba, Pero cuando haces el pedido, también tienes que pedir el carrito</t>
  </si>
  <si>
    <t>HP-80 MRI Workstation</t>
  </si>
  <si>
    <t>1199-00042-01</t>
  </si>
  <si>
    <t>Carro para HP-80 MRI
HP-110 IP17 Trolley</t>
  </si>
  <si>
    <t>HP-110</t>
  </si>
  <si>
    <t>1419-00198-01</t>
  </si>
  <si>
    <t>Soporte para mesa MS-100 solo para monitor de 21,5 pulgadas, Sin monitor</t>
  </si>
  <si>
    <t>MS-100 Table Support</t>
  </si>
  <si>
    <t>1408-00348-01</t>
  </si>
  <si>
    <t>Caja de viaje para monitor MS-100 con sus accesorios. Sin estación de trabajo ni bombas. Cuatro rodaños. Tamaño: 600x420x270mm</t>
  </si>
  <si>
    <t>MS-100 monitor travel kits</t>
  </si>
  <si>
    <t>1462-00850-01</t>
  </si>
  <si>
    <t>Cable BiDi estándar 25 m</t>
  </si>
  <si>
    <t>25 m（Standard)</t>
  </si>
  <si>
    <t>1199-00062-01</t>
  </si>
  <si>
    <t>Cable BiDi 50 m</t>
  </si>
  <si>
    <t>50m</t>
  </si>
  <si>
    <t>1199-00063-01</t>
  </si>
  <si>
    <t>Cable BiDi 100 m</t>
  </si>
  <si>
    <t>100m</t>
  </si>
  <si>
    <t>Configuración para MRI (Carro, estación de trabajo, monitor, cable BiDI)
HP-80 MRI MRI WORKSTATION MONITOR + HP-80 MRI infusion workstation</t>
  </si>
  <si>
    <t>HP30B-CTO-03</t>
  </si>
  <si>
    <t>Compatible con la resonancia magnética, Estándar: Bomba de jeringuilla con pantalla táctil, compatible con jeringuilla universal (2ml, 3ml, 5ml, 10ml, 20ml, 30ml, 50/60ml), 1 mango HP-81, 1 abrazadera HP PRO para el poste y 1 cable de alimentación, Opciones: llamada de enfermería y módulo wifi.</t>
  </si>
  <si>
    <t>HP-30 PRO (Standard)</t>
  </si>
  <si>
    <t>HP30B-CTO-14</t>
  </si>
  <si>
    <t>HP-30 PRO (MRI compatible)</t>
  </si>
  <si>
    <t>HP60B-CTO-03</t>
  </si>
  <si>
    <t>Modelo de tres en uno Compatible con la resonancia magnética Estándar: bomba de infusión con pantalla táctil, juegos de tubos de PVC dedicados a tubos de silicona compatibles. 1 mango HP-81, 1 abrazadera de tubo de bomba HP y 1 cable de alimentación. Opciones: llamada de enfermería, sensor de caída y módulo wifi.</t>
  </si>
  <si>
    <t>HP-60 PRO (Standard)</t>
  </si>
  <si>
    <t>HP60B-CTO-10</t>
  </si>
  <si>
    <t>HP-60 PRO (MRI compatible)</t>
  </si>
  <si>
    <t>MV01B-CTO-02</t>
  </si>
  <si>
    <t>Localizador de venas con pantalla</t>
  </si>
  <si>
    <t>Navi-60</t>
  </si>
  <si>
    <t>MV01B-CTO-01</t>
  </si>
  <si>
    <t>Localizador de venas sin pantalla</t>
  </si>
  <si>
    <t>NAVI-30</t>
  </si>
  <si>
    <t>1199-00048-01</t>
  </si>
  <si>
    <t>soporte para Navi Mobile</t>
  </si>
  <si>
    <t>NAVI-MS</t>
  </si>
  <si>
    <t>1199-00046-01</t>
  </si>
  <si>
    <t>Navi Soporte fijo Escritorio</t>
  </si>
  <si>
    <t>NAVI-FS</t>
  </si>
  <si>
    <t>3005-01491-01</t>
  </si>
  <si>
    <t>Bolsa de alimentación de 1200 ml, bolsa de hidratación de 1200 ml, cámara antigoteo, conector escalonado, puerto de inyección Luer. Uso con bomba EP-90</t>
  </si>
  <si>
    <t>E705S112</t>
  </si>
  <si>
    <t>3005-01492-01</t>
  </si>
  <si>
    <t>Bolsa de alimentación de 1200 ml, bolsa de hidratación de 1200 ml, cámara antigoteo, conector ENFit, conector escalonado ENFit, puerto de inyección ENFit. Uso con bomba EP-90</t>
  </si>
  <si>
    <t>E705E212</t>
  </si>
  <si>
    <t>3105-00009-01</t>
  </si>
  <si>
    <t>Set de administración enteral desechable para EP-60</t>
  </si>
  <si>
    <t>IP27B-CTO-01</t>
  </si>
  <si>
    <t>RP513</t>
  </si>
  <si>
    <t>Carro para bomba de infusión, con capacidad de carga de 18 kg, altura ajustable de 160 a 248 cm
Carro para bomba de infusión
☆Material: aleación de aluminio
☆Capacidad de carga: 18 kg
☆Base: aleación de aluminio, 580 mm
de diámetro, base en forma de estrella ☆Ruedas: ruedas médicas de 3 pulgadas ☆ Altura: 160-248 cm
Ajustable ☆Sin cesta, CON SOPORTE
PIEZAS</t>
  </si>
  <si>
    <t>TPX</t>
  </si>
  <si>
    <t>RP513-M</t>
  </si>
  <si>
    <t>Bracket de seguridad</t>
  </si>
  <si>
    <t>Costo_Base</t>
  </si>
  <si>
    <t>Moneda</t>
  </si>
  <si>
    <t>Fecha_Actualización</t>
  </si>
  <si>
    <t>Concepto</t>
  </si>
  <si>
    <t>Tipo</t>
  </si>
  <si>
    <t>Valor</t>
  </si>
  <si>
    <t>NOTA</t>
  </si>
  <si>
    <t>Maritimo</t>
  </si>
  <si>
    <t>%</t>
  </si>
  <si>
    <t>Porcentaje sobre costo base (en moneda base convertida a MXN)</t>
  </si>
  <si>
    <t>Ajusta estos parámetros globales. Si necesitas excepciones por SKU, se puede añadir una hoja de EXCEPCIONES.</t>
  </si>
  <si>
    <t>Aereo</t>
  </si>
  <si>
    <t>Porcentaje sobre costo base</t>
  </si>
  <si>
    <t>Arancel</t>
  </si>
  <si>
    <t>Monto fijo por unidad en MXN (ajústalo a tu realidad)</t>
  </si>
  <si>
    <t>TC_MXN</t>
  </si>
  <si>
    <t>Fuente/Notas</t>
  </si>
  <si>
    <t>Fecha</t>
  </si>
  <si>
    <t>MXN</t>
  </si>
  <si>
    <t>Base</t>
  </si>
  <si>
    <t xml:space="preserve">Promedio +3 </t>
  </si>
  <si>
    <t>EUR</t>
  </si>
  <si>
    <t>Promedio +1</t>
  </si>
  <si>
    <t>GBP</t>
  </si>
  <si>
    <t>Transporte</t>
  </si>
  <si>
    <t>Costo_Base_MXN</t>
  </si>
  <si>
    <t>Flete_%</t>
  </si>
  <si>
    <t>Seguro_%</t>
  </si>
  <si>
    <t>Arancel_%</t>
  </si>
  <si>
    <t>Landed_Cost_MXN</t>
  </si>
  <si>
    <t>Versión</t>
  </si>
  <si>
    <t>Cambio / Motivo</t>
  </si>
  <si>
    <t>Responsable</t>
  </si>
  <si>
    <t>Seguro</t>
  </si>
  <si>
    <t>D103126130</t>
  </si>
  <si>
    <t>D103126160</t>
  </si>
  <si>
    <t>D103125160</t>
  </si>
  <si>
    <t>D103125200</t>
  </si>
  <si>
    <t>D103125250</t>
  </si>
  <si>
    <t>D80326130</t>
  </si>
  <si>
    <t>D80326160</t>
  </si>
  <si>
    <t>D80325160</t>
  </si>
  <si>
    <t>D80325200</t>
  </si>
  <si>
    <t>D80325250</t>
  </si>
  <si>
    <t>D80325320</t>
  </si>
  <si>
    <t>D80324250</t>
  </si>
  <si>
    <t>D80324320</t>
  </si>
  <si>
    <t>D80323201</t>
  </si>
  <si>
    <t>D80323251</t>
  </si>
  <si>
    <t>D80323321</t>
  </si>
  <si>
    <t>D80322251</t>
  </si>
  <si>
    <t>D80322321</t>
  </si>
  <si>
    <t>D80321201</t>
  </si>
  <si>
    <t>D80321251</t>
  </si>
  <si>
    <t>D80321321</t>
  </si>
  <si>
    <t>D80321381</t>
  </si>
  <si>
    <t>D80525160</t>
  </si>
  <si>
    <t>D80525200</t>
  </si>
  <si>
    <t>D80525250</t>
  </si>
  <si>
    <t>D80525320</t>
  </si>
  <si>
    <t>D80524250</t>
  </si>
  <si>
    <t>D80524320</t>
  </si>
  <si>
    <t>D80523251</t>
  </si>
  <si>
    <t>D80523321</t>
  </si>
  <si>
    <t>D80522321</t>
  </si>
  <si>
    <t>D80522381</t>
  </si>
  <si>
    <t>D80521201</t>
  </si>
  <si>
    <t>D80521321</t>
  </si>
  <si>
    <t>D80521381</t>
  </si>
  <si>
    <t>D81022321</t>
  </si>
  <si>
    <t>D81022381</t>
  </si>
  <si>
    <t>D81021201</t>
  </si>
  <si>
    <t>D81021321</t>
  </si>
  <si>
    <t>D81021381</t>
  </si>
  <si>
    <t>D81020381</t>
  </si>
  <si>
    <t>D82021201</t>
  </si>
  <si>
    <t>D82021321</t>
  </si>
  <si>
    <t>D82021381</t>
  </si>
  <si>
    <t>D82020381</t>
  </si>
  <si>
    <t>D82018351</t>
  </si>
  <si>
    <t>D82018381</t>
  </si>
  <si>
    <t>D82016321</t>
  </si>
  <si>
    <t>D82016351</t>
  </si>
  <si>
    <t>D82016381</t>
  </si>
  <si>
    <t>D85020381</t>
  </si>
  <si>
    <t>D85018351</t>
  </si>
  <si>
    <t>D85018381</t>
  </si>
  <si>
    <t>D85016321</t>
  </si>
  <si>
    <t>D85016351</t>
  </si>
  <si>
    <t>D85016381</t>
  </si>
  <si>
    <t>D86020381</t>
  </si>
  <si>
    <t>D86018351</t>
  </si>
  <si>
    <t>D86018381</t>
  </si>
  <si>
    <t>D86016321</t>
  </si>
  <si>
    <t>D86016351</t>
  </si>
  <si>
    <t>D86016381</t>
  </si>
  <si>
    <t>D801</t>
  </si>
  <si>
    <t>D802</t>
  </si>
  <si>
    <t>D803</t>
  </si>
  <si>
    <t>D805</t>
  </si>
  <si>
    <t>D810</t>
  </si>
  <si>
    <t>D820</t>
  </si>
  <si>
    <t>D830</t>
  </si>
  <si>
    <t>D850</t>
  </si>
  <si>
    <t>D860</t>
  </si>
  <si>
    <t>D103125320</t>
  </si>
  <si>
    <t>D103123201</t>
  </si>
  <si>
    <t>D103123251</t>
  </si>
  <si>
    <t>D103123321</t>
  </si>
  <si>
    <t>D103122251</t>
  </si>
  <si>
    <t>D103122321</t>
  </si>
  <si>
    <t>D103121201</t>
  </si>
  <si>
    <t>D103121251</t>
  </si>
  <si>
    <t>D103121321</t>
  </si>
  <si>
    <t>D103121381</t>
  </si>
  <si>
    <t>D105123251</t>
  </si>
  <si>
    <t>D105123321</t>
  </si>
  <si>
    <t>D105122251</t>
  </si>
  <si>
    <t>D105122321</t>
  </si>
  <si>
    <t>D105122381</t>
  </si>
  <si>
    <t>D105121251</t>
  </si>
  <si>
    <t>D105121321</t>
  </si>
  <si>
    <t>D105121381</t>
  </si>
  <si>
    <t>D110122321</t>
  </si>
  <si>
    <t>D110122381</t>
  </si>
  <si>
    <t>D110121251</t>
  </si>
  <si>
    <t>D110121321</t>
  </si>
  <si>
    <t>D110121381</t>
  </si>
  <si>
    <t>D110120381</t>
  </si>
  <si>
    <t>D120121381</t>
  </si>
  <si>
    <t>D120120381</t>
  </si>
  <si>
    <t>D120118321</t>
  </si>
  <si>
    <t>D120118351</t>
  </si>
  <si>
    <t>D120118381</t>
  </si>
  <si>
    <t>D150120321</t>
  </si>
  <si>
    <t>D150120381</t>
  </si>
  <si>
    <t>D150118321</t>
  </si>
  <si>
    <t>D150118351</t>
  </si>
  <si>
    <t>D150118381</t>
  </si>
  <si>
    <t>D150116351</t>
  </si>
  <si>
    <t>D150116381</t>
  </si>
  <si>
    <t>D160120321</t>
  </si>
  <si>
    <t>D160120381</t>
  </si>
  <si>
    <t>D160118321</t>
  </si>
  <si>
    <t>D160118351</t>
  </si>
  <si>
    <t>D160118381</t>
  </si>
  <si>
    <t>D160116351</t>
  </si>
  <si>
    <t>D160116381</t>
  </si>
  <si>
    <t>D0031</t>
  </si>
  <si>
    <t>D0051</t>
  </si>
  <si>
    <t>D0101</t>
  </si>
  <si>
    <t>D0201</t>
  </si>
  <si>
    <t>D0501</t>
  </si>
  <si>
    <t>D0601</t>
  </si>
  <si>
    <t>3ml26G×13mmRW (3ml 26G×13mm RW)</t>
  </si>
  <si>
    <t>3ml26G×16mmRW (3ml 26G×16mm RW)</t>
  </si>
  <si>
    <t>3ml25G×16mmRW (3ml 25G×16mm RW)</t>
  </si>
  <si>
    <t>3ml25G×20mmRW (3ml 25G×20mm RW)</t>
  </si>
  <si>
    <t>3ml25G×25mmRW (3ml 25G×25mm RW)</t>
  </si>
  <si>
    <t>3ml25G×32mmRW (3ml 25G×32mm RW)</t>
  </si>
  <si>
    <t>3ml24Gx25mmRW (3ml 24Gx25mm RW)</t>
  </si>
  <si>
    <t>3ml24Gx32mmRW (3ml 24Gx32mm RW)</t>
  </si>
  <si>
    <t>3ml23G×20mmTW (3ml 23G×20mm TW)</t>
  </si>
  <si>
    <t>3ml23G×25mmTW (3ml 23G×25mm TW)</t>
  </si>
  <si>
    <t>3ml23G×32mmTW (3ml 23G×32mm TW)</t>
  </si>
  <si>
    <t>3ml22G×25mmTW (3ml 22G×25mm TW)</t>
  </si>
  <si>
    <t>3ml22G×32mmTW (3ml 22G×32mm TW)</t>
  </si>
  <si>
    <t>3ml21G×20mmTW (3ml 21G×20mm TW)</t>
  </si>
  <si>
    <t>3ml21G×25mmTW (3ml 21G×25mm TW)</t>
  </si>
  <si>
    <t>3ml21G×32mmTW (3ml 21G×32mm TW)</t>
  </si>
  <si>
    <t>3ml21G×38mmTW (3ml 21G×38mm TW)</t>
  </si>
  <si>
    <t>5ml25G×16mmRW (5ml 25G×16mm RW)</t>
  </si>
  <si>
    <t>5ml25G×20mmRW (5ml 25G×20mm RW)</t>
  </si>
  <si>
    <t>5ml25G×25mmRW (5ml 25G×25mm RW)</t>
  </si>
  <si>
    <t>5ml25G×32mmRW (5ml 25G×32mm RW)</t>
  </si>
  <si>
    <t>5ml24Gx25mmRW (5ml 24Gx25mm RW)</t>
  </si>
  <si>
    <t>5ml24Gx32mmRW (5ml 24Gx32mm RW)</t>
  </si>
  <si>
    <t>5mL23G×25mmTW (5ml 23G×25mm TW)</t>
  </si>
  <si>
    <t>5mL23G×32mmTW (5ml 23G×32mm TW)</t>
  </si>
  <si>
    <t>5mL22G×32mmTW (5ml 22G×32mm TW)</t>
  </si>
  <si>
    <t>5mL22G×38mmTW (5ml 22G×38mm TW)</t>
  </si>
  <si>
    <t>5mL21G×20mmTW (5ml 21G×20mm TW)</t>
  </si>
  <si>
    <t>5mL21G×32mmTW (5ml 21G×32mm TW)</t>
  </si>
  <si>
    <t>5mL21G×38mmTW (5ml 21G×38mm TW)</t>
  </si>
  <si>
    <t>10mL22G×32mmTW (10ml 22G×32mm TW)</t>
  </si>
  <si>
    <t>10mL22G×38mmTW (10ml 22G×38mm TW)</t>
  </si>
  <si>
    <t>10mL21G×20mmTW (10ml 21G×20mm TW)</t>
  </si>
  <si>
    <t>10mL21G×32mmTW (10ml 21G×32mm TW)</t>
  </si>
  <si>
    <t>10mL21G×38mmTW (10ml 21G×38mm TW)</t>
  </si>
  <si>
    <t>10mL20G×38mmTW (10ml 20G×38mm TW)</t>
  </si>
  <si>
    <t>20mL21G×20mmTW (20ml 21G×20mm TW)</t>
  </si>
  <si>
    <t>20mL21G×32mmTW (20ml 21G×32mm TW)</t>
  </si>
  <si>
    <t>20mL21G×38mmTW (20ml 21G×38mm TW)</t>
  </si>
  <si>
    <t>20mL20G×38mmTW (20ml 20G×38mm TW)</t>
  </si>
  <si>
    <t>20mL18G×35mmTW (20ml 18G×35mm TW)</t>
  </si>
  <si>
    <t>20mL18G×38mmTW (20ml 18G×38mm TW)</t>
  </si>
  <si>
    <t>20mL16G×32mmTW (20ml 16G×32mm TW)</t>
  </si>
  <si>
    <t>20mL16G×35mmTW (20ml 16G×35mm TW)</t>
  </si>
  <si>
    <t>20mL16G×38mmTW (20ml 16G×38mm TW)</t>
  </si>
  <si>
    <t>50mL20G×38mmTW (50ml 20G×38mm TW)</t>
  </si>
  <si>
    <t>50mL18G×35mmTW (50ml 18G×35mm TW)</t>
  </si>
  <si>
    <t>50mL18G×38mmTW (50ml 18G×38mm TW)</t>
  </si>
  <si>
    <t>50mL16G×32mmTW (50ml 16G×32mm TW)</t>
  </si>
  <si>
    <t>50mL16G×35mmTW (50ml 16G×35mm TW)</t>
  </si>
  <si>
    <t>50mL16G×38mmTW (50ml 16G×38mm TW)</t>
  </si>
  <si>
    <t>60mL20G×38mmTW (60ml 20G×38mm TW)</t>
  </si>
  <si>
    <t>60mL18G×35mmTW (60ml 18G×35mm TW)</t>
  </si>
  <si>
    <t>60mL18G×38mmTW (60ml 18G×38mm TW)</t>
  </si>
  <si>
    <t>60mL16G×32mmTW (60ml 16G×32mm TW)</t>
  </si>
  <si>
    <t>60mL16G×35mmTW (60ml 16G×35mm TW)</t>
  </si>
  <si>
    <t>60mL16G×38mmTW (60ml 16G×38mm TW)</t>
  </si>
  <si>
    <t>1mL (1mlL)</t>
  </si>
  <si>
    <t>2mL (2ml)</t>
  </si>
  <si>
    <t>3mL (3ml)</t>
  </si>
  <si>
    <t>5mL (5ml)</t>
  </si>
  <si>
    <t>10mL (10ml)</t>
  </si>
  <si>
    <t>20mL (20ml)</t>
  </si>
  <si>
    <t>30mL (30ml)</t>
  </si>
  <si>
    <t>50mL (50ml)</t>
  </si>
  <si>
    <t>60mL (60ml)</t>
  </si>
  <si>
    <t>3mlluerlock26G×13mmRW (3mlluer lock26G×13mm RW)</t>
  </si>
  <si>
    <t>3mlluerlock26G×16mmRW (3mlluer lock26G×16mm RW)</t>
  </si>
  <si>
    <t>3mlluerlock25G×16mmRW (3mlluer lock25G×16mm RW)</t>
  </si>
  <si>
    <t>3mlluerlock25G×20mmRW (3mlluer lock25G×20mm RW)</t>
  </si>
  <si>
    <t>3mlluerlock25G×25mmRW (3mlluer lock25G×25mm RW)</t>
  </si>
  <si>
    <t>3mlluerlock25G×32mmRW (3mlluer lock25G×32mm RW)</t>
  </si>
  <si>
    <t>3mlluerlock23G×20mmTW (3mlluer lock23G×20mm TW)</t>
  </si>
  <si>
    <t>3mlluerlock23G×25mmTW (3mlluer lock23G×25mm TW)</t>
  </si>
  <si>
    <t>3mlluerlock23G×32mmTW (3mlluer lock23G×32mm TW)</t>
  </si>
  <si>
    <t>3mlluerlock22G×25mmTW (3mlluer lock22G×25mm TW)</t>
  </si>
  <si>
    <t>3mlluerlock22G×32mmTW (3mlluer lock22G×32mm TW)</t>
  </si>
  <si>
    <t>3mlluerlock21G×20mmTW (3mlluer lock21G×20mm TW)</t>
  </si>
  <si>
    <t>3mlluerlock21G×25mmTW (3mlluer lock21G×25mm TW)</t>
  </si>
  <si>
    <t>3mlluerlock21G×32mmTW (3mlluer lock21G×32mm TW)</t>
  </si>
  <si>
    <t>3mlluerlock21G×38mmTW (3mlluer lock21G×38mm TW)</t>
  </si>
  <si>
    <t>5mlluerlock23G×25mmTW (5mlluer lock23G×25mm TW)</t>
  </si>
  <si>
    <t>5mlluerlock23G×32mmTW (5mlluer lock23G×32mm TW)</t>
  </si>
  <si>
    <t>5mlluerlock22G×25mmTW (5mlluer lock22G×25mm TW)</t>
  </si>
  <si>
    <t>5mlluerlock22G×32mmTW (5mlluer lock22G×32mm TW)</t>
  </si>
  <si>
    <t>5mlluerlock22G×38mmTW (5mlluer lock22G×38mm TW)</t>
  </si>
  <si>
    <t>5mlluerlock21G×25mmTW (5mlluer lock21G×25mm TW)</t>
  </si>
  <si>
    <t>5mlluerlock21G×32mmTW (5mlluer lock21G×32mm TW)</t>
  </si>
  <si>
    <t>5mlluerlock21G×38mmTW (5mlluer lock21G×38mm TW)</t>
  </si>
  <si>
    <t>10mlluerlock22G×32mmTW (10mlluer lock22G×32mm TW)</t>
  </si>
  <si>
    <t>10mlluerlock22G×38mmTW (10mlluer lock22G×38mm TW)</t>
  </si>
  <si>
    <t>10mlluerlock21G×25mmTW (10mlluer lock21G×25mm TW)</t>
  </si>
  <si>
    <t>10mlluerlock21G×32mmTW (10mlluer lock21G×32mm TW)</t>
  </si>
  <si>
    <t>10mlluerlock21G×38mmTW (10mlluer lock21G×38mm TW)</t>
  </si>
  <si>
    <t>10mlluerlock20G×38mmTW (10mlluer lock20G×38mm TW)</t>
  </si>
  <si>
    <t>20mlluerlock21G×38mmTW (20mlluer lock21G×38mm TW)</t>
  </si>
  <si>
    <t>20mlluerlock20G×38mmTW (20mlluer lock20G×38mm TW)</t>
  </si>
  <si>
    <t>20mlluerlock18G×32mmTW (20mlluer lock18G×32mm TW)</t>
  </si>
  <si>
    <t>20mlluerlock18G×35mmTW (20mlluer lock18G×35mm TW)</t>
  </si>
  <si>
    <t>20mlluerlock18G×38mmTW (20mlluer lock18G×38mm TW)</t>
  </si>
  <si>
    <t>50mlluerlock20G×32mmTW (50mlluer lock20G×32mm TW)</t>
  </si>
  <si>
    <t>50mlluerlock20G×38mmTW (50mlluer lock20G×38mm TW)</t>
  </si>
  <si>
    <t>50mlluerlock18G×32mmTW (50mlluer lock18G×32mm TW)</t>
  </si>
  <si>
    <t>50mlluerlock18G×35mmTW (50mlluer lock18G×35mm TW)</t>
  </si>
  <si>
    <t>50mlluerlock18G×38mmTW (50mlluer lock18G×38mm TW)</t>
  </si>
  <si>
    <t>50mlluerlock16G×35mmTW (50mlluer lock16G×35mm TW)</t>
  </si>
  <si>
    <t>50mlluerlock16G×38mmTW (50mlluer lock16G×38mm TW)</t>
  </si>
  <si>
    <t>60mlluerlock20G×32mmTW (60mlluer lock20G×32mm TW)</t>
  </si>
  <si>
    <t>60mlluerlock20G×38mmTW (60mlluer lock20G×38mm TW)</t>
  </si>
  <si>
    <t>60mlluerlock18G×32mmTW (60mlluer lock18G×32mm TW)</t>
  </si>
  <si>
    <t>60mlluerlock18G×35mmTW (60mlluer lock18G×35mm TW)</t>
  </si>
  <si>
    <t>60mlluerlock18G×38mmTW (60mlluer lock18G×38mm TW)</t>
  </si>
  <si>
    <t>60mlluerlock16G×35mmTW (60mlluer lock16G×35mm TW)</t>
  </si>
  <si>
    <t>60mlluerlock16G×38mmTW (60mlluer lock16G×38mm TW)</t>
  </si>
  <si>
    <t>Jeringa estéril desechable</t>
  </si>
  <si>
    <t>Jeringa desechable resistente a la luz para bomba</t>
  </si>
  <si>
    <t>3mL</t>
  </si>
  <si>
    <t>5mL</t>
  </si>
  <si>
    <t>10mL</t>
  </si>
  <si>
    <t>20mL</t>
  </si>
  <si>
    <t>50mL</t>
  </si>
  <si>
    <t>60mL</t>
  </si>
  <si>
    <t>AP-30</t>
  </si>
  <si>
    <t>Bomba de jeringa series AP, pantalla táctil, compatible con jeringas universales (3 ml, 5 ml, 10 ml, 20 ml, 30 ml, 50/60 ml).
1 abrazadera para soporte de bomba AP y 1 cable de alimentación.</t>
  </si>
  <si>
    <t>Equipo médico</t>
  </si>
  <si>
    <t>AP-60T</t>
  </si>
  <si>
    <t>Bomba de infusión serie AP con pantalla táctil 7,0 pulgadas, asa integrada y 1 cable de alimentación. Compatible con equipos intravenosos de la marca Medcaptain y Andermed. 
Nota: Incluye la opción de sistema abierto o cerrado</t>
  </si>
  <si>
    <t>Bomba de infusión serie AP con pantalla táctil 7,0 pulgadas, asa integrada y 1 cable de alimentación. Compatible con equipos intravenosos de la marca Medcaptain y Andermed. 
Nota: Incluye la opción de sistema abierto</t>
  </si>
  <si>
    <t>Software TCI para instalación en AP-30</t>
  </si>
  <si>
    <t>HP-TCI</t>
  </si>
  <si>
    <t>AP-TCI</t>
  </si>
  <si>
    <t>AP-Modulo-wifi</t>
  </si>
  <si>
    <t>Software wifi para la serie AP</t>
  </si>
  <si>
    <t>AP-PCA</t>
  </si>
  <si>
    <t>Software de función PCA y kit de protección PCA</t>
  </si>
  <si>
    <t>AP-SCU</t>
  </si>
  <si>
    <t>Cerebro AP-80. Unidad controladora inteligente con cable de alimentación.</t>
  </si>
  <si>
    <t>AP-MCU</t>
  </si>
  <si>
    <t>Rack AP-80. Unidad apilable modular con estación lateral integrada
sin cable de alimentación.</t>
  </si>
  <si>
    <t>AP-Base</t>
  </si>
  <si>
    <t>Base AP-80. Base integrada, con puerto de conexión para calentador, sin calentador, sin cable de alimentación.</t>
  </si>
  <si>
    <t>HT-02 Calentador</t>
  </si>
  <si>
    <t>Calentador AP-80. Funciona junto con la base integrada AP.</t>
  </si>
  <si>
    <t>Bomba de jeringa con pantalla táctil, compatible con jeringas universales ( 3ml, 5ml, 10ml, 20ml, 30ml, 50/60ml). 1 asa HP-81, 1 bracket HP y 1 cable de alimentación.</t>
  </si>
  <si>
    <t>HP-30 TCI</t>
  </si>
  <si>
    <t>Bomba de jeringa con software de TCI, pantalla táctil, compatible con jeringas universales ( 3ml, 5ml, 10ml, 20ml, 30ml, 50/60ml). 1 asa HP-81, 1 bracket HP y 1 cable de alimentación.</t>
  </si>
  <si>
    <t>bomba de infusión con pantalla táctil, compatible con juegos de vía intravenosa con tubos de PVC/silicona específicos y 1 cable de alimentación.</t>
  </si>
  <si>
    <t>Aza HP</t>
  </si>
  <si>
    <t>Mango/Aza para equipo serie HP</t>
  </si>
  <si>
    <t xml:space="preserve">Accesorio </t>
  </si>
  <si>
    <t>Cable alimentacion</t>
  </si>
  <si>
    <t>Abrazadera para soporte de bomba HP</t>
  </si>
  <si>
    <t>HP-SCU</t>
  </si>
  <si>
    <t>Cerebro HP-80. Unidad de control inteligente.</t>
  </si>
  <si>
    <t>HP-MSU</t>
  </si>
  <si>
    <t>Cuerpo HP-80.</t>
  </si>
  <si>
    <t>Accesorio</t>
  </si>
  <si>
    <t>IV-09</t>
  </si>
  <si>
    <t>Pedestal de metal y aluminio, con cinco ruedas y cinco frenos</t>
  </si>
  <si>
    <t>Shenzhen Lasa</t>
  </si>
  <si>
    <t>1103-00110-01(1)</t>
  </si>
  <si>
    <t>iCMS express
Software básico con función de supervisión.
Solo disponible en versión non-CE.</t>
  </si>
  <si>
    <t>1103-00110-01(2)</t>
  </si>
  <si>
    <t>1103-00110-01(3)</t>
  </si>
  <si>
    <t>1103-00110-01(4)</t>
  </si>
  <si>
    <t>1103-00110-01(5)</t>
  </si>
  <si>
    <t>Editor iCMS Dose Control
Acceso para crear y modificar la lista de medicamentos del perfil DoseControl.
Creación de archivos de actualización.
Realización de actualizaciones de la bomba.
Solo disponible en versión non-CE.</t>
  </si>
  <si>
    <t>Módulo de informes CQI de iCMS
Funciones insis de datos CQI (mejora continua de la calidad) y generación de informes.
Solo disponible en la versión non-CE.</t>
  </si>
  <si>
    <t>iCMS profesional
Monitorización + Editor de control de dosis + Análisis de datos CQI y generación de informes
Las funciones incluyen:
1. Acceso para crear y modificar la lista de medicamentos del perfil de control de dosis
2. Creación de archivos de actualización
3. Realización de actualizaciones de la bomba
4. Análisis de datos CQI (mejora continua de la calidad) y generación de informes
5. Función de monitorización
6. Solo disponible en versión sin certificación non-CE</t>
  </si>
  <si>
    <t>Versión de prueba profesional de iCMS.
Monitorización + Editor DoseControl + Análisis de datos CQI y generación de informes (periodo de prueba de 3 meses).
Funciones incluidas:
1. Acceso para crear y modificar la lista de medicamentos del perfil de control de dosis
2. Creación de archivos de actualización
3. Actualización de la bomba
4. Análisis de datos CQI (mejora continua de la calidad) y generación de informes
5. Función de monitorización
6. Periodo de prueba de 3 meses tras la activación</t>
  </si>
  <si>
    <t>Mark_up</t>
  </si>
  <si>
    <t>Mark_up_%</t>
  </si>
  <si>
    <t>Bomba de nutrición enteral, incluye 1 bracket y 1 cable de alimentación</t>
  </si>
  <si>
    <t>Equipo médico EP-90</t>
  </si>
  <si>
    <t>Equipo médico EP 60</t>
  </si>
  <si>
    <t>N/A</t>
  </si>
  <si>
    <t>RP513-3M</t>
  </si>
  <si>
    <t>Carro para bomba de infusión, con capacidad de carga de 18 kg, soporta de 6 a 8 bombas</t>
  </si>
  <si>
    <t>HP-80-MRI</t>
  </si>
  <si>
    <t>3001-00170-01</t>
  </si>
  <si>
    <t>50ml cassette Cerulean</t>
  </si>
  <si>
    <t>AR2L-050</t>
  </si>
  <si>
    <t>3001-00330-01</t>
  </si>
  <si>
    <t>50ml cassette Transparent</t>
  </si>
  <si>
    <t>3001-00350-01</t>
  </si>
  <si>
    <t>50ml cassette Yellow</t>
  </si>
  <si>
    <t>3001-00370-01</t>
  </si>
  <si>
    <t>50ml cassette Grey</t>
  </si>
  <si>
    <t>3001-00171-01</t>
  </si>
  <si>
    <t>100ml cassette Cerulean</t>
  </si>
  <si>
    <t>AR2L-100</t>
  </si>
  <si>
    <t>3001-00331-01</t>
  </si>
  <si>
    <t>100ml cassette Transparent</t>
  </si>
  <si>
    <t>3001-00351-01</t>
  </si>
  <si>
    <t>100ml cassette Yellow</t>
  </si>
  <si>
    <t>3001-00371-01</t>
  </si>
  <si>
    <t>100ml cassette Grey</t>
  </si>
  <si>
    <t>3001-00172-01</t>
  </si>
  <si>
    <t>150ml cassette Cerulean</t>
  </si>
  <si>
    <t>AR2L-150</t>
  </si>
  <si>
    <t>3001-00332-01</t>
  </si>
  <si>
    <t>150ml cassette Transparent</t>
  </si>
  <si>
    <t>3001-00352-01</t>
  </si>
  <si>
    <t>150ml cassette Yellow</t>
  </si>
  <si>
    <t>3001-00372-01</t>
  </si>
  <si>
    <t>150ml cassette Grey</t>
  </si>
  <si>
    <t>3001-00173-01</t>
  </si>
  <si>
    <t>AR2L-300</t>
  </si>
  <si>
    <t>300ml cassette Cerulean</t>
  </si>
  <si>
    <t>3001-00333-01</t>
  </si>
  <si>
    <t>300ml cassette Transparent</t>
  </si>
  <si>
    <t>3001-00353-01</t>
  </si>
  <si>
    <t>300ml cassette Yellow</t>
  </si>
  <si>
    <t>3001-00373-01</t>
  </si>
  <si>
    <t>300ml cassette Grey</t>
  </si>
  <si>
    <t>3001-00174-01</t>
  </si>
  <si>
    <t>500ml cassette Cerulean</t>
  </si>
  <si>
    <t>AR2L-500</t>
  </si>
  <si>
    <t>3001-00334-01</t>
  </si>
  <si>
    <t>500ml cassette Transparent</t>
  </si>
  <si>
    <t>3001-00354-01</t>
  </si>
  <si>
    <t>500ml cassette Yellow</t>
  </si>
  <si>
    <t>3001-00374-01</t>
  </si>
  <si>
    <t>500ml cassette Grey</t>
  </si>
  <si>
    <t>3001-00175-01</t>
  </si>
  <si>
    <t>3001-00335-01</t>
  </si>
  <si>
    <t>3001-00355-01</t>
  </si>
  <si>
    <t>3001-00375-01</t>
  </si>
  <si>
    <t>3001-00176-01</t>
  </si>
  <si>
    <t>AR2N-100</t>
  </si>
  <si>
    <t>3001-00336-01</t>
  </si>
  <si>
    <t>3001-00356-01</t>
  </si>
  <si>
    <t xml:space="preserve">100ml cassette Yellow </t>
  </si>
  <si>
    <t>3001-00376-01</t>
  </si>
  <si>
    <t>3001-00177-01</t>
  </si>
  <si>
    <t>AR2N-150</t>
  </si>
  <si>
    <t>3001-00337-01</t>
  </si>
  <si>
    <t>3001-00357-01</t>
  </si>
  <si>
    <t>3001-00377-01</t>
  </si>
  <si>
    <t>3001-00178-01</t>
  </si>
  <si>
    <t>AR2N-300</t>
  </si>
  <si>
    <t>3001-00338-01</t>
  </si>
  <si>
    <t>3001-00358-01</t>
  </si>
  <si>
    <t>3001-00378-01</t>
  </si>
  <si>
    <t>3001-00179-01</t>
  </si>
  <si>
    <t>3001-00339-01</t>
  </si>
  <si>
    <t>3001-00359-01</t>
  </si>
  <si>
    <t>3001-00379-01</t>
  </si>
  <si>
    <t>AR2N-500</t>
  </si>
  <si>
    <t>3001-00180-01</t>
  </si>
  <si>
    <t>3001-00340-01</t>
  </si>
  <si>
    <t>3001-00360-01</t>
  </si>
  <si>
    <t>3001-00380-01</t>
  </si>
  <si>
    <t>AR2L-050E</t>
  </si>
  <si>
    <t>3001-00181-01</t>
  </si>
  <si>
    <t>3001-00341-01</t>
  </si>
  <si>
    <t>3001-00361-01</t>
  </si>
  <si>
    <t>3001-00381-01</t>
  </si>
  <si>
    <t xml:space="preserve"> 100ml cassette Cerulean</t>
  </si>
  <si>
    <t>AR2L-100E</t>
  </si>
  <si>
    <t xml:space="preserve"> 100ml cassette Transparent</t>
  </si>
  <si>
    <t xml:space="preserve"> 100ml cassette Yellow</t>
  </si>
  <si>
    <t xml:space="preserve"> 100ml cassette Grey</t>
  </si>
  <si>
    <t>3001-00182-01</t>
  </si>
  <si>
    <t>3001-00342-01</t>
  </si>
  <si>
    <t>3001-00362-01</t>
  </si>
  <si>
    <t>3001-00382-01</t>
  </si>
  <si>
    <t>AR2L-150E</t>
  </si>
  <si>
    <t>3001-00183-01</t>
  </si>
  <si>
    <t>3001-00343-01</t>
  </si>
  <si>
    <t>3001-00363-01</t>
  </si>
  <si>
    <t>3001-00383-01</t>
  </si>
  <si>
    <t>AR2L-300E</t>
  </si>
  <si>
    <t>3001-00184-01</t>
  </si>
  <si>
    <t>3001-00344-01</t>
  </si>
  <si>
    <t>3001-00364-01</t>
  </si>
  <si>
    <t>3001-00384-01</t>
  </si>
  <si>
    <t>AR2L-500E</t>
  </si>
  <si>
    <t>3001-00185-01</t>
  </si>
  <si>
    <t>3001-00345-01</t>
  </si>
  <si>
    <t>3001-00365-01</t>
  </si>
  <si>
    <t>3001-00385-01</t>
  </si>
  <si>
    <t>AR2N-050E</t>
  </si>
  <si>
    <t>3001-00186-01</t>
  </si>
  <si>
    <t>3001-00346-01</t>
  </si>
  <si>
    <t>3001-00366-01</t>
  </si>
  <si>
    <t>3001-00386-01</t>
  </si>
  <si>
    <t>AR2N-100E</t>
  </si>
  <si>
    <t>3001-00187-01</t>
  </si>
  <si>
    <t>3001-00347-01</t>
  </si>
  <si>
    <t>3001-00367-01</t>
  </si>
  <si>
    <t>3001-00387-01</t>
  </si>
  <si>
    <t>AR2N-150E</t>
  </si>
  <si>
    <t>3001-00188-01</t>
  </si>
  <si>
    <t>3001-00348-01</t>
  </si>
  <si>
    <t>3001-00368-01</t>
  </si>
  <si>
    <t>3001-00388-01</t>
  </si>
  <si>
    <t>AR2N-300E</t>
  </si>
  <si>
    <t>3001-00189-01</t>
  </si>
  <si>
    <t>3001-00349-01</t>
  </si>
  <si>
    <t>3001-00369-01</t>
  </si>
  <si>
    <t>3001-00389-01</t>
  </si>
  <si>
    <t>AR2N-500E</t>
  </si>
  <si>
    <t>3001-00190-01</t>
  </si>
  <si>
    <t>3001-00390-01</t>
  </si>
  <si>
    <t>3001-00430-01</t>
  </si>
  <si>
    <t>3001-00470-01</t>
  </si>
  <si>
    <t>AR3L-050</t>
  </si>
  <si>
    <t>3001-00191-01</t>
  </si>
  <si>
    <t>3001-00391-01</t>
  </si>
  <si>
    <t>3001-00431-01</t>
  </si>
  <si>
    <t>3001-00471-01</t>
  </si>
  <si>
    <t>AR3L-100</t>
  </si>
  <si>
    <t>3001-00192-01</t>
  </si>
  <si>
    <t>3001-00392-01</t>
  </si>
  <si>
    <t>3001-00432-01</t>
  </si>
  <si>
    <t>3001-00472-01</t>
  </si>
  <si>
    <t>AR3L-150</t>
  </si>
  <si>
    <t>3001-00193-01</t>
  </si>
  <si>
    <t>3001-00393-01</t>
  </si>
  <si>
    <t>3001-00433-01</t>
  </si>
  <si>
    <t>3001-00473-01</t>
  </si>
  <si>
    <t>AR3L-300</t>
  </si>
  <si>
    <t>3001-00194-01</t>
  </si>
  <si>
    <t>3001-00394-01</t>
  </si>
  <si>
    <t>3001-00434-01</t>
  </si>
  <si>
    <t>3001-00474-01</t>
  </si>
  <si>
    <t>AR3L-500</t>
  </si>
  <si>
    <t>3001-00195-01</t>
  </si>
  <si>
    <t>3001-00395-01</t>
  </si>
  <si>
    <t>3001-00435-01</t>
  </si>
  <si>
    <t>3001-00475-01</t>
  </si>
  <si>
    <t>AR3N-050</t>
  </si>
  <si>
    <t>3001-00196-01</t>
  </si>
  <si>
    <t>3001-00396-01</t>
  </si>
  <si>
    <t>3001-00436-01</t>
  </si>
  <si>
    <t>3001-00476-01</t>
  </si>
  <si>
    <t>AR3N-100</t>
  </si>
  <si>
    <t>3001-00197-01</t>
  </si>
  <si>
    <t>3001-00397-01</t>
  </si>
  <si>
    <t>3001-00437-01</t>
  </si>
  <si>
    <t>3001-00477-01</t>
  </si>
  <si>
    <t>AR3N-150</t>
  </si>
  <si>
    <t>3001-00198-01</t>
  </si>
  <si>
    <t>3001-00398-01</t>
  </si>
  <si>
    <t>3001-00438-01</t>
  </si>
  <si>
    <t>3001-00478-01</t>
  </si>
  <si>
    <t>AR3N-300</t>
  </si>
  <si>
    <t>3001-00199-01</t>
  </si>
  <si>
    <t>3001-00399-01</t>
  </si>
  <si>
    <t>3001-00439-01</t>
  </si>
  <si>
    <t>3001-00479-01</t>
  </si>
  <si>
    <t>AR3N-500</t>
  </si>
  <si>
    <t>3001-00200-01</t>
  </si>
  <si>
    <t>3001-00400-01</t>
  </si>
  <si>
    <t>3001-00440-01</t>
  </si>
  <si>
    <t>3001-00480-01</t>
  </si>
  <si>
    <t>AR3L-050E</t>
  </si>
  <si>
    <t>50ml  cassette Cerulean</t>
  </si>
  <si>
    <t>50ml  cassette Transparent</t>
  </si>
  <si>
    <t>50ml  cassette Yellow</t>
  </si>
  <si>
    <t>50ml  cassette Grey</t>
  </si>
  <si>
    <t>3001-00201-01</t>
  </si>
  <si>
    <t>3001-00401-01</t>
  </si>
  <si>
    <t>3001-00441-01</t>
  </si>
  <si>
    <t>3001-00481-01</t>
  </si>
  <si>
    <t>AR3L-100E</t>
  </si>
  <si>
    <t>3001-00202-01</t>
  </si>
  <si>
    <t>3001-00402-01</t>
  </si>
  <si>
    <t>3001-00442-01</t>
  </si>
  <si>
    <t>3001-00482-01</t>
  </si>
  <si>
    <t>AR3L-150E</t>
  </si>
  <si>
    <t>3001-00203-01</t>
  </si>
  <si>
    <t>3001-00403-01</t>
  </si>
  <si>
    <t>3001-00443-01</t>
  </si>
  <si>
    <t>3001-00483-01</t>
  </si>
  <si>
    <t>AR3L-300E</t>
  </si>
  <si>
    <t>3001-00204-01</t>
  </si>
  <si>
    <t>3001-00404-01</t>
  </si>
  <si>
    <t>3001-00444-01</t>
  </si>
  <si>
    <t>3001-00484-01</t>
  </si>
  <si>
    <t>AR3L-500E</t>
  </si>
  <si>
    <t>3001-00205-01</t>
  </si>
  <si>
    <t>3001-00405-01</t>
  </si>
  <si>
    <t>3001-00445-01</t>
  </si>
  <si>
    <t>3001-00485-01</t>
  </si>
  <si>
    <t>AR3N-050E</t>
  </si>
  <si>
    <t>3001-00206-01</t>
  </si>
  <si>
    <t>3001-00406-01</t>
  </si>
  <si>
    <t>3001-00446-01</t>
  </si>
  <si>
    <t>3001-00486-01</t>
  </si>
  <si>
    <t>AR3N-100E</t>
  </si>
  <si>
    <t>3001-00207-01</t>
  </si>
  <si>
    <t>3001-00407-01</t>
  </si>
  <si>
    <t>3001-00447-01</t>
  </si>
  <si>
    <t>3001-00487-01</t>
  </si>
  <si>
    <t>AR3N-150E</t>
  </si>
  <si>
    <t>3001-00208-01</t>
  </si>
  <si>
    <t>3001-00408-01</t>
  </si>
  <si>
    <t>3001-00448-01</t>
  </si>
  <si>
    <t>3001-00488-01</t>
  </si>
  <si>
    <t>AR3N-300E</t>
  </si>
  <si>
    <t>3001-00209-01</t>
  </si>
  <si>
    <t>3001-00409-01</t>
  </si>
  <si>
    <t>3001-00449-01</t>
  </si>
  <si>
    <t>3001-00489-01</t>
  </si>
  <si>
    <t>AR3N-500E</t>
  </si>
  <si>
    <t>3001-00210-01</t>
  </si>
  <si>
    <t>3001-00211-01</t>
  </si>
  <si>
    <t>3001-00212-01</t>
  </si>
  <si>
    <t>3001-00213-01</t>
  </si>
  <si>
    <t>3001-00214-01</t>
  </si>
  <si>
    <t>3001-00215-01</t>
  </si>
  <si>
    <t>3001-00216-01</t>
  </si>
  <si>
    <t>3001-00217-01</t>
  </si>
  <si>
    <t>3001-00218-01</t>
  </si>
  <si>
    <t>3001-00219-01</t>
  </si>
  <si>
    <t>3001-00220-01</t>
  </si>
  <si>
    <t>3001-00221-01</t>
  </si>
  <si>
    <t>3001-00222-01</t>
  </si>
  <si>
    <t>3001-00223-01</t>
  </si>
  <si>
    <t>3001-00224-01</t>
  </si>
  <si>
    <t>3001-00225-01</t>
  </si>
  <si>
    <t>3001-00226-01</t>
  </si>
  <si>
    <t>3001-00227-01</t>
  </si>
  <si>
    <t>3001-00228-01</t>
  </si>
  <si>
    <t>3001-00229-01</t>
  </si>
  <si>
    <t xml:space="preserve">50ml orange cassette </t>
  </si>
  <si>
    <t xml:space="preserve">100ml orange cassette </t>
  </si>
  <si>
    <t xml:space="preserve">150ml orange cassette </t>
  </si>
  <si>
    <t xml:space="preserve">300ml orange cassette </t>
  </si>
  <si>
    <t xml:space="preserve">500ml orange cassette </t>
  </si>
  <si>
    <t>AR4L-050</t>
  </si>
  <si>
    <t>AR4L-100</t>
  </si>
  <si>
    <t>AR4L-150</t>
  </si>
  <si>
    <t>AR4L-300</t>
  </si>
  <si>
    <t>AR4L-500</t>
  </si>
  <si>
    <t>AR4N-050</t>
  </si>
  <si>
    <t>AR4N-100</t>
  </si>
  <si>
    <t>AR4N-150</t>
  </si>
  <si>
    <t>AR4N-300</t>
  </si>
  <si>
    <t>AR4N-500</t>
  </si>
  <si>
    <t>AR4L-050E</t>
  </si>
  <si>
    <t>AR4L-100E</t>
  </si>
  <si>
    <t>AR4L-150E</t>
  </si>
  <si>
    <t>AR4L-300E</t>
  </si>
  <si>
    <t>AR4L-500E</t>
  </si>
  <si>
    <t>AR4N-050E</t>
  </si>
  <si>
    <t>AR4N-100E</t>
  </si>
  <si>
    <t>AR4N-150E</t>
  </si>
  <si>
    <t>AR4N-300E</t>
  </si>
  <si>
    <t>AR4N-500E</t>
  </si>
  <si>
    <t>IP21B-CTO-01</t>
  </si>
  <si>
    <t>IP21B-CTO-02</t>
  </si>
  <si>
    <t>IP21B-CTO-03</t>
  </si>
  <si>
    <t>IP21B-CTO-04</t>
  </si>
  <si>
    <t>IP21B-CTO-05</t>
  </si>
  <si>
    <t>IP21B-CTO-06</t>
  </si>
  <si>
    <t>1458-00113-01</t>
  </si>
  <si>
    <t>1299-01266-01</t>
  </si>
  <si>
    <t>1408-00421-01</t>
  </si>
  <si>
    <t>1408-00443-01</t>
  </si>
  <si>
    <t>1408-00452-01</t>
  </si>
  <si>
    <t>1408-00453-01</t>
  </si>
  <si>
    <t>IP27C-CTO-02</t>
  </si>
  <si>
    <t>IP27C-CTO-03</t>
  </si>
  <si>
    <t>1405-00299-01</t>
  </si>
  <si>
    <t>1199-00076-01</t>
  </si>
  <si>
    <t>1457-00018-01</t>
  </si>
  <si>
    <t>1403-00074-01</t>
  </si>
  <si>
    <t>1464-00022-01</t>
  </si>
  <si>
    <t>3.5-inch touscreen ambulatory pump，4xAA Battery，without WIFI，without NB-IoT,with Charge Adapter,
PCA Controller（Choose from 0.3m or 2m)</t>
  </si>
  <si>
    <t>3.5-inch touscreen ambulatory pump，Lithum Battery，without WIFI，without NB-IoT,with Charge Adapter,
PCA Controller（Choose from 0.3m or 2m)</t>
  </si>
  <si>
    <t>2.4-inch touscreen ambulatory pump，2xAA Battery，without WIFI，with NB-IoT,
PCA Controller（Choose from 0.3m or 2m)</t>
  </si>
  <si>
    <t>2.4-inch touscreen ambulatory pump，2xAA Battery，without WIFI，without NB-IoT,
PCA Controller（Choose from 0.3m or 2m)</t>
  </si>
  <si>
    <t>Optional module for prescription and patient ID scanning.
Must place order together with P3,P6,P9</t>
  </si>
  <si>
    <t xml:space="preserve">Available for Elfensor P series                                                            Must to place order together with Pumps                                               </t>
  </si>
  <si>
    <t>Resuable backpack (380*230*150mm, 420D washed nylon)</t>
  </si>
  <si>
    <t>Resuable backpack (420*280*150mm, 420D washed nylon)</t>
  </si>
  <si>
    <t>Battery for P6 and P9</t>
  </si>
  <si>
    <t>For P6 and P9</t>
  </si>
  <si>
    <t>compatible with 50ml/100ml/150ml Cassette, EVA（Small Size）</t>
  </si>
  <si>
    <t>compatible with 300ml/500ml Cassette, EVA（Large Size）</t>
  </si>
  <si>
    <t>compatible with 50ml/100ml/150ml Cassette, Nylon（Small Size）</t>
  </si>
  <si>
    <t>compatible with 300ml/500ml Cassette, Nylon（Large Size）</t>
  </si>
  <si>
    <t>Elfensor P3</t>
  </si>
  <si>
    <t>Elfensor P6</t>
  </si>
  <si>
    <t>Elfensor P9</t>
  </si>
  <si>
    <t>Elfensor P2</t>
  </si>
  <si>
    <t>Elfensor P5</t>
  </si>
  <si>
    <t>Elfensor P8</t>
  </si>
  <si>
    <t>Scanner Module</t>
  </si>
  <si>
    <t>WIFI module</t>
  </si>
  <si>
    <t>Single Use Bag</t>
  </si>
  <si>
    <t>Reusable Bag</t>
  </si>
  <si>
    <t>PCA Controller wristband</t>
  </si>
  <si>
    <t>Clamp</t>
  </si>
  <si>
    <t>Lithium Battery</t>
  </si>
  <si>
    <t>Pump key</t>
  </si>
  <si>
    <t>USA charge adapter</t>
  </si>
  <si>
    <t>Elfensor P accessory</t>
  </si>
  <si>
    <t>1202-00017-01</t>
  </si>
  <si>
    <t>1404-00105-01</t>
  </si>
  <si>
    <t>1202-00003-01</t>
  </si>
  <si>
    <t>HP30C-CTO-01</t>
  </si>
  <si>
    <t>HP30C-CTO-02</t>
  </si>
  <si>
    <t>Workstation pole clamp</t>
  </si>
  <si>
    <t>HP series pumps carry handle</t>
  </si>
  <si>
    <t>HP series pumps clamp</t>
  </si>
  <si>
    <t>HP series pumps accessories kit, including 1 HP pump clamp,1 HP-81 handle and 1 power cable</t>
  </si>
  <si>
    <t>MP series Accessories Kit, including 1 MP pole clamp,1 MP-81 handle and 1 power cable</t>
  </si>
  <si>
    <t>HP Station Clamp</t>
  </si>
  <si>
    <t>HP-81 Handle</t>
  </si>
  <si>
    <t>HP Pump Pole Clamp</t>
  </si>
  <si>
    <t>HP Pump Accessories Kit</t>
  </si>
  <si>
    <t>MP Series Accessories Kit</t>
  </si>
  <si>
    <t>1202-00353-01</t>
  </si>
  <si>
    <t>1404-00504-01</t>
  </si>
  <si>
    <t>1202-00161-01</t>
  </si>
  <si>
    <t>1202-00161-02</t>
  </si>
  <si>
    <t>1199-00052-02</t>
  </si>
  <si>
    <t>1199-00051-01</t>
  </si>
  <si>
    <t>1202-01112-01</t>
  </si>
  <si>
    <t>1203-00002-01</t>
  </si>
  <si>
    <t>1199-00054-01</t>
  </si>
  <si>
    <t>1419-00086-01</t>
  </si>
  <si>
    <t>1199-00125-01</t>
  </si>
  <si>
    <t>1199-00056-01</t>
  </si>
  <si>
    <t xml:space="preserve">1419-00125-01  </t>
  </si>
  <si>
    <t>1419-00038-01</t>
  </si>
  <si>
    <t>1199-00002-02</t>
  </si>
  <si>
    <t>1199-00003-02</t>
  </si>
  <si>
    <t>1199-00001-02</t>
  </si>
  <si>
    <t>1202-00194-01</t>
  </si>
  <si>
    <t>1202-00038-01</t>
  </si>
  <si>
    <t>Drive head protector that can lock the 50ml syringe on the pump.</t>
  </si>
  <si>
    <t>To unlock the HP-30 PCA protector.</t>
  </si>
  <si>
    <t>PCA Controller
mini USB</t>
  </si>
  <si>
    <t>PCA Controller
Aviation joint</t>
  </si>
  <si>
    <t xml:space="preserve"> Monitoring drop of fluid
Aviation joint</t>
  </si>
  <si>
    <t>Model:MP-3
Monitoring drop of fluid</t>
  </si>
  <si>
    <t>Bar Code Scanner for HP</t>
  </si>
  <si>
    <t>Model: DS4208
Bar Code Scanner for MP</t>
  </si>
  <si>
    <t>Model: MP-2
Nurse call for MP</t>
  </si>
  <si>
    <t>Stylus pen will spring wire</t>
  </si>
  <si>
    <t>IV pole trolley, star base with 4 legs and Medcaptain branded shelf. Basic assembly required. Maximum weight bearing capacity 100kg, suitable for HP-80 eight channels and above. Trolley casters 530x480mm</t>
  </si>
  <si>
    <t>Trolley for MS-100
IV pole trolley, star base with 4 legs and detachable metal basket and Medcaptain branded shelf. Basic assembly required. 
Maximum weight bearing capacity 100kg. Trolley casters 530x480mm, bearing capacity of single hook is 2kg
*Carrying basket is an accessory</t>
  </si>
  <si>
    <t>the detachable metal basket for HP-100</t>
  </si>
  <si>
    <t>IV pole trolley, star base with 5 legs and Medcaptain branded shelf. Basic assembly required. Maximum weight bearing capacity 50kg, suitable for HP-80 four-eight channels. Trolley casters 670x670mm</t>
  </si>
  <si>
    <t>IV pole trolley, star base with 5 legs and Medcaptain branded shelf. Basic assembly required.Maximum weight bearing capacity 30 kg, suitable for HP-80 four channels. Trolley casters 760x760mm.</t>
  </si>
  <si>
    <t>IV pole trolley, star base with 5 legs and push handle. Basic assembly required. Maximum weight bearing capacity 5 kg. Suitable for stand along pump. Trolley casters: 710 x710mm</t>
  </si>
  <si>
    <t>MP series carry handle</t>
  </si>
  <si>
    <t>For SYS-6010,SYS-50,SYS-52&amp;SYS-70</t>
  </si>
  <si>
    <t>HP-30 PCA protector</t>
  </si>
  <si>
    <t>HP-30 PCA protector key</t>
  </si>
  <si>
    <t>PCA Controller mini USB</t>
  </si>
  <si>
    <t>PCA Controller 
Aviation joint</t>
  </si>
  <si>
    <t>HP Drop sensor
Aviation joint</t>
  </si>
  <si>
    <t>MP/SYS Drop sensor</t>
  </si>
  <si>
    <t>HP Scanner</t>
  </si>
  <si>
    <t>MP/SYS Scanner</t>
  </si>
  <si>
    <t>MP/SYS Nurse Call</t>
  </si>
  <si>
    <t xml:space="preserve">Touch screen stylus pen </t>
  </si>
  <si>
    <t>HP-100</t>
  </si>
  <si>
    <t>IP-110</t>
  </si>
  <si>
    <t>HP-100 basket</t>
  </si>
  <si>
    <t>MP-110/MP-100 basket</t>
  </si>
  <si>
    <t>MP- 100</t>
  </si>
  <si>
    <t>MP-110</t>
  </si>
  <si>
    <t>MP-120S</t>
  </si>
  <si>
    <t>MP-81</t>
  </si>
  <si>
    <t>MP Pole Clamp</t>
  </si>
  <si>
    <t>1408-00194-01</t>
  </si>
  <si>
    <t>1408-00196-01</t>
  </si>
  <si>
    <t>Travelling case for HP-80 four channels working station and its accessories. Without pump and accessory. Four castors, Size: 600x420x270mm</t>
  </si>
  <si>
    <t>Travelling case for MP-80 three channels working station and its accessories. Without pump and accessory. Four castors. Size: 600x420x270mm</t>
  </si>
  <si>
    <t>HP-80 travel kits</t>
  </si>
  <si>
    <t>MP-80 travel kits</t>
  </si>
  <si>
    <t>1199-00055-01</t>
  </si>
  <si>
    <t>1203-00031-01</t>
  </si>
  <si>
    <t>Heater only
Heat insulation and safe voltage</t>
  </si>
  <si>
    <t>EP-60 Silicone tube heater</t>
  </si>
  <si>
    <t>Heater</t>
  </si>
  <si>
    <t>DL-SYS5070-OPT</t>
  </si>
  <si>
    <t>Drug Library option of SYS-50/52/70</t>
  </si>
  <si>
    <t>Drug Library</t>
  </si>
  <si>
    <t>WI-SYS-seires</t>
  </si>
  <si>
    <t>Available for HP series, MP series, SYS seires, EP series</t>
  </si>
  <si>
    <t xml:space="preserve">PCA: software de función </t>
  </si>
  <si>
    <t>PCA Package: PCA function software, One controller, One drive head protector, Two keys</t>
  </si>
  <si>
    <t>PCA Accessory kit</t>
  </si>
  <si>
    <t>DTA</t>
  </si>
  <si>
    <t>Honorarios_Aduanales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</si>
</sst>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b/>
      <sz val="11"/>
      <color rgb="FFFFFFFF"/>
      <name val="Calibri"/>
      <family val="2"/>
    </font>
    <font>
      <sz val="11"/>
      <color theme="1"/>
      <name val="Calibri"/>
      <family val="2"/>
      <scheme val="minor"/>
    </font>
    <font>
      <sz val="10"/>
      <color rgb="FF000000"/>
      <name val="Segoe UI"/>
      <family val="2"/>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6">
    <xf numFmtId="0" fontId="0" fillId="0" borderId="0"/>
    <xf numFmtId="0" fontId="2" fillId="0" borderId="0"/>
    <xf numFmtId="0" fontId="2" fillId="0" borderId="0"/>
    <xf numFmtId="0" fontId="2" fillId="0" borderId="0">
      <alignment vertical="center"/>
    </xf>
    <xf numFmtId="0" fontId="4" fillId="0" borderId="0" applyNumberFormat="0" applyFill="0" applyBorder="0" applyAlignment="0" applyProtection="0"/>
    <xf numFmtId="9" fontId="2" fillId="0" borderId="0" applyFont="0" applyFill="0" applyBorder="0" applyAlignment="0" applyProtection="0"/>
  </cellStyleXfs>
  <cellXfs count="12">
    <xf numFmtId="0" fontId="0" fillId="0" borderId="0" xfId="0"/>
    <xf numFmtId="0" fontId="1" fillId="2" borderId="0" xfId="0" applyFont="1" applyFill="1" applyAlignment="1">
      <alignment horizontal="center" vertical="center" wrapText="1"/>
    </xf>
    <xf numFmtId="4" fontId="0" fillId="0" borderId="0" xfId="0" applyNumberFormat="1"/>
    <xf numFmtId="10" fontId="0" fillId="0" borderId="0" xfId="0" applyNumberFormat="1"/>
    <xf numFmtId="49" fontId="0" fillId="0" borderId="0" xfId="0" applyNumberFormat="1"/>
    <xf numFmtId="0" fontId="3" fillId="0" borderId="0" xfId="0" applyFont="1"/>
    <xf numFmtId="14" fontId="0" fillId="0" borderId="0" xfId="0" applyNumberFormat="1"/>
    <xf numFmtId="164" fontId="0" fillId="0" borderId="0" xfId="0" applyNumberFormat="1"/>
    <xf numFmtId="10" fontId="0" fillId="0" borderId="0" xfId="0" applyNumberFormat="1" applyAlignment="1">
      <alignment horizontal="right"/>
    </xf>
    <xf numFmtId="0" fontId="4" fillId="0" borderId="0" xfId="4"/>
    <xf numFmtId="2" fontId="0" fillId="0" borderId="0" xfId="0" applyNumberFormat="1"/>
    <xf numFmtId="10" fontId="0" fillId="0" borderId="0" xfId="5" applyNumberFormat="1" applyFont="1" applyAlignment="1">
      <alignment horizontal="right"/>
    </xf>
  </cellXfs>
  <cellStyles count="6">
    <cellStyle name="Hipervínculo" xfId="4" builtinId="8"/>
    <cellStyle name="Normal" xfId="0" builtinId="0"/>
    <cellStyle name="Normal 2" xfId="3" xr:uid="{B59CDC4A-B88C-4505-B127-1B64AE2D93A6}"/>
    <cellStyle name="Porcentaje" xfId="5" builtinId="5"/>
    <cellStyle name="常规 2" xfId="2" xr:uid="{9C728637-E1ED-4D31-B3AD-541A926F6BD0}"/>
    <cellStyle name="常规 4" xfId="1" xr:uid="{2E1E2ABB-6C43-4B1B-8EEB-31B1A47BCB52}"/>
  </cellStyles>
  <dxfs count="6">
    <dxf>
      <font>
        <color rgb="FF9C0006"/>
      </font>
      <fill>
        <patternFill>
          <bgColor rgb="FFFFC7CE"/>
        </patternFill>
      </fill>
    </dxf>
    <dxf>
      <numFmt numFmtId="0" formatCode="General"/>
    </dxf>
    <dxf>
      <numFmt numFmtId="19" formatCode="dd/mm/yyyy"/>
    </dxf>
    <dxf>
      <numFmt numFmtId="0" formatCode="General"/>
    </dxf>
    <dxf>
      <numFmt numFmtId="0" formatCode="General"/>
    </dxf>
    <dxf>
      <font>
        <color rgb="FF9C0006"/>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396</xdr:row>
      <xdr:rowOff>0</xdr:rowOff>
    </xdr:from>
    <xdr:to>
      <xdr:col>0</xdr:col>
      <xdr:colOff>304800</xdr:colOff>
      <xdr:row>400</xdr:row>
      <xdr:rowOff>133350</xdr:rowOff>
    </xdr:to>
    <xdr:sp macro="" textlink="">
      <xdr:nvSpPr>
        <xdr:cNvPr id="4" name="AutoShape 2" descr="A brief history of WiFi, the possibilities and prospects of wireless data  transmission in the near future - Prog.World">
          <a:extLst>
            <a:ext uri="{FF2B5EF4-FFF2-40B4-BE49-F238E27FC236}">
              <a16:creationId xmlns:a16="http://schemas.microsoft.com/office/drawing/2014/main" id="{9E4EDCFF-B374-4BAF-AB58-EEECEC7B702C}"/>
            </a:ext>
          </a:extLst>
        </xdr:cNvPr>
        <xdr:cNvSpPr>
          <a:spLocks noChangeAspect="1" noChangeArrowheads="1"/>
        </xdr:cNvSpPr>
      </xdr:nvSpPr>
      <xdr:spPr>
        <a:xfrm>
          <a:off x="5686425" y="1504950"/>
          <a:ext cx="304800" cy="8540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atalogo" displayName="tblCatalogo" ref="A1:T428" headerRowCellStyle="Normal" dataCellStyle="Normal" totalsRowCellStyle="Normal">
  <sortState xmlns:xlrd2="http://schemas.microsoft.com/office/spreadsheetml/2017/richdata2" ref="A2:K197">
    <sortCondition sortBy="fontColor" ref="A1:A197" dxfId="5"/>
  </sortState>
  <tableColumns count="20">
    <tableColumn id="1" xr3:uid="{00000000-0010-0000-0000-000001000000}" name="SKU" dataCellStyle="Normal"/>
    <tableColumn id="11" xr3:uid="{6BD9AB8E-44C5-4991-9556-F11C89C02E58}" name="Costo_Base" dataDxfId="4"/>
    <tableColumn id="2" xr3:uid="{00000000-0010-0000-0000-000002000000}" name="Descripción" dataCellStyle="Normal"/>
    <tableColumn id="8" xr3:uid="{9812E481-8413-4CC9-9462-8DAA05822A4E}" name="Proveedor" dataCellStyle="Normal"/>
    <tableColumn id="9" xr3:uid="{28F8971B-CE55-4F4D-85A7-A32BD43A1134}" name="Model" dataDxfId="3" dataCellStyle="Normal"/>
    <tableColumn id="3" xr3:uid="{00000000-0010-0000-0000-000003000000}" name="Origen" dataCellStyle="Normal"/>
    <tableColumn id="4" xr3:uid="{00000000-0010-0000-0000-000004000000}" name="Categoría" dataCellStyle="Normal"/>
    <tableColumn id="5" xr3:uid="{00000000-0010-0000-0000-000005000000}" name="Unidad" dataCellStyle="Normal"/>
    <tableColumn id="6" xr3:uid="{00000000-0010-0000-0000-000006000000}" name="Moneda_Base" dataCellStyle="Normal"/>
    <tableColumn id="12" xr3:uid="{571B36F0-1D60-4F76-BD3A-302925AFA610}" name="Fecha_Actualización" dataDxfId="2"/>
    <tableColumn id="7" xr3:uid="{00000000-0010-0000-0000-000007000000}" name="Activo (Sí/No)" dataCellStyle="Normal"/>
    <tableColumn id="10" xr3:uid="{B7F45F8C-8954-4CA6-965E-CAB509AA1BA6}" name="Costo_Base_MXN" dataDxfId="1" dataCellStyle="Normal" totalsRowCellStyle="Normal">
      <calculatedColumnFormula>tblCatalogo[[#This Row],[Costo_Base]]*21</calculatedColumnFormula>
    </tableColumn>
    <tableColumn id="13" xr3:uid="{96B85C8E-73AF-4F9F-9617-B94228BE354D}" name="Flete_%" dataCellStyle="Normal" totalsRowCellStyle="Normal"/>
    <tableColumn id="14" xr3:uid="{2F68616E-24B2-4781-A6C6-942C8E884C83}" name="Seguro_%" dataCellStyle="Normal" totalsRowCellStyle="Normal"/>
    <tableColumn id="15" xr3:uid="{2239EE98-43E4-4AAB-AF24-69C25870EA1E}" name="Arancel_%" dataCellStyle="Normal" totalsRowCellStyle="Normal"/>
    <tableColumn id="16" xr3:uid="{7C859328-07DE-4494-94EA-6C7C531CB707}" name="Mark_up_%" dataCellStyle="Normal" totalsRowCellStyle="Normal"/>
    <tableColumn id="17" xr3:uid="{EF4739D7-5CAC-4F8C-BA7F-CBFC21EF5D68}" name="DTA" dataCellStyle="Normal" totalsRowCellStyle="Normal"/>
    <tableColumn id="18" xr3:uid="{834E4017-BD39-4DCE-800D-3818007D9517}" name="Honorarios_Aduanales" dataCellStyle="Normal" totalsRowCellStyle="Normal"/>
    <tableColumn id="19" xr3:uid="{0CAF8C00-2181-4F95-BB3B-460FBB8F8C48}" name="Landed_Cost_MXN" dataCellStyle="Normal" totalsRowCellStyle="Normal"/>
    <tableColumn id="20" xr3:uid="{6BE0ADDC-DA0F-482D-A087-7CC22085195F}" name="Mark_up" dataCellStyle="Normal" totalsRowCellStyle="Norm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ParamsImp" displayName="tblParamsImp" ref="A1:D20" headerRowCellStyle="Normal" dataCellStyle="Normal" totalsRowCellStyle="Normal">
  <autoFilter ref="A1:D20" xr:uid="{00000000-0009-0000-0100-000003000000}"/>
  <tableColumns count="4">
    <tableColumn id="1" xr3:uid="{00000000-0010-0000-0200-000001000000}" name="Concepto" dataCellStyle="Normal"/>
    <tableColumn id="2" xr3:uid="{00000000-0010-0000-0200-000002000000}" name="Tipo" dataCellStyle="Normal"/>
    <tableColumn id="3" xr3:uid="{00000000-0010-0000-0200-000003000000}" name="Valor" dataCellStyle="Normal"/>
    <tableColumn id="4" xr3:uid="{00000000-0010-0000-0200-000004000000}" name="Descripción" dataCellStyle="Normal"/>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TC" displayName="tblTC" ref="A1:D20" headerRowCellStyle="Normal" dataCellStyle="Normal" totalsRowCellStyle="Normal">
  <autoFilter ref="A1:D20" xr:uid="{00000000-0009-0000-0100-000004000000}"/>
  <tableColumns count="4">
    <tableColumn id="1" xr3:uid="{00000000-0010-0000-0300-000001000000}" name="Moneda" dataCellStyle="Normal"/>
    <tableColumn id="2" xr3:uid="{00000000-0010-0000-0300-000002000000}" name="TC_MXN" dataCellStyle="Normal"/>
    <tableColumn id="3" xr3:uid="{00000000-0010-0000-0300-000003000000}" name="Fuente/Notas" dataCellStyle="Normal"/>
    <tableColumn id="4" xr3:uid="{00000000-0010-0000-0300-000004000000}" name="Fecha" dataCellStyle="Norm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T428"/>
  <sheetViews>
    <sheetView tabSelected="1" zoomScaleNormal="100" workbookViewId="0">
      <pane ySplit="1" topLeftCell="A2" activePane="bottomLeft" state="frozen"/>
      <selection pane="bottomLeft" activeCell="A169" sqref="A169"/>
    </sheetView>
  </sheetViews>
  <sheetFormatPr baseColWidth="10" defaultColWidth="8.7265625" defaultRowHeight="14.5" x14ac:dyDescent="0.35"/>
  <cols>
    <col min="1" max="1" width="17.26953125" bestFit="1" customWidth="1"/>
    <col min="2" max="2" width="10.6328125" bestFit="1" customWidth="1"/>
    <col min="3" max="3" width="33.453125" customWidth="1"/>
    <col min="4" max="4" width="13.1796875" bestFit="1" customWidth="1"/>
    <col min="5" max="5" width="18.453125" customWidth="1"/>
    <col min="6" max="6" width="9.81640625" bestFit="1" customWidth="1"/>
    <col min="7" max="7" width="9" bestFit="1" customWidth="1"/>
    <col min="8" max="8" width="7.08984375" bestFit="1" customWidth="1"/>
    <col min="9" max="9" width="12.90625" customWidth="1"/>
    <col min="10" max="10" width="18.08984375" bestFit="1" customWidth="1"/>
    <col min="11" max="11" width="12.81640625" bestFit="1" customWidth="1"/>
    <col min="12" max="12" width="15.90625" bestFit="1" customWidth="1"/>
  </cols>
  <sheetData>
    <row r="1" spans="1:20" x14ac:dyDescent="0.35">
      <c r="A1" t="s">
        <v>0</v>
      </c>
      <c r="B1" t="s">
        <v>153</v>
      </c>
      <c r="C1" t="s">
        <v>1</v>
      </c>
      <c r="D1" t="s">
        <v>2</v>
      </c>
      <c r="E1" t="s">
        <v>3</v>
      </c>
      <c r="F1" t="s">
        <v>4</v>
      </c>
      <c r="G1" t="s">
        <v>5</v>
      </c>
      <c r="H1" t="s">
        <v>6</v>
      </c>
      <c r="I1" t="s">
        <v>7</v>
      </c>
      <c r="J1" t="s">
        <v>155</v>
      </c>
      <c r="K1" t="s">
        <v>8</v>
      </c>
      <c r="L1" t="s">
        <v>178</v>
      </c>
      <c r="M1" t="s">
        <v>179</v>
      </c>
      <c r="N1" t="s">
        <v>180</v>
      </c>
      <c r="O1" t="s">
        <v>181</v>
      </c>
      <c r="P1" t="s">
        <v>478</v>
      </c>
      <c r="Q1" t="s">
        <v>898</v>
      </c>
      <c r="R1" t="s">
        <v>899</v>
      </c>
      <c r="S1" t="s">
        <v>182</v>
      </c>
      <c r="T1" t="s">
        <v>477</v>
      </c>
    </row>
    <row r="2" spans="1:20" x14ac:dyDescent="0.35">
      <c r="A2" t="s">
        <v>301</v>
      </c>
      <c r="B2">
        <v>2.35E-2</v>
      </c>
      <c r="C2" t="s">
        <v>421</v>
      </c>
      <c r="D2" t="s">
        <v>11</v>
      </c>
      <c r="E2" t="s">
        <v>423</v>
      </c>
      <c r="F2" t="s">
        <v>13</v>
      </c>
      <c r="G2" t="s">
        <v>14</v>
      </c>
      <c r="H2" t="s">
        <v>15</v>
      </c>
      <c r="I2" t="s">
        <v>16</v>
      </c>
      <c r="J2" s="6">
        <v>46030</v>
      </c>
      <c r="K2" t="s">
        <v>17</v>
      </c>
      <c r="L2">
        <f>tblCatalogo[[#This Row],[Costo_Base]]*21</f>
        <v>0.49349999999999999</v>
      </c>
    </row>
    <row r="3" spans="1:20" x14ac:dyDescent="0.35">
      <c r="A3" t="s">
        <v>302</v>
      </c>
      <c r="B3">
        <v>2.9000000000000001E-2</v>
      </c>
      <c r="C3" t="s">
        <v>421</v>
      </c>
      <c r="D3" t="s">
        <v>11</v>
      </c>
      <c r="E3" t="s">
        <v>424</v>
      </c>
      <c r="F3" t="s">
        <v>13</v>
      </c>
      <c r="G3" t="s">
        <v>14</v>
      </c>
      <c r="H3" t="s">
        <v>15</v>
      </c>
      <c r="I3" t="s">
        <v>16</v>
      </c>
      <c r="J3" s="6">
        <v>46030</v>
      </c>
      <c r="K3" t="s">
        <v>17</v>
      </c>
      <c r="L3">
        <f>tblCatalogo[[#This Row],[Costo_Base]]*21</f>
        <v>0.60899999999999999</v>
      </c>
    </row>
    <row r="4" spans="1:20" x14ac:dyDescent="0.35">
      <c r="A4" t="s">
        <v>303</v>
      </c>
      <c r="B4">
        <v>3.6999999999999998E-2</v>
      </c>
      <c r="C4" t="s">
        <v>421</v>
      </c>
      <c r="D4" t="s">
        <v>11</v>
      </c>
      <c r="E4" t="s">
        <v>425</v>
      </c>
      <c r="F4" t="s">
        <v>13</v>
      </c>
      <c r="G4" t="s">
        <v>14</v>
      </c>
      <c r="H4" t="s">
        <v>15</v>
      </c>
      <c r="I4" t="s">
        <v>16</v>
      </c>
      <c r="J4" s="6">
        <v>46030</v>
      </c>
      <c r="K4" t="s">
        <v>17</v>
      </c>
      <c r="L4">
        <f>tblCatalogo[[#This Row],[Costo_Base]]*21</f>
        <v>0.77699999999999991</v>
      </c>
    </row>
    <row r="5" spans="1:20" x14ac:dyDescent="0.35">
      <c r="A5" t="s">
        <v>304</v>
      </c>
      <c r="B5">
        <v>6.0999999999999999E-2</v>
      </c>
      <c r="C5" t="s">
        <v>421</v>
      </c>
      <c r="D5" t="s">
        <v>11</v>
      </c>
      <c r="E5" t="s">
        <v>426</v>
      </c>
      <c r="F5" t="s">
        <v>13</v>
      </c>
      <c r="G5" t="s">
        <v>14</v>
      </c>
      <c r="H5" t="s">
        <v>15</v>
      </c>
      <c r="I5" t="s">
        <v>16</v>
      </c>
      <c r="J5" s="6">
        <v>46030</v>
      </c>
      <c r="K5" t="s">
        <v>17</v>
      </c>
      <c r="L5">
        <f>tblCatalogo[[#This Row],[Costo_Base]]*21</f>
        <v>1.2809999999999999</v>
      </c>
    </row>
    <row r="6" spans="1:20" ht="14.5" customHeight="1" x14ac:dyDescent="0.35">
      <c r="A6" t="s">
        <v>305</v>
      </c>
      <c r="B6">
        <v>0.121</v>
      </c>
      <c r="C6" t="s">
        <v>421</v>
      </c>
      <c r="D6" t="s">
        <v>11</v>
      </c>
      <c r="E6" t="s">
        <v>427</v>
      </c>
      <c r="F6" t="s">
        <v>13</v>
      </c>
      <c r="G6" t="s">
        <v>14</v>
      </c>
      <c r="H6" t="s">
        <v>15</v>
      </c>
      <c r="I6" t="s">
        <v>16</v>
      </c>
      <c r="J6" s="6">
        <v>46030</v>
      </c>
      <c r="K6" t="s">
        <v>17</v>
      </c>
      <c r="L6">
        <f>tblCatalogo[[#This Row],[Costo_Base]]*21</f>
        <v>2.5409999999999999</v>
      </c>
    </row>
    <row r="7" spans="1:20" x14ac:dyDescent="0.35">
      <c r="A7" t="s">
        <v>306</v>
      </c>
      <c r="B7">
        <v>0.121</v>
      </c>
      <c r="C7" t="s">
        <v>421</v>
      </c>
      <c r="D7" t="s">
        <v>11</v>
      </c>
      <c r="E7" t="s">
        <v>428</v>
      </c>
      <c r="F7" t="s">
        <v>13</v>
      </c>
      <c r="G7" t="s">
        <v>14</v>
      </c>
      <c r="H7" t="s">
        <v>15</v>
      </c>
      <c r="I7" t="s">
        <v>16</v>
      </c>
      <c r="J7" s="6">
        <v>46030</v>
      </c>
      <c r="K7" t="s">
        <v>17</v>
      </c>
      <c r="L7">
        <f>tblCatalogo[[#This Row],[Costo_Base]]*21</f>
        <v>2.5409999999999999</v>
      </c>
    </row>
    <row r="8" spans="1:20" x14ac:dyDescent="0.35">
      <c r="A8" t="s">
        <v>251</v>
      </c>
      <c r="B8">
        <v>3.7999999999999999E-2</v>
      </c>
      <c r="C8" t="s">
        <v>422</v>
      </c>
      <c r="D8" t="s">
        <v>11</v>
      </c>
      <c r="E8" t="s">
        <v>366</v>
      </c>
      <c r="F8" t="s">
        <v>13</v>
      </c>
      <c r="G8" t="s">
        <v>14</v>
      </c>
      <c r="H8" t="s">
        <v>15</v>
      </c>
      <c r="I8" t="s">
        <v>16</v>
      </c>
      <c r="J8" s="6">
        <v>46030</v>
      </c>
      <c r="K8" t="s">
        <v>17</v>
      </c>
      <c r="L8">
        <f>tblCatalogo[[#This Row],[Costo_Base]]*21</f>
        <v>0.79799999999999993</v>
      </c>
    </row>
    <row r="9" spans="1:20" x14ac:dyDescent="0.35">
      <c r="A9" t="s">
        <v>252</v>
      </c>
      <c r="B9">
        <v>3.7999999999999999E-2</v>
      </c>
      <c r="C9" t="s">
        <v>422</v>
      </c>
      <c r="D9" t="s">
        <v>11</v>
      </c>
      <c r="E9" t="s">
        <v>367</v>
      </c>
      <c r="F9" t="s">
        <v>13</v>
      </c>
      <c r="G9" t="s">
        <v>14</v>
      </c>
      <c r="H9" t="s">
        <v>15</v>
      </c>
      <c r="I9" t="s">
        <v>16</v>
      </c>
      <c r="J9" s="6">
        <v>46030</v>
      </c>
      <c r="K9" t="s">
        <v>17</v>
      </c>
      <c r="L9">
        <f>tblCatalogo[[#This Row],[Costo_Base]]*21</f>
        <v>0.79799999999999993</v>
      </c>
    </row>
    <row r="10" spans="1:20" x14ac:dyDescent="0.35">
      <c r="A10" t="s">
        <v>253</v>
      </c>
      <c r="B10">
        <v>4.5999999999999999E-2</v>
      </c>
      <c r="C10" t="s">
        <v>422</v>
      </c>
      <c r="D10" t="s">
        <v>11</v>
      </c>
      <c r="E10" t="s">
        <v>368</v>
      </c>
      <c r="F10" t="s">
        <v>13</v>
      </c>
      <c r="G10" t="s">
        <v>14</v>
      </c>
      <c r="H10" t="s">
        <v>15</v>
      </c>
      <c r="I10" t="s">
        <v>16</v>
      </c>
      <c r="J10" s="6">
        <v>46030</v>
      </c>
      <c r="K10" t="s">
        <v>17</v>
      </c>
      <c r="L10">
        <f>tblCatalogo[[#This Row],[Costo_Base]]*21</f>
        <v>0.96599999999999997</v>
      </c>
    </row>
    <row r="11" spans="1:20" x14ac:dyDescent="0.35">
      <c r="A11" t="s">
        <v>254</v>
      </c>
      <c r="B11">
        <v>6.2E-2</v>
      </c>
      <c r="C11" t="s">
        <v>422</v>
      </c>
      <c r="D11" t="s">
        <v>11</v>
      </c>
      <c r="E11" t="s">
        <v>369</v>
      </c>
      <c r="F11" t="s">
        <v>13</v>
      </c>
      <c r="G11" t="s">
        <v>14</v>
      </c>
      <c r="H11" t="s">
        <v>15</v>
      </c>
      <c r="I11" t="s">
        <v>16</v>
      </c>
      <c r="J11" s="6">
        <v>46030</v>
      </c>
      <c r="K11" t="s">
        <v>17</v>
      </c>
      <c r="L11">
        <f>tblCatalogo[[#This Row],[Costo_Base]]*21</f>
        <v>1.302</v>
      </c>
    </row>
    <row r="12" spans="1:20" x14ac:dyDescent="0.35">
      <c r="A12" t="s">
        <v>256</v>
      </c>
      <c r="B12">
        <v>0.13200000000000001</v>
      </c>
      <c r="C12" t="s">
        <v>422</v>
      </c>
      <c r="D12" t="s">
        <v>11</v>
      </c>
      <c r="E12" t="s">
        <v>371</v>
      </c>
      <c r="F12" t="s">
        <v>13</v>
      </c>
      <c r="G12" t="s">
        <v>14</v>
      </c>
      <c r="H12" t="s">
        <v>15</v>
      </c>
      <c r="I12" t="s">
        <v>16</v>
      </c>
      <c r="J12" s="6">
        <v>46030</v>
      </c>
      <c r="K12" t="s">
        <v>17</v>
      </c>
      <c r="L12">
        <f>tblCatalogo[[#This Row],[Costo_Base]]*21</f>
        <v>2.7720000000000002</v>
      </c>
    </row>
    <row r="13" spans="1:20" x14ac:dyDescent="0.35">
      <c r="A13" t="s">
        <v>257</v>
      </c>
      <c r="B13">
        <v>0.13200000000000001</v>
      </c>
      <c r="C13" t="s">
        <v>422</v>
      </c>
      <c r="D13" t="s">
        <v>11</v>
      </c>
      <c r="E13" t="s">
        <v>372</v>
      </c>
      <c r="F13" t="s">
        <v>13</v>
      </c>
      <c r="G13" t="s">
        <v>14</v>
      </c>
      <c r="H13" t="s">
        <v>15</v>
      </c>
      <c r="I13" t="s">
        <v>16</v>
      </c>
      <c r="J13" s="6">
        <v>46030</v>
      </c>
      <c r="K13" t="s">
        <v>17</v>
      </c>
      <c r="L13">
        <f>tblCatalogo[[#This Row],[Costo_Base]]*21</f>
        <v>2.7720000000000002</v>
      </c>
    </row>
    <row r="14" spans="1:20" x14ac:dyDescent="0.35">
      <c r="A14" t="s">
        <v>467</v>
      </c>
      <c r="B14">
        <v>3000</v>
      </c>
      <c r="C14" t="s">
        <v>468</v>
      </c>
      <c r="D14" t="s">
        <v>72</v>
      </c>
      <c r="E14" t="s">
        <v>431</v>
      </c>
      <c r="F14" t="s">
        <v>13</v>
      </c>
      <c r="G14" t="s">
        <v>74</v>
      </c>
      <c r="H14" t="s">
        <v>15</v>
      </c>
      <c r="I14" t="s">
        <v>16</v>
      </c>
      <c r="J14" s="6">
        <v>46030</v>
      </c>
      <c r="K14" t="s">
        <v>75</v>
      </c>
      <c r="L14">
        <f>tblCatalogo[[#This Row],[Costo_Base]]*21</f>
        <v>63000</v>
      </c>
    </row>
    <row r="15" spans="1:20" x14ac:dyDescent="0.35">
      <c r="A15" t="s">
        <v>469</v>
      </c>
      <c r="B15">
        <v>3000</v>
      </c>
      <c r="C15" t="s">
        <v>473</v>
      </c>
      <c r="D15" t="s">
        <v>72</v>
      </c>
      <c r="E15" t="s">
        <v>431</v>
      </c>
      <c r="F15" t="s">
        <v>13</v>
      </c>
      <c r="G15" t="s">
        <v>74</v>
      </c>
      <c r="H15" t="s">
        <v>15</v>
      </c>
      <c r="I15" t="s">
        <v>16</v>
      </c>
      <c r="J15" s="6">
        <v>46030</v>
      </c>
      <c r="K15" t="s">
        <v>75</v>
      </c>
      <c r="L15">
        <f>tblCatalogo[[#This Row],[Costo_Base]]*21</f>
        <v>63000</v>
      </c>
    </row>
    <row r="16" spans="1:20" x14ac:dyDescent="0.35">
      <c r="A16" t="s">
        <v>470</v>
      </c>
      <c r="B16">
        <v>6000</v>
      </c>
      <c r="C16" t="s">
        <v>474</v>
      </c>
      <c r="D16" t="s">
        <v>72</v>
      </c>
      <c r="E16" t="s">
        <v>431</v>
      </c>
      <c r="F16" t="s">
        <v>13</v>
      </c>
      <c r="G16" t="s">
        <v>74</v>
      </c>
      <c r="H16" t="s">
        <v>15</v>
      </c>
      <c r="I16" t="s">
        <v>16</v>
      </c>
      <c r="J16" s="6">
        <v>46030</v>
      </c>
      <c r="K16" t="s">
        <v>75</v>
      </c>
      <c r="L16">
        <f>tblCatalogo[[#This Row],[Costo_Base]]*21</f>
        <v>126000</v>
      </c>
    </row>
    <row r="17" spans="1:12" x14ac:dyDescent="0.35">
      <c r="A17" t="s">
        <v>471</v>
      </c>
      <c r="B17">
        <v>12000</v>
      </c>
      <c r="C17" t="s">
        <v>475</v>
      </c>
      <c r="D17" t="s">
        <v>72</v>
      </c>
      <c r="E17" t="s">
        <v>431</v>
      </c>
      <c r="F17" t="s">
        <v>13</v>
      </c>
      <c r="G17" t="s">
        <v>74</v>
      </c>
      <c r="H17" t="s">
        <v>15</v>
      </c>
      <c r="I17" t="s">
        <v>16</v>
      </c>
      <c r="J17" s="6">
        <v>46030</v>
      </c>
      <c r="K17" t="s">
        <v>75</v>
      </c>
      <c r="L17">
        <f>tblCatalogo[[#This Row],[Costo_Base]]*21</f>
        <v>252000</v>
      </c>
    </row>
    <row r="18" spans="1:12" x14ac:dyDescent="0.35">
      <c r="A18" t="s">
        <v>472</v>
      </c>
      <c r="B18">
        <v>550</v>
      </c>
      <c r="C18" t="s">
        <v>476</v>
      </c>
      <c r="D18" t="s">
        <v>72</v>
      </c>
      <c r="E18" t="s">
        <v>431</v>
      </c>
      <c r="F18" t="s">
        <v>13</v>
      </c>
      <c r="G18" t="s">
        <v>74</v>
      </c>
      <c r="H18" t="s">
        <v>15</v>
      </c>
      <c r="I18" t="s">
        <v>16</v>
      </c>
      <c r="J18" s="6">
        <v>46030</v>
      </c>
      <c r="K18" t="s">
        <v>75</v>
      </c>
      <c r="L18">
        <f>tblCatalogo[[#This Row],[Costo_Base]]*21</f>
        <v>11550</v>
      </c>
    </row>
    <row r="19" spans="1:12" x14ac:dyDescent="0.35">
      <c r="A19" t="s">
        <v>98</v>
      </c>
      <c r="B19">
        <v>1000</v>
      </c>
      <c r="C19" t="s">
        <v>99</v>
      </c>
      <c r="D19" t="s">
        <v>72</v>
      </c>
      <c r="E19" t="s">
        <v>100</v>
      </c>
      <c r="F19" t="s">
        <v>13</v>
      </c>
      <c r="G19" t="s">
        <v>74</v>
      </c>
      <c r="H19" t="s">
        <v>15</v>
      </c>
      <c r="I19" t="s">
        <v>16</v>
      </c>
      <c r="J19" s="6">
        <v>46030</v>
      </c>
      <c r="K19" t="s">
        <v>75</v>
      </c>
      <c r="L19">
        <f>tblCatalogo[[#This Row],[Costo_Base]]*21</f>
        <v>21000</v>
      </c>
    </row>
    <row r="20" spans="1:12" x14ac:dyDescent="0.35">
      <c r="A20" t="s">
        <v>136</v>
      </c>
      <c r="B20">
        <v>120</v>
      </c>
      <c r="C20" t="s">
        <v>137</v>
      </c>
      <c r="D20" t="s">
        <v>72</v>
      </c>
      <c r="E20" s="4" t="s">
        <v>138</v>
      </c>
      <c r="F20" t="s">
        <v>13</v>
      </c>
      <c r="G20" t="s">
        <v>74</v>
      </c>
      <c r="H20" t="s">
        <v>15</v>
      </c>
      <c r="I20" t="s">
        <v>16</v>
      </c>
      <c r="J20" s="6">
        <v>46030</v>
      </c>
      <c r="K20" t="s">
        <v>75</v>
      </c>
      <c r="L20">
        <f>tblCatalogo[[#This Row],[Costo_Base]]*21</f>
        <v>2520</v>
      </c>
    </row>
    <row r="21" spans="1:12" ht="16" x14ac:dyDescent="0.45">
      <c r="A21" t="s">
        <v>133</v>
      </c>
      <c r="B21">
        <v>200</v>
      </c>
      <c r="C21" s="5" t="s">
        <v>134</v>
      </c>
      <c r="D21" t="s">
        <v>72</v>
      </c>
      <c r="E21" s="4" t="s">
        <v>135</v>
      </c>
      <c r="F21" t="s">
        <v>13</v>
      </c>
      <c r="G21" t="s">
        <v>74</v>
      </c>
      <c r="H21" t="s">
        <v>15</v>
      </c>
      <c r="I21" t="s">
        <v>16</v>
      </c>
      <c r="J21" s="6">
        <v>46030</v>
      </c>
      <c r="K21" t="s">
        <v>75</v>
      </c>
      <c r="L21">
        <f>tblCatalogo[[#This Row],[Costo_Base]]*21</f>
        <v>4200</v>
      </c>
    </row>
    <row r="22" spans="1:12" ht="14.5" customHeight="1" x14ac:dyDescent="0.35">
      <c r="A22" t="s">
        <v>110</v>
      </c>
      <c r="B22">
        <v>66</v>
      </c>
      <c r="C22" t="s">
        <v>111</v>
      </c>
      <c r="D22" t="s">
        <v>72</v>
      </c>
      <c r="E22" t="s">
        <v>112</v>
      </c>
      <c r="F22" t="s">
        <v>13</v>
      </c>
      <c r="G22" t="s">
        <v>74</v>
      </c>
      <c r="H22" t="s">
        <v>15</v>
      </c>
      <c r="I22" t="s">
        <v>16</v>
      </c>
      <c r="J22" s="6">
        <v>46030</v>
      </c>
      <c r="K22" t="s">
        <v>75</v>
      </c>
      <c r="L22">
        <f>tblCatalogo[[#This Row],[Costo_Base]]*21</f>
        <v>1386</v>
      </c>
    </row>
    <row r="23" spans="1:12" x14ac:dyDescent="0.35">
      <c r="A23" t="s">
        <v>113</v>
      </c>
      <c r="B23">
        <v>100</v>
      </c>
      <c r="C23" t="s">
        <v>114</v>
      </c>
      <c r="D23" t="s">
        <v>72</v>
      </c>
      <c r="E23" t="s">
        <v>115</v>
      </c>
      <c r="F23" t="s">
        <v>13</v>
      </c>
      <c r="G23" t="s">
        <v>74</v>
      </c>
      <c r="H23" t="s">
        <v>15</v>
      </c>
      <c r="I23" t="s">
        <v>16</v>
      </c>
      <c r="J23" s="6">
        <v>46030</v>
      </c>
      <c r="K23" t="s">
        <v>75</v>
      </c>
      <c r="L23">
        <f>tblCatalogo[[#This Row],[Costo_Base]]*21</f>
        <v>2100</v>
      </c>
    </row>
    <row r="24" spans="1:12" x14ac:dyDescent="0.35">
      <c r="A24" t="s">
        <v>92</v>
      </c>
      <c r="B24">
        <v>192</v>
      </c>
      <c r="C24" t="s">
        <v>93</v>
      </c>
      <c r="D24" t="s">
        <v>72</v>
      </c>
      <c r="E24" s="4" t="s">
        <v>94</v>
      </c>
      <c r="F24" t="s">
        <v>13</v>
      </c>
      <c r="G24" t="s">
        <v>74</v>
      </c>
      <c r="H24" t="s">
        <v>15</v>
      </c>
      <c r="I24" t="s">
        <v>16</v>
      </c>
      <c r="J24" s="6">
        <v>46030</v>
      </c>
      <c r="K24" t="s">
        <v>75</v>
      </c>
      <c r="L24">
        <f>tblCatalogo[[#This Row],[Costo_Base]]*21</f>
        <v>4032</v>
      </c>
    </row>
    <row r="25" spans="1:12" x14ac:dyDescent="0.35">
      <c r="A25" t="s">
        <v>104</v>
      </c>
      <c r="B25">
        <v>300</v>
      </c>
      <c r="C25" t="s">
        <v>105</v>
      </c>
      <c r="D25" t="s">
        <v>72</v>
      </c>
      <c r="E25" t="s">
        <v>106</v>
      </c>
      <c r="F25" t="s">
        <v>13</v>
      </c>
      <c r="G25" t="s">
        <v>74</v>
      </c>
      <c r="H25" t="s">
        <v>15</v>
      </c>
      <c r="I25" t="s">
        <v>16</v>
      </c>
      <c r="J25" s="6">
        <v>46030</v>
      </c>
      <c r="K25" t="s">
        <v>75</v>
      </c>
      <c r="L25">
        <f>tblCatalogo[[#This Row],[Costo_Base]]*21</f>
        <v>6300</v>
      </c>
    </row>
    <row r="26" spans="1:12" x14ac:dyDescent="0.35">
      <c r="A26" t="s">
        <v>101</v>
      </c>
      <c r="B26">
        <v>300</v>
      </c>
      <c r="C26" t="s">
        <v>102</v>
      </c>
      <c r="D26" t="s">
        <v>72</v>
      </c>
      <c r="E26" t="s">
        <v>103</v>
      </c>
      <c r="F26" t="s">
        <v>13</v>
      </c>
      <c r="G26" t="s">
        <v>74</v>
      </c>
      <c r="H26" t="s">
        <v>15</v>
      </c>
      <c r="I26" t="s">
        <v>16</v>
      </c>
      <c r="J26" s="6">
        <v>46030</v>
      </c>
      <c r="K26" t="s">
        <v>75</v>
      </c>
      <c r="L26">
        <f>tblCatalogo[[#This Row],[Costo_Base]]*21</f>
        <v>6300</v>
      </c>
    </row>
    <row r="27" spans="1:12" x14ac:dyDescent="0.35">
      <c r="A27" t="s">
        <v>107</v>
      </c>
      <c r="B27">
        <v>50</v>
      </c>
      <c r="C27" t="s">
        <v>108</v>
      </c>
      <c r="D27" t="s">
        <v>72</v>
      </c>
      <c r="E27" t="s">
        <v>109</v>
      </c>
      <c r="F27" t="s">
        <v>13</v>
      </c>
      <c r="G27" t="s">
        <v>74</v>
      </c>
      <c r="H27" t="s">
        <v>15</v>
      </c>
      <c r="I27" t="s">
        <v>16</v>
      </c>
      <c r="J27" s="6">
        <v>46030</v>
      </c>
      <c r="K27" t="s">
        <v>75</v>
      </c>
      <c r="L27">
        <f>tblCatalogo[[#This Row],[Costo_Base]]*21</f>
        <v>1050</v>
      </c>
    </row>
    <row r="28" spans="1:12" x14ac:dyDescent="0.35">
      <c r="A28" t="s">
        <v>139</v>
      </c>
      <c r="B28">
        <v>3.84</v>
      </c>
      <c r="C28" t="s">
        <v>140</v>
      </c>
      <c r="D28" t="s">
        <v>72</v>
      </c>
      <c r="E28" t="s">
        <v>141</v>
      </c>
      <c r="F28" t="s">
        <v>13</v>
      </c>
      <c r="G28" t="s">
        <v>74</v>
      </c>
      <c r="H28" t="s">
        <v>15</v>
      </c>
      <c r="I28" t="s">
        <v>16</v>
      </c>
      <c r="J28" s="6">
        <v>46030</v>
      </c>
      <c r="K28" t="s">
        <v>75</v>
      </c>
      <c r="L28">
        <f>tblCatalogo[[#This Row],[Costo_Base]]*21</f>
        <v>80.64</v>
      </c>
    </row>
    <row r="29" spans="1:12" x14ac:dyDescent="0.35">
      <c r="A29" t="s">
        <v>142</v>
      </c>
      <c r="B29">
        <v>3.96</v>
      </c>
      <c r="C29" t="s">
        <v>143</v>
      </c>
      <c r="D29" t="s">
        <v>72</v>
      </c>
      <c r="E29" t="s">
        <v>144</v>
      </c>
      <c r="F29" t="s">
        <v>13</v>
      </c>
      <c r="G29" t="s">
        <v>74</v>
      </c>
      <c r="H29" t="s">
        <v>15</v>
      </c>
      <c r="I29" t="s">
        <v>16</v>
      </c>
      <c r="J29" s="6">
        <v>46030</v>
      </c>
      <c r="K29" t="s">
        <v>75</v>
      </c>
      <c r="L29">
        <f>tblCatalogo[[#This Row],[Costo_Base]]*21</f>
        <v>83.16</v>
      </c>
    </row>
    <row r="30" spans="1:12" x14ac:dyDescent="0.35">
      <c r="A30" t="s">
        <v>64</v>
      </c>
      <c r="B30">
        <v>1.9</v>
      </c>
      <c r="C30" t="s">
        <v>65</v>
      </c>
      <c r="D30" t="s">
        <v>11</v>
      </c>
      <c r="E30" t="s">
        <v>35</v>
      </c>
      <c r="F30" t="s">
        <v>13</v>
      </c>
      <c r="G30" t="s">
        <v>14</v>
      </c>
      <c r="H30" t="s">
        <v>15</v>
      </c>
      <c r="I30" t="s">
        <v>16</v>
      </c>
      <c r="J30" s="6">
        <v>46030</v>
      </c>
      <c r="K30" t="s">
        <v>17</v>
      </c>
      <c r="L30">
        <f>tblCatalogo[[#This Row],[Costo_Base]]*21</f>
        <v>39.9</v>
      </c>
    </row>
    <row r="31" spans="1:12" x14ac:dyDescent="0.35">
      <c r="A31" t="s">
        <v>49</v>
      </c>
      <c r="B31">
        <v>1.1499999999999999</v>
      </c>
      <c r="C31" t="s">
        <v>50</v>
      </c>
      <c r="D31" t="s">
        <v>11</v>
      </c>
      <c r="E31" t="s">
        <v>12</v>
      </c>
      <c r="F31" t="s">
        <v>13</v>
      </c>
      <c r="G31" t="s">
        <v>14</v>
      </c>
      <c r="H31" t="s">
        <v>15</v>
      </c>
      <c r="I31" t="s">
        <v>16</v>
      </c>
      <c r="J31" s="6">
        <v>46030</v>
      </c>
      <c r="K31" t="s">
        <v>17</v>
      </c>
      <c r="L31">
        <f>tblCatalogo[[#This Row],[Costo_Base]]*21</f>
        <v>24.15</v>
      </c>
    </row>
    <row r="32" spans="1:12" x14ac:dyDescent="0.35">
      <c r="A32" t="s">
        <v>60</v>
      </c>
      <c r="B32">
        <v>1.45</v>
      </c>
      <c r="C32" t="s">
        <v>61</v>
      </c>
      <c r="D32" t="s">
        <v>11</v>
      </c>
      <c r="E32" t="s">
        <v>12</v>
      </c>
      <c r="F32" t="s">
        <v>13</v>
      </c>
      <c r="G32" t="s">
        <v>14</v>
      </c>
      <c r="H32" t="s">
        <v>15</v>
      </c>
      <c r="I32" t="s">
        <v>16</v>
      </c>
      <c r="J32" s="6">
        <v>46030</v>
      </c>
      <c r="K32" t="s">
        <v>17</v>
      </c>
      <c r="L32">
        <f>tblCatalogo[[#This Row],[Costo_Base]]*21</f>
        <v>30.45</v>
      </c>
    </row>
    <row r="33" spans="1:12" x14ac:dyDescent="0.35">
      <c r="A33" t="s">
        <v>47</v>
      </c>
      <c r="B33">
        <v>1.1299999999999999</v>
      </c>
      <c r="C33" t="s">
        <v>48</v>
      </c>
      <c r="D33" t="s">
        <v>11</v>
      </c>
      <c r="E33" t="s">
        <v>26</v>
      </c>
      <c r="F33" t="s">
        <v>13</v>
      </c>
      <c r="G33" t="s">
        <v>14</v>
      </c>
      <c r="H33" t="s">
        <v>15</v>
      </c>
      <c r="I33" t="s">
        <v>16</v>
      </c>
      <c r="J33" s="6">
        <v>46030</v>
      </c>
      <c r="K33" t="s">
        <v>17</v>
      </c>
      <c r="L33">
        <f>tblCatalogo[[#This Row],[Costo_Base]]*21</f>
        <v>23.729999999999997</v>
      </c>
    </row>
    <row r="34" spans="1:12" x14ac:dyDescent="0.35">
      <c r="A34" t="s">
        <v>45</v>
      </c>
      <c r="B34">
        <v>0.56000000000000005</v>
      </c>
      <c r="C34" t="s">
        <v>46</v>
      </c>
      <c r="D34" t="s">
        <v>11</v>
      </c>
      <c r="E34" t="s">
        <v>12</v>
      </c>
      <c r="F34" t="s">
        <v>13</v>
      </c>
      <c r="G34" t="s">
        <v>14</v>
      </c>
      <c r="H34" t="s">
        <v>15</v>
      </c>
      <c r="I34" t="s">
        <v>16</v>
      </c>
      <c r="J34" s="6">
        <v>46030</v>
      </c>
      <c r="K34" t="s">
        <v>17</v>
      </c>
      <c r="L34">
        <f>tblCatalogo[[#This Row],[Costo_Base]]*21</f>
        <v>11.760000000000002</v>
      </c>
    </row>
    <row r="35" spans="1:12" x14ac:dyDescent="0.35">
      <c r="A35" t="s">
        <v>9</v>
      </c>
      <c r="B35">
        <v>0.35</v>
      </c>
      <c r="C35" t="s">
        <v>10</v>
      </c>
      <c r="D35" t="s">
        <v>11</v>
      </c>
      <c r="E35" t="s">
        <v>12</v>
      </c>
      <c r="F35" t="s">
        <v>13</v>
      </c>
      <c r="G35" t="s">
        <v>14</v>
      </c>
      <c r="H35" t="s">
        <v>15</v>
      </c>
      <c r="I35" t="s">
        <v>16</v>
      </c>
      <c r="J35" s="6">
        <v>46030</v>
      </c>
      <c r="K35" t="s">
        <v>17</v>
      </c>
      <c r="L35">
        <f>tblCatalogo[[#This Row],[Costo_Base]]*21</f>
        <v>7.35</v>
      </c>
    </row>
    <row r="36" spans="1:12" x14ac:dyDescent="0.35">
      <c r="A36" t="s">
        <v>41</v>
      </c>
      <c r="B36">
        <v>0.78</v>
      </c>
      <c r="C36" t="s">
        <v>42</v>
      </c>
      <c r="D36" t="s">
        <v>11</v>
      </c>
      <c r="E36" t="s">
        <v>35</v>
      </c>
      <c r="F36" t="s">
        <v>13</v>
      </c>
      <c r="G36" t="s">
        <v>14</v>
      </c>
      <c r="H36" t="s">
        <v>15</v>
      </c>
      <c r="I36" t="s">
        <v>16</v>
      </c>
      <c r="J36" s="6">
        <v>46030</v>
      </c>
      <c r="K36" t="s">
        <v>17</v>
      </c>
      <c r="L36">
        <f>tblCatalogo[[#This Row],[Costo_Base]]*21</f>
        <v>16.38</v>
      </c>
    </row>
    <row r="37" spans="1:12" x14ac:dyDescent="0.35">
      <c r="A37" t="s">
        <v>36</v>
      </c>
      <c r="B37">
        <v>0.95</v>
      </c>
      <c r="C37" t="s">
        <v>37</v>
      </c>
      <c r="D37" t="s">
        <v>11</v>
      </c>
      <c r="E37" t="s">
        <v>23</v>
      </c>
      <c r="F37" t="s">
        <v>13</v>
      </c>
      <c r="G37" t="s">
        <v>14</v>
      </c>
      <c r="H37" t="s">
        <v>15</v>
      </c>
      <c r="I37" t="s">
        <v>16</v>
      </c>
      <c r="J37" s="6">
        <v>46030</v>
      </c>
      <c r="K37" t="s">
        <v>17</v>
      </c>
      <c r="L37">
        <f>tblCatalogo[[#This Row],[Costo_Base]]*21</f>
        <v>19.95</v>
      </c>
    </row>
    <row r="38" spans="1:12" x14ac:dyDescent="0.35">
      <c r="A38" t="s">
        <v>21</v>
      </c>
      <c r="B38">
        <v>0.38</v>
      </c>
      <c r="C38" t="s">
        <v>22</v>
      </c>
      <c r="D38" t="s">
        <v>11</v>
      </c>
      <c r="E38" t="s">
        <v>23</v>
      </c>
      <c r="F38" t="s">
        <v>13</v>
      </c>
      <c r="G38" t="s">
        <v>14</v>
      </c>
      <c r="H38" t="s">
        <v>15</v>
      </c>
      <c r="I38" t="s">
        <v>16</v>
      </c>
      <c r="J38" s="6">
        <v>46030</v>
      </c>
      <c r="K38" t="s">
        <v>17</v>
      </c>
      <c r="L38">
        <f>tblCatalogo[[#This Row],[Costo_Base]]*21</f>
        <v>7.98</v>
      </c>
    </row>
    <row r="39" spans="1:12" x14ac:dyDescent="0.35">
      <c r="A39" t="s">
        <v>33</v>
      </c>
      <c r="B39">
        <v>0.56999999999999995</v>
      </c>
      <c r="C39" t="s">
        <v>34</v>
      </c>
      <c r="D39" t="s">
        <v>11</v>
      </c>
      <c r="E39" t="s">
        <v>35</v>
      </c>
      <c r="F39" t="s">
        <v>13</v>
      </c>
      <c r="G39" t="s">
        <v>14</v>
      </c>
      <c r="H39" t="s">
        <v>15</v>
      </c>
      <c r="I39" t="s">
        <v>16</v>
      </c>
      <c r="J39" s="6">
        <v>46030</v>
      </c>
      <c r="K39" t="s">
        <v>17</v>
      </c>
      <c r="L39">
        <f>tblCatalogo[[#This Row],[Costo_Base]]*21</f>
        <v>11.969999999999999</v>
      </c>
    </row>
    <row r="40" spans="1:12" x14ac:dyDescent="0.35">
      <c r="A40" t="s">
        <v>38</v>
      </c>
      <c r="B40">
        <v>1.43</v>
      </c>
      <c r="C40" t="s">
        <v>39</v>
      </c>
      <c r="D40" t="s">
        <v>11</v>
      </c>
      <c r="E40" t="s">
        <v>40</v>
      </c>
      <c r="F40" t="s">
        <v>13</v>
      </c>
      <c r="G40" t="s">
        <v>14</v>
      </c>
      <c r="H40" t="s">
        <v>15</v>
      </c>
      <c r="I40" t="s">
        <v>16</v>
      </c>
      <c r="J40" s="6">
        <v>46030</v>
      </c>
      <c r="K40" t="s">
        <v>17</v>
      </c>
      <c r="L40">
        <f>tblCatalogo[[#This Row],[Costo_Base]]*21</f>
        <v>30.029999999999998</v>
      </c>
    </row>
    <row r="41" spans="1:12" x14ac:dyDescent="0.35">
      <c r="A41" t="s">
        <v>18</v>
      </c>
      <c r="B41">
        <v>0.98</v>
      </c>
      <c r="C41" t="s">
        <v>19</v>
      </c>
      <c r="D41" t="s">
        <v>11</v>
      </c>
      <c r="E41" t="s">
        <v>20</v>
      </c>
      <c r="F41" t="s">
        <v>13</v>
      </c>
      <c r="G41" t="s">
        <v>14</v>
      </c>
      <c r="H41" t="s">
        <v>15</v>
      </c>
      <c r="I41" t="s">
        <v>16</v>
      </c>
      <c r="J41" s="6">
        <v>46030</v>
      </c>
      <c r="K41" t="s">
        <v>17</v>
      </c>
      <c r="L41">
        <f>tblCatalogo[[#This Row],[Costo_Base]]*21</f>
        <v>20.58</v>
      </c>
    </row>
    <row r="42" spans="1:12" x14ac:dyDescent="0.35">
      <c r="A42" t="s">
        <v>43</v>
      </c>
      <c r="B42">
        <v>0.71</v>
      </c>
      <c r="C42" t="s">
        <v>44</v>
      </c>
      <c r="D42" t="s">
        <v>11</v>
      </c>
      <c r="E42" t="s">
        <v>26</v>
      </c>
      <c r="F42" t="s">
        <v>13</v>
      </c>
      <c r="G42" t="s">
        <v>14</v>
      </c>
      <c r="H42" t="s">
        <v>15</v>
      </c>
      <c r="I42" t="s">
        <v>16</v>
      </c>
      <c r="J42" s="6">
        <v>46030</v>
      </c>
      <c r="K42" t="s">
        <v>17</v>
      </c>
      <c r="L42">
        <f>tblCatalogo[[#This Row],[Costo_Base]]*21</f>
        <v>14.91</v>
      </c>
    </row>
    <row r="43" spans="1:12" x14ac:dyDescent="0.35">
      <c r="A43" t="s">
        <v>24</v>
      </c>
      <c r="B43">
        <v>0.39</v>
      </c>
      <c r="C43" t="s">
        <v>25</v>
      </c>
      <c r="D43" t="s">
        <v>11</v>
      </c>
      <c r="E43" t="s">
        <v>26</v>
      </c>
      <c r="F43" t="s">
        <v>13</v>
      </c>
      <c r="G43" t="s">
        <v>14</v>
      </c>
      <c r="H43" t="s">
        <v>15</v>
      </c>
      <c r="I43" t="s">
        <v>16</v>
      </c>
      <c r="J43" s="6">
        <v>46030</v>
      </c>
      <c r="K43" t="s">
        <v>17</v>
      </c>
      <c r="L43">
        <f>tblCatalogo[[#This Row],[Costo_Base]]*21</f>
        <v>8.19</v>
      </c>
    </row>
    <row r="44" spans="1:12" x14ac:dyDescent="0.35">
      <c r="A44" t="s">
        <v>68</v>
      </c>
      <c r="B44">
        <v>2.2999999999999998</v>
      </c>
      <c r="C44" t="s">
        <v>69</v>
      </c>
      <c r="D44" t="s">
        <v>11</v>
      </c>
      <c r="E44" t="s">
        <v>59</v>
      </c>
      <c r="F44" t="s">
        <v>13</v>
      </c>
      <c r="G44" t="s">
        <v>14</v>
      </c>
      <c r="H44" t="s">
        <v>15</v>
      </c>
      <c r="I44" t="s">
        <v>16</v>
      </c>
      <c r="J44" s="6">
        <v>46030</v>
      </c>
      <c r="K44" t="s">
        <v>17</v>
      </c>
      <c r="L44">
        <f>tblCatalogo[[#This Row],[Costo_Base]]*21</f>
        <v>48.3</v>
      </c>
    </row>
    <row r="45" spans="1:12" x14ac:dyDescent="0.35">
      <c r="A45" t="s">
        <v>51</v>
      </c>
      <c r="B45">
        <v>1.1499999999999999</v>
      </c>
      <c r="C45" t="s">
        <v>52</v>
      </c>
      <c r="D45" t="s">
        <v>11</v>
      </c>
      <c r="E45" t="s">
        <v>23</v>
      </c>
      <c r="F45" t="s">
        <v>13</v>
      </c>
      <c r="G45" t="s">
        <v>14</v>
      </c>
      <c r="H45" t="s">
        <v>15</v>
      </c>
      <c r="I45" t="s">
        <v>16</v>
      </c>
      <c r="J45" s="6">
        <v>46030</v>
      </c>
      <c r="K45" t="s">
        <v>17</v>
      </c>
      <c r="L45">
        <f>tblCatalogo[[#This Row],[Costo_Base]]*21</f>
        <v>24.15</v>
      </c>
    </row>
    <row r="46" spans="1:12" x14ac:dyDescent="0.35">
      <c r="A46" t="s">
        <v>53</v>
      </c>
      <c r="B46">
        <v>1.65</v>
      </c>
      <c r="C46" t="s">
        <v>54</v>
      </c>
      <c r="D46" t="s">
        <v>11</v>
      </c>
      <c r="E46" t="s">
        <v>35</v>
      </c>
      <c r="F46" t="s">
        <v>13</v>
      </c>
      <c r="G46" t="s">
        <v>14</v>
      </c>
      <c r="H46" t="s">
        <v>15</v>
      </c>
      <c r="I46" t="s">
        <v>16</v>
      </c>
      <c r="J46" s="6">
        <v>46030</v>
      </c>
      <c r="K46" t="s">
        <v>17</v>
      </c>
      <c r="L46">
        <f>tblCatalogo[[#This Row],[Costo_Base]]*21</f>
        <v>34.65</v>
      </c>
    </row>
    <row r="47" spans="1:12" x14ac:dyDescent="0.35">
      <c r="A47" t="s">
        <v>55</v>
      </c>
      <c r="B47">
        <v>1.9</v>
      </c>
      <c r="C47" t="s">
        <v>56</v>
      </c>
      <c r="D47" t="s">
        <v>11</v>
      </c>
      <c r="E47" t="s">
        <v>20</v>
      </c>
      <c r="F47" t="s">
        <v>13</v>
      </c>
      <c r="G47" t="s">
        <v>14</v>
      </c>
      <c r="H47" t="s">
        <v>15</v>
      </c>
      <c r="I47" t="s">
        <v>16</v>
      </c>
      <c r="J47" s="6">
        <v>46030</v>
      </c>
      <c r="K47" t="s">
        <v>17</v>
      </c>
      <c r="L47">
        <f>tblCatalogo[[#This Row],[Costo_Base]]*21</f>
        <v>39.9</v>
      </c>
    </row>
    <row r="48" spans="1:12" x14ac:dyDescent="0.35">
      <c r="A48" t="s">
        <v>57</v>
      </c>
      <c r="B48">
        <v>2.2999999999999998</v>
      </c>
      <c r="C48" t="s">
        <v>58</v>
      </c>
      <c r="D48" t="s">
        <v>11</v>
      </c>
      <c r="E48" t="s">
        <v>59</v>
      </c>
      <c r="F48" t="s">
        <v>13</v>
      </c>
      <c r="G48" t="s">
        <v>14</v>
      </c>
      <c r="H48" t="s">
        <v>15</v>
      </c>
      <c r="I48" t="s">
        <v>16</v>
      </c>
      <c r="J48" s="6">
        <v>46030</v>
      </c>
      <c r="K48" t="s">
        <v>17</v>
      </c>
      <c r="L48">
        <f>tblCatalogo[[#This Row],[Costo_Base]]*21</f>
        <v>48.3</v>
      </c>
    </row>
    <row r="49" spans="1:12" x14ac:dyDescent="0.35">
      <c r="A49" t="s">
        <v>27</v>
      </c>
      <c r="B49">
        <v>0.18</v>
      </c>
      <c r="C49" t="s">
        <v>28</v>
      </c>
      <c r="D49" t="s">
        <v>11</v>
      </c>
      <c r="E49" t="s">
        <v>29</v>
      </c>
      <c r="F49" t="s">
        <v>13</v>
      </c>
      <c r="G49" t="s">
        <v>14</v>
      </c>
      <c r="H49" t="s">
        <v>15</v>
      </c>
      <c r="I49" t="s">
        <v>16</v>
      </c>
      <c r="J49" s="6">
        <v>46030</v>
      </c>
      <c r="K49" t="s">
        <v>17</v>
      </c>
      <c r="L49">
        <f>tblCatalogo[[#This Row],[Costo_Base]]*21</f>
        <v>3.78</v>
      </c>
    </row>
    <row r="50" spans="1:12" x14ac:dyDescent="0.35">
      <c r="A50" t="s">
        <v>145</v>
      </c>
      <c r="B50">
        <v>1.36</v>
      </c>
      <c r="C50" t="s">
        <v>146</v>
      </c>
      <c r="D50" t="s">
        <v>72</v>
      </c>
      <c r="E50" t="s">
        <v>481</v>
      </c>
      <c r="F50" t="s">
        <v>13</v>
      </c>
      <c r="G50" t="s">
        <v>74</v>
      </c>
      <c r="H50" t="s">
        <v>15</v>
      </c>
      <c r="I50" t="s">
        <v>16</v>
      </c>
      <c r="J50" s="6">
        <v>46030</v>
      </c>
      <c r="K50" t="s">
        <v>75</v>
      </c>
      <c r="L50">
        <f>tblCatalogo[[#This Row],[Costo_Base]]*21</f>
        <v>28.560000000000002</v>
      </c>
    </row>
    <row r="51" spans="1:12" x14ac:dyDescent="0.35">
      <c r="A51" t="s">
        <v>30</v>
      </c>
      <c r="B51">
        <v>0.2</v>
      </c>
      <c r="C51" t="s">
        <v>31</v>
      </c>
      <c r="D51" t="s">
        <v>11</v>
      </c>
      <c r="E51" t="s">
        <v>32</v>
      </c>
      <c r="F51" t="s">
        <v>13</v>
      </c>
      <c r="G51" t="s">
        <v>14</v>
      </c>
      <c r="H51" t="s">
        <v>15</v>
      </c>
      <c r="I51" t="s">
        <v>16</v>
      </c>
      <c r="J51" s="6">
        <v>46030</v>
      </c>
      <c r="K51" t="s">
        <v>17</v>
      </c>
      <c r="L51">
        <f>tblCatalogo[[#This Row],[Costo_Base]]*21</f>
        <v>4.2</v>
      </c>
    </row>
    <row r="52" spans="1:12" x14ac:dyDescent="0.35">
      <c r="A52" t="s">
        <v>429</v>
      </c>
      <c r="B52">
        <v>460</v>
      </c>
      <c r="C52" t="s">
        <v>430</v>
      </c>
      <c r="D52" t="s">
        <v>72</v>
      </c>
      <c r="E52" t="s">
        <v>431</v>
      </c>
      <c r="F52" t="s">
        <v>13</v>
      </c>
      <c r="G52" t="s">
        <v>74</v>
      </c>
      <c r="H52" t="s">
        <v>15</v>
      </c>
      <c r="I52" t="s">
        <v>16</v>
      </c>
      <c r="J52" s="6">
        <v>46030</v>
      </c>
      <c r="K52" t="s">
        <v>75</v>
      </c>
      <c r="L52">
        <f>tblCatalogo[[#This Row],[Costo_Base]]*21</f>
        <v>9660</v>
      </c>
    </row>
    <row r="53" spans="1:12" x14ac:dyDescent="0.35">
      <c r="A53" t="s">
        <v>76</v>
      </c>
      <c r="B53">
        <v>450</v>
      </c>
      <c r="C53" t="s">
        <v>434</v>
      </c>
      <c r="D53" t="s">
        <v>72</v>
      </c>
      <c r="E53" t="s">
        <v>431</v>
      </c>
      <c r="F53" t="s">
        <v>13</v>
      </c>
      <c r="G53" t="s">
        <v>74</v>
      </c>
      <c r="H53" t="s">
        <v>15</v>
      </c>
      <c r="I53" t="s">
        <v>16</v>
      </c>
      <c r="J53" s="6">
        <v>46030</v>
      </c>
      <c r="K53" t="s">
        <v>75</v>
      </c>
      <c r="L53">
        <f>tblCatalogo[[#This Row],[Costo_Base]]*21</f>
        <v>9450</v>
      </c>
    </row>
    <row r="54" spans="1:12" x14ac:dyDescent="0.35">
      <c r="A54" t="s">
        <v>432</v>
      </c>
      <c r="B54">
        <v>450</v>
      </c>
      <c r="C54" t="s">
        <v>433</v>
      </c>
      <c r="D54" t="s">
        <v>72</v>
      </c>
      <c r="E54" t="s">
        <v>431</v>
      </c>
      <c r="F54" t="s">
        <v>13</v>
      </c>
      <c r="G54" t="s">
        <v>74</v>
      </c>
      <c r="H54" t="s">
        <v>15</v>
      </c>
      <c r="I54" t="s">
        <v>16</v>
      </c>
      <c r="J54" s="6">
        <v>46030</v>
      </c>
      <c r="K54" t="s">
        <v>75</v>
      </c>
      <c r="L54">
        <f>tblCatalogo[[#This Row],[Costo_Base]]*21</f>
        <v>9450</v>
      </c>
    </row>
    <row r="55" spans="1:12" x14ac:dyDescent="0.35">
      <c r="A55" t="s">
        <v>446</v>
      </c>
      <c r="B55">
        <v>300</v>
      </c>
      <c r="C55" t="s">
        <v>447</v>
      </c>
      <c r="D55" t="s">
        <v>72</v>
      </c>
      <c r="E55" t="s">
        <v>431</v>
      </c>
      <c r="F55" t="s">
        <v>13</v>
      </c>
      <c r="G55" t="s">
        <v>74</v>
      </c>
      <c r="H55" t="s">
        <v>15</v>
      </c>
      <c r="I55" t="s">
        <v>16</v>
      </c>
      <c r="J55" s="6">
        <v>46030</v>
      </c>
      <c r="K55" t="s">
        <v>75</v>
      </c>
      <c r="L55">
        <f>tblCatalogo[[#This Row],[Costo_Base]]*21</f>
        <v>6300</v>
      </c>
    </row>
    <row r="56" spans="1:12" x14ac:dyDescent="0.35">
      <c r="A56" t="s">
        <v>444</v>
      </c>
      <c r="B56">
        <v>250</v>
      </c>
      <c r="C56" t="s">
        <v>445</v>
      </c>
      <c r="D56" t="s">
        <v>72</v>
      </c>
      <c r="E56" t="s">
        <v>431</v>
      </c>
      <c r="F56" t="s">
        <v>13</v>
      </c>
      <c r="G56" t="s">
        <v>74</v>
      </c>
      <c r="H56" t="s">
        <v>15</v>
      </c>
      <c r="I56" t="s">
        <v>16</v>
      </c>
      <c r="J56" s="6">
        <v>46030</v>
      </c>
      <c r="K56" t="s">
        <v>75</v>
      </c>
      <c r="L56">
        <f>tblCatalogo[[#This Row],[Costo_Base]]*21</f>
        <v>5250</v>
      </c>
    </row>
    <row r="57" spans="1:12" x14ac:dyDescent="0.35">
      <c r="A57" t="s">
        <v>438</v>
      </c>
      <c r="B57">
        <v>70</v>
      </c>
      <c r="C57" t="s">
        <v>439</v>
      </c>
      <c r="D57" t="s">
        <v>72</v>
      </c>
      <c r="E57" t="s">
        <v>431</v>
      </c>
      <c r="F57" t="s">
        <v>13</v>
      </c>
      <c r="G57" t="s">
        <v>74</v>
      </c>
      <c r="H57" t="s">
        <v>15</v>
      </c>
      <c r="I57" t="s">
        <v>16</v>
      </c>
      <c r="J57" s="6">
        <v>46030</v>
      </c>
      <c r="K57" t="s">
        <v>75</v>
      </c>
      <c r="L57">
        <f>tblCatalogo[[#This Row],[Costo_Base]]*21</f>
        <v>1470</v>
      </c>
    </row>
    <row r="58" spans="1:12" x14ac:dyDescent="0.35">
      <c r="A58" t="s">
        <v>440</v>
      </c>
      <c r="B58">
        <v>650</v>
      </c>
      <c r="C58" t="s">
        <v>441</v>
      </c>
      <c r="D58" t="s">
        <v>72</v>
      </c>
      <c r="E58" t="s">
        <v>431</v>
      </c>
      <c r="F58" t="s">
        <v>13</v>
      </c>
      <c r="G58" t="s">
        <v>74</v>
      </c>
      <c r="H58" t="s">
        <v>15</v>
      </c>
      <c r="I58" t="s">
        <v>16</v>
      </c>
      <c r="J58" s="6">
        <v>46030</v>
      </c>
      <c r="K58" t="s">
        <v>75</v>
      </c>
      <c r="L58">
        <f>tblCatalogo[[#This Row],[Costo_Base]]*21</f>
        <v>13650</v>
      </c>
    </row>
    <row r="59" spans="1:12" x14ac:dyDescent="0.35">
      <c r="A59" t="s">
        <v>442</v>
      </c>
      <c r="B59">
        <v>210</v>
      </c>
      <c r="C59" t="s">
        <v>443</v>
      </c>
      <c r="D59" t="s">
        <v>72</v>
      </c>
      <c r="E59" t="s">
        <v>431</v>
      </c>
      <c r="F59" t="s">
        <v>13</v>
      </c>
      <c r="G59" t="s">
        <v>74</v>
      </c>
      <c r="H59" t="s">
        <v>15</v>
      </c>
      <c r="I59" t="s">
        <v>16</v>
      </c>
      <c r="J59" s="6">
        <v>46030</v>
      </c>
      <c r="K59" t="s">
        <v>75</v>
      </c>
      <c r="L59">
        <f>tblCatalogo[[#This Row],[Costo_Base]]*21</f>
        <v>4410</v>
      </c>
    </row>
    <row r="60" spans="1:12" x14ac:dyDescent="0.35">
      <c r="A60" t="s">
        <v>437</v>
      </c>
      <c r="B60">
        <v>900</v>
      </c>
      <c r="C60" t="s">
        <v>435</v>
      </c>
      <c r="D60" t="s">
        <v>72</v>
      </c>
      <c r="E60" t="s">
        <v>431</v>
      </c>
      <c r="F60" t="s">
        <v>13</v>
      </c>
      <c r="G60" t="s">
        <v>74</v>
      </c>
      <c r="H60" t="s">
        <v>15</v>
      </c>
      <c r="I60" t="s">
        <v>16</v>
      </c>
      <c r="J60" s="6">
        <v>46030</v>
      </c>
      <c r="K60" t="s">
        <v>75</v>
      </c>
      <c r="L60">
        <f>tblCatalogo[[#This Row],[Costo_Base]]*21</f>
        <v>18900</v>
      </c>
    </row>
    <row r="61" spans="1:12" x14ac:dyDescent="0.35">
      <c r="A61" t="s">
        <v>454</v>
      </c>
      <c r="B61" t="s">
        <v>482</v>
      </c>
      <c r="C61" t="s">
        <v>455</v>
      </c>
      <c r="D61" t="s">
        <v>72</v>
      </c>
      <c r="E61" t="s">
        <v>456</v>
      </c>
      <c r="F61" t="s">
        <v>13</v>
      </c>
      <c r="G61" t="s">
        <v>14</v>
      </c>
      <c r="H61" t="s">
        <v>15</v>
      </c>
      <c r="I61" t="s">
        <v>16</v>
      </c>
      <c r="J61" s="6">
        <v>46030</v>
      </c>
      <c r="K61" t="s">
        <v>75</v>
      </c>
      <c r="L61" t="e">
        <f>tblCatalogo[[#This Row],[Costo_Base]]*21</f>
        <v>#VALUE!</v>
      </c>
    </row>
    <row r="62" spans="1:12" x14ac:dyDescent="0.35">
      <c r="A62" t="s">
        <v>457</v>
      </c>
      <c r="B62" t="s">
        <v>482</v>
      </c>
      <c r="C62" t="s">
        <v>458</v>
      </c>
      <c r="D62" t="s">
        <v>72</v>
      </c>
      <c r="E62" t="s">
        <v>456</v>
      </c>
      <c r="F62" t="s">
        <v>13</v>
      </c>
      <c r="G62" t="s">
        <v>14</v>
      </c>
      <c r="H62" t="s">
        <v>15</v>
      </c>
      <c r="I62" t="s">
        <v>16</v>
      </c>
      <c r="J62" s="6">
        <v>46030</v>
      </c>
      <c r="K62" t="s">
        <v>75</v>
      </c>
      <c r="L62" t="e">
        <f>tblCatalogo[[#This Row],[Costo_Base]]*21</f>
        <v>#VALUE!</v>
      </c>
    </row>
    <row r="63" spans="1:12" x14ac:dyDescent="0.35">
      <c r="A63" t="s">
        <v>264</v>
      </c>
      <c r="B63">
        <v>0</v>
      </c>
      <c r="C63" t="s">
        <v>421</v>
      </c>
      <c r="D63" t="s">
        <v>11</v>
      </c>
      <c r="E63" t="s">
        <v>384</v>
      </c>
      <c r="F63" t="s">
        <v>13</v>
      </c>
      <c r="G63" t="s">
        <v>14</v>
      </c>
      <c r="H63" t="s">
        <v>15</v>
      </c>
      <c r="I63" t="s">
        <v>16</v>
      </c>
      <c r="J63" s="6">
        <v>46030</v>
      </c>
      <c r="K63" t="s">
        <v>17</v>
      </c>
      <c r="L63">
        <f>tblCatalogo[[#This Row],[Costo_Base]]*21</f>
        <v>0</v>
      </c>
    </row>
    <row r="64" spans="1:12" x14ac:dyDescent="0.35">
      <c r="A64" t="s">
        <v>265</v>
      </c>
      <c r="B64">
        <v>0</v>
      </c>
      <c r="C64" t="s">
        <v>421</v>
      </c>
      <c r="D64" t="s">
        <v>11</v>
      </c>
      <c r="E64" t="s">
        <v>385</v>
      </c>
      <c r="F64" t="s">
        <v>13</v>
      </c>
      <c r="G64" t="s">
        <v>14</v>
      </c>
      <c r="H64" t="s">
        <v>15</v>
      </c>
      <c r="I64" t="s">
        <v>16</v>
      </c>
      <c r="J64" s="6">
        <v>46030</v>
      </c>
      <c r="K64" t="s">
        <v>17</v>
      </c>
      <c r="L64">
        <f>tblCatalogo[[#This Row],[Costo_Base]]*21</f>
        <v>0</v>
      </c>
    </row>
    <row r="65" spans="1:12" x14ac:dyDescent="0.35">
      <c r="A65" t="s">
        <v>266</v>
      </c>
      <c r="B65">
        <v>0</v>
      </c>
      <c r="C65" t="s">
        <v>421</v>
      </c>
      <c r="D65" t="s">
        <v>11</v>
      </c>
      <c r="E65" t="s">
        <v>386</v>
      </c>
      <c r="F65" t="s">
        <v>13</v>
      </c>
      <c r="G65" t="s">
        <v>14</v>
      </c>
      <c r="H65" t="s">
        <v>15</v>
      </c>
      <c r="I65" t="s">
        <v>16</v>
      </c>
      <c r="J65" s="6">
        <v>46030</v>
      </c>
      <c r="K65" t="s">
        <v>17</v>
      </c>
      <c r="L65">
        <f>tblCatalogo[[#This Row],[Costo_Base]]*21</f>
        <v>0</v>
      </c>
    </row>
    <row r="66" spans="1:12" x14ac:dyDescent="0.35">
      <c r="A66" t="s">
        <v>267</v>
      </c>
      <c r="B66">
        <v>0</v>
      </c>
      <c r="C66" t="s">
        <v>421</v>
      </c>
      <c r="D66" t="s">
        <v>11</v>
      </c>
      <c r="E66" t="s">
        <v>387</v>
      </c>
      <c r="F66" t="s">
        <v>13</v>
      </c>
      <c r="G66" t="s">
        <v>14</v>
      </c>
      <c r="H66" t="s">
        <v>15</v>
      </c>
      <c r="I66" t="s">
        <v>16</v>
      </c>
      <c r="J66" s="6">
        <v>46030</v>
      </c>
      <c r="K66" t="s">
        <v>17</v>
      </c>
      <c r="L66">
        <f>tblCatalogo[[#This Row],[Costo_Base]]*21</f>
        <v>0</v>
      </c>
    </row>
    <row r="67" spans="1:12" x14ac:dyDescent="0.35">
      <c r="A67" t="s">
        <v>262</v>
      </c>
      <c r="B67">
        <v>0</v>
      </c>
      <c r="C67" t="s">
        <v>421</v>
      </c>
      <c r="D67" t="s">
        <v>11</v>
      </c>
      <c r="E67" t="s">
        <v>382</v>
      </c>
      <c r="F67" t="s">
        <v>13</v>
      </c>
      <c r="G67" t="s">
        <v>14</v>
      </c>
      <c r="H67" t="s">
        <v>15</v>
      </c>
      <c r="I67" t="s">
        <v>16</v>
      </c>
      <c r="J67" s="6">
        <v>46030</v>
      </c>
      <c r="K67" t="s">
        <v>17</v>
      </c>
      <c r="L67">
        <f>tblCatalogo[[#This Row],[Costo_Base]]*21</f>
        <v>0</v>
      </c>
    </row>
    <row r="68" spans="1:12" x14ac:dyDescent="0.35">
      <c r="A68" t="s">
        <v>263</v>
      </c>
      <c r="B68">
        <v>0</v>
      </c>
      <c r="C68" t="s">
        <v>421</v>
      </c>
      <c r="D68" t="s">
        <v>11</v>
      </c>
      <c r="E68" t="s">
        <v>383</v>
      </c>
      <c r="F68" t="s">
        <v>13</v>
      </c>
      <c r="G68" t="s">
        <v>14</v>
      </c>
      <c r="H68" t="s">
        <v>15</v>
      </c>
      <c r="I68" t="s">
        <v>16</v>
      </c>
      <c r="J68" s="6">
        <v>46030</v>
      </c>
      <c r="K68" t="s">
        <v>17</v>
      </c>
      <c r="L68">
        <f>tblCatalogo[[#This Row],[Costo_Base]]*21</f>
        <v>0</v>
      </c>
    </row>
    <row r="69" spans="1:12" ht="16" customHeight="1" x14ac:dyDescent="0.35">
      <c r="A69" t="s">
        <v>259</v>
      </c>
      <c r="B69">
        <v>0</v>
      </c>
      <c r="C69" t="s">
        <v>421</v>
      </c>
      <c r="D69" t="s">
        <v>11</v>
      </c>
      <c r="E69" t="s">
        <v>379</v>
      </c>
      <c r="F69" t="s">
        <v>13</v>
      </c>
      <c r="G69" t="s">
        <v>14</v>
      </c>
      <c r="H69" t="s">
        <v>15</v>
      </c>
      <c r="I69" t="s">
        <v>16</v>
      </c>
      <c r="J69" s="6">
        <v>46030</v>
      </c>
      <c r="K69" t="s">
        <v>17</v>
      </c>
      <c r="L69">
        <f>tblCatalogo[[#This Row],[Costo_Base]]*21</f>
        <v>0</v>
      </c>
    </row>
    <row r="70" spans="1:12" x14ac:dyDescent="0.35">
      <c r="A70" t="s">
        <v>260</v>
      </c>
      <c r="B70">
        <v>0</v>
      </c>
      <c r="C70" t="s">
        <v>421</v>
      </c>
      <c r="D70" t="s">
        <v>11</v>
      </c>
      <c r="E70" t="s">
        <v>380</v>
      </c>
      <c r="F70" t="s">
        <v>13</v>
      </c>
      <c r="G70" t="s">
        <v>14</v>
      </c>
      <c r="H70" t="s">
        <v>15</v>
      </c>
      <c r="I70" t="s">
        <v>16</v>
      </c>
      <c r="J70" s="6">
        <v>46030</v>
      </c>
      <c r="K70" t="s">
        <v>17</v>
      </c>
      <c r="L70">
        <f>tblCatalogo[[#This Row],[Costo_Base]]*21</f>
        <v>0</v>
      </c>
    </row>
    <row r="71" spans="1:12" x14ac:dyDescent="0.35">
      <c r="A71" t="s">
        <v>261</v>
      </c>
      <c r="B71">
        <v>0</v>
      </c>
      <c r="C71" t="s">
        <v>421</v>
      </c>
      <c r="D71" t="s">
        <v>11</v>
      </c>
      <c r="E71" t="s">
        <v>381</v>
      </c>
      <c r="F71" t="s">
        <v>13</v>
      </c>
      <c r="G71" t="s">
        <v>14</v>
      </c>
      <c r="H71" t="s">
        <v>15</v>
      </c>
      <c r="I71" t="s">
        <v>16</v>
      </c>
      <c r="J71" s="6">
        <v>46030</v>
      </c>
      <c r="K71" t="s">
        <v>17</v>
      </c>
      <c r="L71">
        <f>tblCatalogo[[#This Row],[Costo_Base]]*21</f>
        <v>0</v>
      </c>
    </row>
    <row r="72" spans="1:12" x14ac:dyDescent="0.35">
      <c r="A72" t="s">
        <v>189</v>
      </c>
      <c r="B72">
        <v>0</v>
      </c>
      <c r="C72" t="s">
        <v>421</v>
      </c>
      <c r="D72" t="s">
        <v>11</v>
      </c>
      <c r="E72" t="s">
        <v>375</v>
      </c>
      <c r="F72" t="s">
        <v>13</v>
      </c>
      <c r="G72" t="s">
        <v>14</v>
      </c>
      <c r="H72" t="s">
        <v>15</v>
      </c>
      <c r="I72" t="s">
        <v>16</v>
      </c>
      <c r="J72" s="6">
        <v>46030</v>
      </c>
      <c r="K72" t="s">
        <v>17</v>
      </c>
      <c r="L72">
        <f>tblCatalogo[[#This Row],[Costo_Base]]*21</f>
        <v>0</v>
      </c>
    </row>
    <row r="73" spans="1:12" x14ac:dyDescent="0.35">
      <c r="A73" t="s">
        <v>190</v>
      </c>
      <c r="B73">
        <v>0</v>
      </c>
      <c r="C73" t="s">
        <v>421</v>
      </c>
      <c r="D73" t="s">
        <v>11</v>
      </c>
      <c r="E73" t="s">
        <v>376</v>
      </c>
      <c r="F73" t="s">
        <v>13</v>
      </c>
      <c r="G73" t="s">
        <v>14</v>
      </c>
      <c r="H73" t="s">
        <v>15</v>
      </c>
      <c r="I73" t="s">
        <v>16</v>
      </c>
      <c r="J73" s="6">
        <v>46030</v>
      </c>
      <c r="K73" t="s">
        <v>17</v>
      </c>
      <c r="L73">
        <f>tblCatalogo[[#This Row],[Costo_Base]]*21</f>
        <v>0</v>
      </c>
    </row>
    <row r="74" spans="1:12" x14ac:dyDescent="0.35">
      <c r="A74" t="s">
        <v>191</v>
      </c>
      <c r="B74">
        <v>0</v>
      </c>
      <c r="C74" t="s">
        <v>421</v>
      </c>
      <c r="D74" t="s">
        <v>11</v>
      </c>
      <c r="E74" t="s">
        <v>377</v>
      </c>
      <c r="F74" t="s">
        <v>13</v>
      </c>
      <c r="G74" t="s">
        <v>14</v>
      </c>
      <c r="H74" t="s">
        <v>15</v>
      </c>
      <c r="I74" t="s">
        <v>16</v>
      </c>
      <c r="J74" s="6">
        <v>46030</v>
      </c>
      <c r="K74" t="s">
        <v>17</v>
      </c>
      <c r="L74">
        <f>tblCatalogo[[#This Row],[Costo_Base]]*21</f>
        <v>0</v>
      </c>
    </row>
    <row r="75" spans="1:12" x14ac:dyDescent="0.35">
      <c r="A75" t="s">
        <v>258</v>
      </c>
      <c r="B75">
        <v>0</v>
      </c>
      <c r="C75" t="s">
        <v>421</v>
      </c>
      <c r="D75" t="s">
        <v>11</v>
      </c>
      <c r="E75" t="s">
        <v>378</v>
      </c>
      <c r="F75" t="s">
        <v>13</v>
      </c>
      <c r="G75" t="s">
        <v>14</v>
      </c>
      <c r="H75" t="s">
        <v>15</v>
      </c>
      <c r="I75" t="s">
        <v>16</v>
      </c>
      <c r="J75" s="6">
        <v>46030</v>
      </c>
      <c r="K75" t="s">
        <v>17</v>
      </c>
      <c r="L75">
        <f>tblCatalogo[[#This Row],[Costo_Base]]*21</f>
        <v>0</v>
      </c>
    </row>
    <row r="76" spans="1:12" x14ac:dyDescent="0.35">
      <c r="A76" t="s">
        <v>187</v>
      </c>
      <c r="B76">
        <v>0</v>
      </c>
      <c r="C76" t="s">
        <v>421</v>
      </c>
      <c r="D76" t="s">
        <v>11</v>
      </c>
      <c r="E76" t="s">
        <v>373</v>
      </c>
      <c r="F76" t="s">
        <v>13</v>
      </c>
      <c r="G76" t="s">
        <v>14</v>
      </c>
      <c r="H76" t="s">
        <v>15</v>
      </c>
      <c r="I76" t="s">
        <v>16</v>
      </c>
      <c r="J76" s="6">
        <v>46030</v>
      </c>
      <c r="K76" t="s">
        <v>17</v>
      </c>
      <c r="L76">
        <f>tblCatalogo[[#This Row],[Costo_Base]]*21</f>
        <v>0</v>
      </c>
    </row>
    <row r="77" spans="1:12" x14ac:dyDescent="0.35">
      <c r="A77" t="s">
        <v>188</v>
      </c>
      <c r="B77">
        <v>0</v>
      </c>
      <c r="C77" t="s">
        <v>421</v>
      </c>
      <c r="D77" t="s">
        <v>11</v>
      </c>
      <c r="E77" t="s">
        <v>374</v>
      </c>
      <c r="F77" t="s">
        <v>13</v>
      </c>
      <c r="G77" t="s">
        <v>14</v>
      </c>
      <c r="H77" t="s">
        <v>15</v>
      </c>
      <c r="I77" t="s">
        <v>16</v>
      </c>
      <c r="J77" s="6">
        <v>46030</v>
      </c>
      <c r="K77" t="s">
        <v>17</v>
      </c>
      <c r="L77">
        <f>tblCatalogo[[#This Row],[Costo_Base]]*21</f>
        <v>0</v>
      </c>
    </row>
    <row r="78" spans="1:12" x14ac:dyDescent="0.35">
      <c r="A78" t="s">
        <v>273</v>
      </c>
      <c r="B78">
        <v>0</v>
      </c>
      <c r="C78" t="s">
        <v>421</v>
      </c>
      <c r="D78" t="s">
        <v>11</v>
      </c>
      <c r="E78" t="s">
        <v>393</v>
      </c>
      <c r="F78" t="s">
        <v>13</v>
      </c>
      <c r="G78" t="s">
        <v>14</v>
      </c>
      <c r="H78" t="s">
        <v>15</v>
      </c>
      <c r="I78" t="s">
        <v>16</v>
      </c>
      <c r="J78" s="6">
        <v>46030</v>
      </c>
      <c r="K78" t="s">
        <v>17</v>
      </c>
      <c r="L78">
        <f>tblCatalogo[[#This Row],[Costo_Base]]*21</f>
        <v>0</v>
      </c>
    </row>
    <row r="79" spans="1:12" x14ac:dyDescent="0.35">
      <c r="A79" t="s">
        <v>274</v>
      </c>
      <c r="B79">
        <v>0</v>
      </c>
      <c r="C79" t="s">
        <v>421</v>
      </c>
      <c r="D79" t="s">
        <v>11</v>
      </c>
      <c r="E79" t="s">
        <v>394</v>
      </c>
      <c r="F79" t="s">
        <v>13</v>
      </c>
      <c r="G79" t="s">
        <v>14</v>
      </c>
      <c r="H79" t="s">
        <v>15</v>
      </c>
      <c r="I79" t="s">
        <v>16</v>
      </c>
      <c r="J79" s="6">
        <v>46030</v>
      </c>
      <c r="K79" t="s">
        <v>17</v>
      </c>
      <c r="L79">
        <f>tblCatalogo[[#This Row],[Costo_Base]]*21</f>
        <v>0</v>
      </c>
    </row>
    <row r="80" spans="1:12" x14ac:dyDescent="0.35">
      <c r="A80" t="s">
        <v>275</v>
      </c>
      <c r="B80">
        <v>0</v>
      </c>
      <c r="C80" t="s">
        <v>421</v>
      </c>
      <c r="D80" t="s">
        <v>11</v>
      </c>
      <c r="E80" t="s">
        <v>395</v>
      </c>
      <c r="F80" t="s">
        <v>13</v>
      </c>
      <c r="G80" t="s">
        <v>14</v>
      </c>
      <c r="H80" t="s">
        <v>15</v>
      </c>
      <c r="I80" t="s">
        <v>16</v>
      </c>
      <c r="J80" s="6">
        <v>46030</v>
      </c>
      <c r="K80" t="s">
        <v>17</v>
      </c>
      <c r="L80">
        <f>tblCatalogo[[#This Row],[Costo_Base]]*21</f>
        <v>0</v>
      </c>
    </row>
    <row r="81" spans="1:12" x14ac:dyDescent="0.35">
      <c r="A81" t="s">
        <v>270</v>
      </c>
      <c r="B81">
        <v>0</v>
      </c>
      <c r="C81" t="s">
        <v>421</v>
      </c>
      <c r="D81" t="s">
        <v>11</v>
      </c>
      <c r="E81" t="s">
        <v>390</v>
      </c>
      <c r="F81" t="s">
        <v>13</v>
      </c>
      <c r="G81" t="s">
        <v>14</v>
      </c>
      <c r="H81" t="s">
        <v>15</v>
      </c>
      <c r="I81" t="s">
        <v>16</v>
      </c>
      <c r="J81" s="6">
        <v>46030</v>
      </c>
      <c r="K81" t="s">
        <v>17</v>
      </c>
      <c r="L81">
        <f>tblCatalogo[[#This Row],[Costo_Base]]*21</f>
        <v>0</v>
      </c>
    </row>
    <row r="82" spans="1:12" x14ac:dyDescent="0.35">
      <c r="A82" t="s">
        <v>271</v>
      </c>
      <c r="B82">
        <v>0</v>
      </c>
      <c r="C82" t="s">
        <v>421</v>
      </c>
      <c r="D82" t="s">
        <v>11</v>
      </c>
      <c r="E82" t="s">
        <v>391</v>
      </c>
      <c r="F82" t="s">
        <v>13</v>
      </c>
      <c r="G82" t="s">
        <v>14</v>
      </c>
      <c r="H82" t="s">
        <v>15</v>
      </c>
      <c r="I82" t="s">
        <v>16</v>
      </c>
      <c r="J82" s="6">
        <v>46030</v>
      </c>
      <c r="K82" t="s">
        <v>17</v>
      </c>
      <c r="L82">
        <f>tblCatalogo[[#This Row],[Costo_Base]]*21</f>
        <v>0</v>
      </c>
    </row>
    <row r="83" spans="1:12" x14ac:dyDescent="0.35">
      <c r="A83" t="s">
        <v>272</v>
      </c>
      <c r="B83">
        <v>0</v>
      </c>
      <c r="C83" t="s">
        <v>421</v>
      </c>
      <c r="D83" t="s">
        <v>11</v>
      </c>
      <c r="E83" t="s">
        <v>392</v>
      </c>
      <c r="F83" t="s">
        <v>13</v>
      </c>
      <c r="G83" t="s">
        <v>14</v>
      </c>
      <c r="H83" t="s">
        <v>15</v>
      </c>
      <c r="I83" t="s">
        <v>16</v>
      </c>
      <c r="J83" s="6">
        <v>46030</v>
      </c>
      <c r="K83" t="s">
        <v>17</v>
      </c>
      <c r="L83">
        <f>tblCatalogo[[#This Row],[Costo_Base]]*21</f>
        <v>0</v>
      </c>
    </row>
    <row r="84" spans="1:12" x14ac:dyDescent="0.35">
      <c r="A84" t="s">
        <v>268</v>
      </c>
      <c r="B84">
        <v>0</v>
      </c>
      <c r="C84" t="s">
        <v>421</v>
      </c>
      <c r="D84" t="s">
        <v>11</v>
      </c>
      <c r="E84" t="s">
        <v>388</v>
      </c>
      <c r="F84" t="s">
        <v>13</v>
      </c>
      <c r="G84" t="s">
        <v>14</v>
      </c>
      <c r="H84" t="s">
        <v>15</v>
      </c>
      <c r="I84" t="s">
        <v>16</v>
      </c>
      <c r="J84" s="6">
        <v>46030</v>
      </c>
      <c r="K84" t="s">
        <v>17</v>
      </c>
      <c r="L84">
        <f>tblCatalogo[[#This Row],[Costo_Base]]*21</f>
        <v>0</v>
      </c>
    </row>
    <row r="85" spans="1:12" x14ac:dyDescent="0.35">
      <c r="A85" t="s">
        <v>269</v>
      </c>
      <c r="B85">
        <v>0</v>
      </c>
      <c r="C85" t="s">
        <v>421</v>
      </c>
      <c r="D85" t="s">
        <v>11</v>
      </c>
      <c r="E85" t="s">
        <v>389</v>
      </c>
      <c r="F85" t="s">
        <v>13</v>
      </c>
      <c r="G85" t="s">
        <v>14</v>
      </c>
      <c r="H85" t="s">
        <v>15</v>
      </c>
      <c r="I85" t="s">
        <v>16</v>
      </c>
      <c r="J85" s="6">
        <v>46030</v>
      </c>
      <c r="K85" t="s">
        <v>17</v>
      </c>
      <c r="L85">
        <f>tblCatalogo[[#This Row],[Costo_Base]]*21</f>
        <v>0</v>
      </c>
    </row>
    <row r="86" spans="1:12" x14ac:dyDescent="0.35">
      <c r="A86" t="s">
        <v>281</v>
      </c>
      <c r="B86">
        <v>0</v>
      </c>
      <c r="C86" t="s">
        <v>421</v>
      </c>
      <c r="D86" t="s">
        <v>11</v>
      </c>
      <c r="E86" t="s">
        <v>401</v>
      </c>
      <c r="F86" t="s">
        <v>13</v>
      </c>
      <c r="G86" t="s">
        <v>14</v>
      </c>
      <c r="H86" t="s">
        <v>15</v>
      </c>
      <c r="I86" t="s">
        <v>16</v>
      </c>
      <c r="J86" s="6">
        <v>46030</v>
      </c>
      <c r="K86" t="s">
        <v>17</v>
      </c>
      <c r="L86">
        <f>tblCatalogo[[#This Row],[Costo_Base]]*21</f>
        <v>0</v>
      </c>
    </row>
    <row r="87" spans="1:12" x14ac:dyDescent="0.35">
      <c r="A87" t="s">
        <v>278</v>
      </c>
      <c r="B87">
        <v>0</v>
      </c>
      <c r="C87" t="s">
        <v>421</v>
      </c>
      <c r="D87" t="s">
        <v>11</v>
      </c>
      <c r="E87" t="s">
        <v>398</v>
      </c>
      <c r="F87" t="s">
        <v>13</v>
      </c>
      <c r="G87" t="s">
        <v>14</v>
      </c>
      <c r="H87" t="s">
        <v>15</v>
      </c>
      <c r="I87" t="s">
        <v>16</v>
      </c>
      <c r="J87" s="6">
        <v>46030</v>
      </c>
      <c r="K87" t="s">
        <v>17</v>
      </c>
      <c r="L87">
        <f>tblCatalogo[[#This Row],[Costo_Base]]*21</f>
        <v>0</v>
      </c>
    </row>
    <row r="88" spans="1:12" x14ac:dyDescent="0.35">
      <c r="A88" t="s">
        <v>279</v>
      </c>
      <c r="B88">
        <v>0</v>
      </c>
      <c r="C88" t="s">
        <v>421</v>
      </c>
      <c r="D88" t="s">
        <v>11</v>
      </c>
      <c r="E88" t="s">
        <v>399</v>
      </c>
      <c r="F88" t="s">
        <v>13</v>
      </c>
      <c r="G88" t="s">
        <v>14</v>
      </c>
      <c r="H88" t="s">
        <v>15</v>
      </c>
      <c r="I88" t="s">
        <v>16</v>
      </c>
      <c r="J88" s="6">
        <v>46030</v>
      </c>
      <c r="K88" t="s">
        <v>17</v>
      </c>
      <c r="L88">
        <f>tblCatalogo[[#This Row],[Costo_Base]]*21</f>
        <v>0</v>
      </c>
    </row>
    <row r="89" spans="1:12" x14ac:dyDescent="0.35">
      <c r="A89" t="s">
        <v>280</v>
      </c>
      <c r="B89">
        <v>0</v>
      </c>
      <c r="C89" t="s">
        <v>421</v>
      </c>
      <c r="D89" t="s">
        <v>11</v>
      </c>
      <c r="E89" t="s">
        <v>400</v>
      </c>
      <c r="F89" t="s">
        <v>13</v>
      </c>
      <c r="G89" t="s">
        <v>14</v>
      </c>
      <c r="H89" t="s">
        <v>15</v>
      </c>
      <c r="I89" t="s">
        <v>16</v>
      </c>
      <c r="J89" s="6">
        <v>46030</v>
      </c>
      <c r="K89" t="s">
        <v>17</v>
      </c>
      <c r="L89">
        <f>tblCatalogo[[#This Row],[Costo_Base]]*21</f>
        <v>0</v>
      </c>
    </row>
    <row r="90" spans="1:12" x14ac:dyDescent="0.35">
      <c r="A90" t="s">
        <v>276</v>
      </c>
      <c r="B90">
        <v>0</v>
      </c>
      <c r="C90" t="s">
        <v>421</v>
      </c>
      <c r="D90" t="s">
        <v>11</v>
      </c>
      <c r="E90" t="s">
        <v>396</v>
      </c>
      <c r="F90" t="s">
        <v>13</v>
      </c>
      <c r="G90" t="s">
        <v>14</v>
      </c>
      <c r="H90" t="s">
        <v>15</v>
      </c>
      <c r="I90" t="s">
        <v>16</v>
      </c>
      <c r="J90" s="6">
        <v>46030</v>
      </c>
      <c r="K90" t="s">
        <v>17</v>
      </c>
      <c r="L90">
        <f>tblCatalogo[[#This Row],[Costo_Base]]*21</f>
        <v>0</v>
      </c>
    </row>
    <row r="91" spans="1:12" x14ac:dyDescent="0.35">
      <c r="A91" t="s">
        <v>277</v>
      </c>
      <c r="B91">
        <v>0</v>
      </c>
      <c r="C91" t="s">
        <v>421</v>
      </c>
      <c r="D91" t="s">
        <v>11</v>
      </c>
      <c r="E91" t="s">
        <v>397</v>
      </c>
      <c r="F91" t="s">
        <v>13</v>
      </c>
      <c r="G91" t="s">
        <v>14</v>
      </c>
      <c r="H91" t="s">
        <v>15</v>
      </c>
      <c r="I91" t="s">
        <v>16</v>
      </c>
      <c r="J91" s="6">
        <v>46030</v>
      </c>
      <c r="K91" t="s">
        <v>17</v>
      </c>
      <c r="L91">
        <f>tblCatalogo[[#This Row],[Costo_Base]]*21</f>
        <v>0</v>
      </c>
    </row>
    <row r="92" spans="1:12" x14ac:dyDescent="0.35">
      <c r="A92" t="s">
        <v>284</v>
      </c>
      <c r="B92">
        <v>0</v>
      </c>
      <c r="C92" t="s">
        <v>421</v>
      </c>
      <c r="D92" t="s">
        <v>11</v>
      </c>
      <c r="E92" t="s">
        <v>404</v>
      </c>
      <c r="F92" t="s">
        <v>13</v>
      </c>
      <c r="G92" t="s">
        <v>14</v>
      </c>
      <c r="H92" t="s">
        <v>15</v>
      </c>
      <c r="I92" t="s">
        <v>16</v>
      </c>
      <c r="J92" s="6">
        <v>46030</v>
      </c>
      <c r="K92" t="s">
        <v>17</v>
      </c>
      <c r="L92">
        <f>tblCatalogo[[#This Row],[Costo_Base]]*21</f>
        <v>0</v>
      </c>
    </row>
    <row r="93" spans="1:12" x14ac:dyDescent="0.35">
      <c r="A93" t="s">
        <v>285</v>
      </c>
      <c r="B93">
        <v>0</v>
      </c>
      <c r="C93" t="s">
        <v>421</v>
      </c>
      <c r="D93" t="s">
        <v>11</v>
      </c>
      <c r="E93" t="s">
        <v>405</v>
      </c>
      <c r="F93" t="s">
        <v>13</v>
      </c>
      <c r="G93" t="s">
        <v>14</v>
      </c>
      <c r="H93" t="s">
        <v>15</v>
      </c>
      <c r="I93" t="s">
        <v>16</v>
      </c>
      <c r="J93" s="6">
        <v>46030</v>
      </c>
      <c r="K93" t="s">
        <v>17</v>
      </c>
      <c r="L93">
        <f>tblCatalogo[[#This Row],[Costo_Base]]*21</f>
        <v>0</v>
      </c>
    </row>
    <row r="94" spans="1:12" x14ac:dyDescent="0.35">
      <c r="A94" t="s">
        <v>286</v>
      </c>
      <c r="B94">
        <v>0</v>
      </c>
      <c r="C94" t="s">
        <v>421</v>
      </c>
      <c r="D94" t="s">
        <v>11</v>
      </c>
      <c r="E94" t="s">
        <v>406</v>
      </c>
      <c r="F94" t="s">
        <v>13</v>
      </c>
      <c r="G94" t="s">
        <v>14</v>
      </c>
      <c r="H94" t="s">
        <v>15</v>
      </c>
      <c r="I94" t="s">
        <v>16</v>
      </c>
      <c r="J94" s="6">
        <v>46030</v>
      </c>
      <c r="K94" t="s">
        <v>17</v>
      </c>
      <c r="L94">
        <f>tblCatalogo[[#This Row],[Costo_Base]]*21</f>
        <v>0</v>
      </c>
    </row>
    <row r="95" spans="1:12" x14ac:dyDescent="0.35">
      <c r="A95" t="s">
        <v>283</v>
      </c>
      <c r="B95">
        <v>0</v>
      </c>
      <c r="C95" t="s">
        <v>421</v>
      </c>
      <c r="D95" t="s">
        <v>11</v>
      </c>
      <c r="E95" t="s">
        <v>403</v>
      </c>
      <c r="F95" t="s">
        <v>13</v>
      </c>
      <c r="G95" t="s">
        <v>14</v>
      </c>
      <c r="H95" t="s">
        <v>15</v>
      </c>
      <c r="I95" t="s">
        <v>16</v>
      </c>
      <c r="J95" s="6">
        <v>46030</v>
      </c>
      <c r="K95" t="s">
        <v>17</v>
      </c>
      <c r="L95">
        <f>tblCatalogo[[#This Row],[Costo_Base]]*21</f>
        <v>0</v>
      </c>
    </row>
    <row r="96" spans="1:12" x14ac:dyDescent="0.35">
      <c r="A96" t="s">
        <v>282</v>
      </c>
      <c r="B96">
        <v>0</v>
      </c>
      <c r="C96" t="s">
        <v>421</v>
      </c>
      <c r="D96" t="s">
        <v>11</v>
      </c>
      <c r="E96" t="s">
        <v>402</v>
      </c>
      <c r="F96" t="s">
        <v>13</v>
      </c>
      <c r="G96" t="s">
        <v>14</v>
      </c>
      <c r="H96" t="s">
        <v>15</v>
      </c>
      <c r="I96" t="s">
        <v>16</v>
      </c>
      <c r="J96" s="6">
        <v>46030</v>
      </c>
      <c r="K96" t="s">
        <v>17</v>
      </c>
      <c r="L96">
        <f>tblCatalogo[[#This Row],[Costo_Base]]*21</f>
        <v>0</v>
      </c>
    </row>
    <row r="97" spans="1:12" x14ac:dyDescent="0.35">
      <c r="A97" t="s">
        <v>292</v>
      </c>
      <c r="B97">
        <v>0</v>
      </c>
      <c r="C97" t="s">
        <v>421</v>
      </c>
      <c r="D97" t="s">
        <v>11</v>
      </c>
      <c r="E97" t="s">
        <v>412</v>
      </c>
      <c r="F97" t="s">
        <v>13</v>
      </c>
      <c r="G97" t="s">
        <v>14</v>
      </c>
      <c r="H97" t="s">
        <v>15</v>
      </c>
      <c r="I97" t="s">
        <v>16</v>
      </c>
      <c r="J97" s="6">
        <v>46030</v>
      </c>
      <c r="K97" t="s">
        <v>17</v>
      </c>
      <c r="L97">
        <f>tblCatalogo[[#This Row],[Costo_Base]]*21</f>
        <v>0</v>
      </c>
    </row>
    <row r="98" spans="1:12" x14ac:dyDescent="0.35">
      <c r="A98" t="s">
        <v>293</v>
      </c>
      <c r="B98">
        <v>0</v>
      </c>
      <c r="C98" t="s">
        <v>421</v>
      </c>
      <c r="D98" t="s">
        <v>11</v>
      </c>
      <c r="E98" t="s">
        <v>413</v>
      </c>
      <c r="F98" t="s">
        <v>13</v>
      </c>
      <c r="G98" t="s">
        <v>14</v>
      </c>
      <c r="H98" t="s">
        <v>15</v>
      </c>
      <c r="I98" t="s">
        <v>16</v>
      </c>
      <c r="J98" s="6">
        <v>46030</v>
      </c>
      <c r="K98" t="s">
        <v>17</v>
      </c>
      <c r="L98">
        <f>tblCatalogo[[#This Row],[Costo_Base]]*21</f>
        <v>0</v>
      </c>
    </row>
    <row r="99" spans="1:12" x14ac:dyDescent="0.35">
      <c r="A99" t="s">
        <v>289</v>
      </c>
      <c r="B99">
        <v>0</v>
      </c>
      <c r="C99" t="s">
        <v>421</v>
      </c>
      <c r="D99" t="s">
        <v>11</v>
      </c>
      <c r="E99" t="s">
        <v>409</v>
      </c>
      <c r="F99" t="s">
        <v>13</v>
      </c>
      <c r="G99" t="s">
        <v>14</v>
      </c>
      <c r="H99" t="s">
        <v>15</v>
      </c>
      <c r="I99" t="s">
        <v>16</v>
      </c>
      <c r="J99" s="6">
        <v>46030</v>
      </c>
      <c r="K99" t="s">
        <v>17</v>
      </c>
      <c r="L99">
        <f>tblCatalogo[[#This Row],[Costo_Base]]*21</f>
        <v>0</v>
      </c>
    </row>
    <row r="100" spans="1:12" x14ac:dyDescent="0.35">
      <c r="A100" t="s">
        <v>290</v>
      </c>
      <c r="B100">
        <v>0</v>
      </c>
      <c r="C100" t="s">
        <v>421</v>
      </c>
      <c r="D100" t="s">
        <v>11</v>
      </c>
      <c r="E100" t="s">
        <v>410</v>
      </c>
      <c r="F100" t="s">
        <v>13</v>
      </c>
      <c r="G100" t="s">
        <v>14</v>
      </c>
      <c r="H100" t="s">
        <v>15</v>
      </c>
      <c r="I100" t="s">
        <v>16</v>
      </c>
      <c r="J100" s="6">
        <v>46030</v>
      </c>
      <c r="K100" t="s">
        <v>17</v>
      </c>
      <c r="L100">
        <f>tblCatalogo[[#This Row],[Costo_Base]]*21</f>
        <v>0</v>
      </c>
    </row>
    <row r="101" spans="1:12" x14ac:dyDescent="0.35">
      <c r="A101" t="s">
        <v>291</v>
      </c>
      <c r="B101">
        <v>0</v>
      </c>
      <c r="C101" t="s">
        <v>421</v>
      </c>
      <c r="D101" t="s">
        <v>11</v>
      </c>
      <c r="E101" t="s">
        <v>411</v>
      </c>
      <c r="F101" t="s">
        <v>13</v>
      </c>
      <c r="G101" t="s">
        <v>14</v>
      </c>
      <c r="H101" t="s">
        <v>15</v>
      </c>
      <c r="I101" t="s">
        <v>16</v>
      </c>
      <c r="J101" s="6">
        <v>46030</v>
      </c>
      <c r="K101" t="s">
        <v>17</v>
      </c>
      <c r="L101">
        <f>tblCatalogo[[#This Row],[Costo_Base]]*21</f>
        <v>0</v>
      </c>
    </row>
    <row r="102" spans="1:12" x14ac:dyDescent="0.35">
      <c r="A102" t="s">
        <v>287</v>
      </c>
      <c r="B102">
        <v>0</v>
      </c>
      <c r="C102" t="s">
        <v>421</v>
      </c>
      <c r="D102" t="s">
        <v>11</v>
      </c>
      <c r="E102" t="s">
        <v>407</v>
      </c>
      <c r="F102" t="s">
        <v>13</v>
      </c>
      <c r="G102" t="s">
        <v>14</v>
      </c>
      <c r="H102" t="s">
        <v>15</v>
      </c>
      <c r="I102" t="s">
        <v>16</v>
      </c>
      <c r="J102" s="6">
        <v>46030</v>
      </c>
      <c r="K102" t="s">
        <v>17</v>
      </c>
      <c r="L102">
        <f>tblCatalogo[[#This Row],[Costo_Base]]*21</f>
        <v>0</v>
      </c>
    </row>
    <row r="103" spans="1:12" x14ac:dyDescent="0.35">
      <c r="A103" t="s">
        <v>288</v>
      </c>
      <c r="B103">
        <v>0</v>
      </c>
      <c r="C103" t="s">
        <v>421</v>
      </c>
      <c r="D103" t="s">
        <v>11</v>
      </c>
      <c r="E103" t="s">
        <v>408</v>
      </c>
      <c r="F103" t="s">
        <v>13</v>
      </c>
      <c r="G103" t="s">
        <v>14</v>
      </c>
      <c r="H103" t="s">
        <v>15</v>
      </c>
      <c r="I103" t="s">
        <v>16</v>
      </c>
      <c r="J103" s="6">
        <v>46030</v>
      </c>
      <c r="K103" t="s">
        <v>17</v>
      </c>
      <c r="L103">
        <f>tblCatalogo[[#This Row],[Costo_Base]]*21</f>
        <v>0</v>
      </c>
    </row>
    <row r="104" spans="1:12" x14ac:dyDescent="0.35">
      <c r="A104" t="s">
        <v>299</v>
      </c>
      <c r="B104">
        <v>0</v>
      </c>
      <c r="C104" t="s">
        <v>421</v>
      </c>
      <c r="D104" t="s">
        <v>11</v>
      </c>
      <c r="E104" t="s">
        <v>419</v>
      </c>
      <c r="F104" t="s">
        <v>13</v>
      </c>
      <c r="G104" t="s">
        <v>14</v>
      </c>
      <c r="H104" t="s">
        <v>15</v>
      </c>
      <c r="I104" t="s">
        <v>16</v>
      </c>
      <c r="J104" s="6">
        <v>46030</v>
      </c>
      <c r="K104" t="s">
        <v>17</v>
      </c>
      <c r="L104">
        <f>tblCatalogo[[#This Row],[Costo_Base]]*21</f>
        <v>0</v>
      </c>
    </row>
    <row r="105" spans="1:12" x14ac:dyDescent="0.35">
      <c r="A105" t="s">
        <v>300</v>
      </c>
      <c r="B105">
        <v>0</v>
      </c>
      <c r="C105" t="s">
        <v>421</v>
      </c>
      <c r="D105" t="s">
        <v>11</v>
      </c>
      <c r="E105" t="s">
        <v>420</v>
      </c>
      <c r="F105" t="s">
        <v>13</v>
      </c>
      <c r="G105" t="s">
        <v>14</v>
      </c>
      <c r="H105" t="s">
        <v>15</v>
      </c>
      <c r="I105" t="s">
        <v>16</v>
      </c>
      <c r="J105" s="6">
        <v>46030</v>
      </c>
      <c r="K105" t="s">
        <v>17</v>
      </c>
      <c r="L105">
        <f>tblCatalogo[[#This Row],[Costo_Base]]*21</f>
        <v>0</v>
      </c>
    </row>
    <row r="106" spans="1:12" x14ac:dyDescent="0.35">
      <c r="A106" t="s">
        <v>296</v>
      </c>
      <c r="B106">
        <v>0</v>
      </c>
      <c r="C106" t="s">
        <v>421</v>
      </c>
      <c r="D106" t="s">
        <v>11</v>
      </c>
      <c r="E106" t="s">
        <v>416</v>
      </c>
      <c r="F106" t="s">
        <v>13</v>
      </c>
      <c r="G106" t="s">
        <v>14</v>
      </c>
      <c r="H106" t="s">
        <v>15</v>
      </c>
      <c r="I106" t="s">
        <v>16</v>
      </c>
      <c r="J106" s="6">
        <v>46030</v>
      </c>
      <c r="K106" t="s">
        <v>17</v>
      </c>
      <c r="L106">
        <f>tblCatalogo[[#This Row],[Costo_Base]]*21</f>
        <v>0</v>
      </c>
    </row>
    <row r="107" spans="1:12" x14ac:dyDescent="0.35">
      <c r="A107" t="s">
        <v>297</v>
      </c>
      <c r="B107">
        <v>0</v>
      </c>
      <c r="C107" t="s">
        <v>421</v>
      </c>
      <c r="D107" t="s">
        <v>11</v>
      </c>
      <c r="E107" t="s">
        <v>417</v>
      </c>
      <c r="F107" t="s">
        <v>13</v>
      </c>
      <c r="G107" t="s">
        <v>14</v>
      </c>
      <c r="H107" t="s">
        <v>15</v>
      </c>
      <c r="I107" t="s">
        <v>16</v>
      </c>
      <c r="J107" s="6">
        <v>46030</v>
      </c>
      <c r="K107" t="s">
        <v>17</v>
      </c>
      <c r="L107">
        <f>tblCatalogo[[#This Row],[Costo_Base]]*21</f>
        <v>0</v>
      </c>
    </row>
    <row r="108" spans="1:12" x14ac:dyDescent="0.35">
      <c r="A108" t="s">
        <v>298</v>
      </c>
      <c r="B108">
        <v>0</v>
      </c>
      <c r="C108" t="s">
        <v>421</v>
      </c>
      <c r="D108" t="s">
        <v>11</v>
      </c>
      <c r="E108" t="s">
        <v>418</v>
      </c>
      <c r="F108" t="s">
        <v>13</v>
      </c>
      <c r="G108" t="s">
        <v>14</v>
      </c>
      <c r="H108" t="s">
        <v>15</v>
      </c>
      <c r="I108" t="s">
        <v>16</v>
      </c>
      <c r="J108" s="6">
        <v>46030</v>
      </c>
      <c r="K108" t="s">
        <v>17</v>
      </c>
      <c r="L108">
        <f>tblCatalogo[[#This Row],[Costo_Base]]*21</f>
        <v>0</v>
      </c>
    </row>
    <row r="109" spans="1:12" x14ac:dyDescent="0.35">
      <c r="A109" t="s">
        <v>294</v>
      </c>
      <c r="B109">
        <v>0</v>
      </c>
      <c r="C109" t="s">
        <v>421</v>
      </c>
      <c r="D109" t="s">
        <v>11</v>
      </c>
      <c r="E109" t="s">
        <v>414</v>
      </c>
      <c r="F109" t="s">
        <v>13</v>
      </c>
      <c r="G109" t="s">
        <v>14</v>
      </c>
      <c r="H109" t="s">
        <v>15</v>
      </c>
      <c r="I109" t="s">
        <v>16</v>
      </c>
      <c r="J109" s="6">
        <v>46030</v>
      </c>
      <c r="K109" t="s">
        <v>17</v>
      </c>
      <c r="L109">
        <f>tblCatalogo[[#This Row],[Costo_Base]]*21</f>
        <v>0</v>
      </c>
    </row>
    <row r="110" spans="1:12" x14ac:dyDescent="0.35">
      <c r="A110" t="s">
        <v>295</v>
      </c>
      <c r="B110">
        <v>0</v>
      </c>
      <c r="C110" t="s">
        <v>421</v>
      </c>
      <c r="D110" t="s">
        <v>11</v>
      </c>
      <c r="E110" t="s">
        <v>415</v>
      </c>
      <c r="F110" t="s">
        <v>13</v>
      </c>
      <c r="G110" t="s">
        <v>14</v>
      </c>
      <c r="H110" t="s">
        <v>15</v>
      </c>
      <c r="I110" t="s">
        <v>16</v>
      </c>
      <c r="J110" s="6">
        <v>46030</v>
      </c>
      <c r="K110" t="s">
        <v>17</v>
      </c>
      <c r="L110">
        <f>tblCatalogo[[#This Row],[Costo_Base]]*21</f>
        <v>0</v>
      </c>
    </row>
    <row r="111" spans="1:12" x14ac:dyDescent="0.35">
      <c r="A111" t="s">
        <v>249</v>
      </c>
      <c r="B111">
        <v>0</v>
      </c>
      <c r="C111" t="s">
        <v>422</v>
      </c>
      <c r="D111" t="s">
        <v>11</v>
      </c>
      <c r="E111" t="s">
        <v>364</v>
      </c>
      <c r="F111" t="s">
        <v>13</v>
      </c>
      <c r="G111" t="s">
        <v>14</v>
      </c>
      <c r="H111" t="s">
        <v>15</v>
      </c>
      <c r="I111" t="s">
        <v>16</v>
      </c>
      <c r="J111" s="6">
        <v>46030</v>
      </c>
      <c r="K111" t="s">
        <v>17</v>
      </c>
      <c r="L111">
        <f>tblCatalogo[[#This Row],[Costo_Base]]*21</f>
        <v>0</v>
      </c>
    </row>
    <row r="112" spans="1:12" x14ac:dyDescent="0.35">
      <c r="A112" t="s">
        <v>250</v>
      </c>
      <c r="B112">
        <v>0</v>
      </c>
      <c r="C112" t="s">
        <v>422</v>
      </c>
      <c r="D112" t="s">
        <v>11</v>
      </c>
      <c r="E112" t="s">
        <v>365</v>
      </c>
      <c r="F112" t="s">
        <v>13</v>
      </c>
      <c r="G112" t="s">
        <v>14</v>
      </c>
      <c r="H112" t="s">
        <v>15</v>
      </c>
      <c r="I112" t="s">
        <v>16</v>
      </c>
      <c r="J112" s="6">
        <v>46030</v>
      </c>
      <c r="K112" t="s">
        <v>17</v>
      </c>
      <c r="L112">
        <f>tblCatalogo[[#This Row],[Costo_Base]]*21</f>
        <v>0</v>
      </c>
    </row>
    <row r="113" spans="1:12" x14ac:dyDescent="0.35">
      <c r="A113" t="s">
        <v>205</v>
      </c>
      <c r="B113">
        <v>0</v>
      </c>
      <c r="C113" t="s">
        <v>422</v>
      </c>
      <c r="D113" t="s">
        <v>11</v>
      </c>
      <c r="E113" t="s">
        <v>320</v>
      </c>
      <c r="F113" t="s">
        <v>13</v>
      </c>
      <c r="G113" t="s">
        <v>14</v>
      </c>
      <c r="H113" t="s">
        <v>15</v>
      </c>
      <c r="I113" t="s">
        <v>16</v>
      </c>
      <c r="J113" s="6">
        <v>46030</v>
      </c>
      <c r="K113" t="s">
        <v>17</v>
      </c>
      <c r="L113">
        <f>tblCatalogo[[#This Row],[Costo_Base]]*21</f>
        <v>0</v>
      </c>
    </row>
    <row r="114" spans="1:12" x14ac:dyDescent="0.35">
      <c r="A114" t="s">
        <v>206</v>
      </c>
      <c r="B114">
        <v>0</v>
      </c>
      <c r="C114" t="s">
        <v>422</v>
      </c>
      <c r="D114" t="s">
        <v>11</v>
      </c>
      <c r="E114" t="s">
        <v>321</v>
      </c>
      <c r="F114" t="s">
        <v>13</v>
      </c>
      <c r="G114" t="s">
        <v>14</v>
      </c>
      <c r="H114" t="s">
        <v>15</v>
      </c>
      <c r="I114" t="s">
        <v>16</v>
      </c>
      <c r="J114" s="6">
        <v>46030</v>
      </c>
      <c r="K114" t="s">
        <v>17</v>
      </c>
      <c r="L114">
        <f>tblCatalogo[[#This Row],[Costo_Base]]*21</f>
        <v>0</v>
      </c>
    </row>
    <row r="115" spans="1:12" x14ac:dyDescent="0.35">
      <c r="A115" t="s">
        <v>207</v>
      </c>
      <c r="B115">
        <v>0</v>
      </c>
      <c r="C115" t="s">
        <v>422</v>
      </c>
      <c r="D115" t="s">
        <v>11</v>
      </c>
      <c r="E115" t="s">
        <v>322</v>
      </c>
      <c r="F115" t="s">
        <v>13</v>
      </c>
      <c r="G115" t="s">
        <v>14</v>
      </c>
      <c r="H115" t="s">
        <v>15</v>
      </c>
      <c r="I115" t="s">
        <v>16</v>
      </c>
      <c r="J115" s="6">
        <v>46030</v>
      </c>
      <c r="K115" t="s">
        <v>17</v>
      </c>
      <c r="L115">
        <f>tblCatalogo[[#This Row],[Costo_Base]]*21</f>
        <v>0</v>
      </c>
    </row>
    <row r="116" spans="1:12" x14ac:dyDescent="0.35">
      <c r="A116" t="s">
        <v>208</v>
      </c>
      <c r="B116">
        <v>0</v>
      </c>
      <c r="C116" t="s">
        <v>422</v>
      </c>
      <c r="D116" t="s">
        <v>11</v>
      </c>
      <c r="E116" t="s">
        <v>323</v>
      </c>
      <c r="F116" t="s">
        <v>13</v>
      </c>
      <c r="G116" t="s">
        <v>14</v>
      </c>
      <c r="H116" t="s">
        <v>15</v>
      </c>
      <c r="I116" t="s">
        <v>16</v>
      </c>
      <c r="J116" s="6">
        <v>46030</v>
      </c>
      <c r="K116" t="s">
        <v>17</v>
      </c>
      <c r="L116">
        <f>tblCatalogo[[#This Row],[Costo_Base]]*21</f>
        <v>0</v>
      </c>
    </row>
    <row r="117" spans="1:12" x14ac:dyDescent="0.35">
      <c r="A117" t="s">
        <v>203</v>
      </c>
      <c r="B117">
        <v>0</v>
      </c>
      <c r="C117" t="s">
        <v>422</v>
      </c>
      <c r="D117" t="s">
        <v>11</v>
      </c>
      <c r="E117" t="s">
        <v>318</v>
      </c>
      <c r="F117" t="s">
        <v>13</v>
      </c>
      <c r="G117" t="s">
        <v>14</v>
      </c>
      <c r="H117" t="s">
        <v>15</v>
      </c>
      <c r="I117" t="s">
        <v>16</v>
      </c>
      <c r="J117" s="6">
        <v>46030</v>
      </c>
      <c r="K117" t="s">
        <v>17</v>
      </c>
      <c r="L117">
        <f>tblCatalogo[[#This Row],[Costo_Base]]*21</f>
        <v>0</v>
      </c>
    </row>
    <row r="118" spans="1:12" x14ac:dyDescent="0.35">
      <c r="A118" t="s">
        <v>204</v>
      </c>
      <c r="B118">
        <v>0</v>
      </c>
      <c r="C118" t="s">
        <v>422</v>
      </c>
      <c r="D118" t="s">
        <v>11</v>
      </c>
      <c r="E118" t="s">
        <v>319</v>
      </c>
      <c r="F118" t="s">
        <v>13</v>
      </c>
      <c r="G118" t="s">
        <v>14</v>
      </c>
      <c r="H118" t="s">
        <v>15</v>
      </c>
      <c r="I118" t="s">
        <v>16</v>
      </c>
      <c r="J118" s="6">
        <v>46030</v>
      </c>
      <c r="K118" t="s">
        <v>17</v>
      </c>
      <c r="L118">
        <f>tblCatalogo[[#This Row],[Costo_Base]]*21</f>
        <v>0</v>
      </c>
    </row>
    <row r="119" spans="1:12" x14ac:dyDescent="0.35">
      <c r="A119" t="s">
        <v>200</v>
      </c>
      <c r="B119">
        <v>0</v>
      </c>
      <c r="C119" t="s">
        <v>422</v>
      </c>
      <c r="D119" t="s">
        <v>11</v>
      </c>
      <c r="E119" t="s">
        <v>315</v>
      </c>
      <c r="F119" t="s">
        <v>13</v>
      </c>
      <c r="G119" t="s">
        <v>14</v>
      </c>
      <c r="H119" t="s">
        <v>15</v>
      </c>
      <c r="I119" t="s">
        <v>16</v>
      </c>
      <c r="J119" s="6">
        <v>46030</v>
      </c>
      <c r="K119" t="s">
        <v>17</v>
      </c>
      <c r="L119">
        <f>tblCatalogo[[#This Row],[Costo_Base]]*21</f>
        <v>0</v>
      </c>
    </row>
    <row r="120" spans="1:12" x14ac:dyDescent="0.35">
      <c r="A120" t="s">
        <v>201</v>
      </c>
      <c r="B120">
        <v>0</v>
      </c>
      <c r="C120" t="s">
        <v>422</v>
      </c>
      <c r="D120" t="s">
        <v>11</v>
      </c>
      <c r="E120" t="s">
        <v>316</v>
      </c>
      <c r="F120" t="s">
        <v>13</v>
      </c>
      <c r="G120" t="s">
        <v>14</v>
      </c>
      <c r="H120" t="s">
        <v>15</v>
      </c>
      <c r="I120" t="s">
        <v>16</v>
      </c>
      <c r="J120" s="6">
        <v>46030</v>
      </c>
      <c r="K120" t="s">
        <v>17</v>
      </c>
      <c r="L120">
        <f>tblCatalogo[[#This Row],[Costo_Base]]*21</f>
        <v>0</v>
      </c>
    </row>
    <row r="121" spans="1:12" x14ac:dyDescent="0.35">
      <c r="A121" t="s">
        <v>202</v>
      </c>
      <c r="B121">
        <v>0</v>
      </c>
      <c r="C121" t="s">
        <v>422</v>
      </c>
      <c r="D121" t="s">
        <v>11</v>
      </c>
      <c r="E121" t="s">
        <v>317</v>
      </c>
      <c r="F121" t="s">
        <v>13</v>
      </c>
      <c r="G121" t="s">
        <v>14</v>
      </c>
      <c r="H121" t="s">
        <v>15</v>
      </c>
      <c r="I121" t="s">
        <v>16</v>
      </c>
      <c r="J121" s="6">
        <v>46030</v>
      </c>
      <c r="K121" t="s">
        <v>17</v>
      </c>
      <c r="L121">
        <f>tblCatalogo[[#This Row],[Costo_Base]]*21</f>
        <v>0</v>
      </c>
    </row>
    <row r="122" spans="1:12" x14ac:dyDescent="0.35">
      <c r="A122" t="s">
        <v>198</v>
      </c>
      <c r="B122">
        <v>0</v>
      </c>
      <c r="C122" t="s">
        <v>422</v>
      </c>
      <c r="D122" t="s">
        <v>11</v>
      </c>
      <c r="E122" t="s">
        <v>313</v>
      </c>
      <c r="F122" t="s">
        <v>13</v>
      </c>
      <c r="G122" t="s">
        <v>14</v>
      </c>
      <c r="H122" t="s">
        <v>15</v>
      </c>
      <c r="I122" t="s">
        <v>16</v>
      </c>
      <c r="J122" s="6">
        <v>46030</v>
      </c>
      <c r="K122" t="s">
        <v>17</v>
      </c>
      <c r="L122">
        <f>tblCatalogo[[#This Row],[Costo_Base]]*21</f>
        <v>0</v>
      </c>
    </row>
    <row r="123" spans="1:12" x14ac:dyDescent="0.35">
      <c r="A123" t="s">
        <v>199</v>
      </c>
      <c r="B123">
        <v>0</v>
      </c>
      <c r="C123" t="s">
        <v>422</v>
      </c>
      <c r="D123" t="s">
        <v>11</v>
      </c>
      <c r="E123" t="s">
        <v>314</v>
      </c>
      <c r="F123" t="s">
        <v>13</v>
      </c>
      <c r="G123" t="s">
        <v>14</v>
      </c>
      <c r="H123" t="s">
        <v>15</v>
      </c>
      <c r="I123" t="s">
        <v>16</v>
      </c>
      <c r="J123" s="6">
        <v>46030</v>
      </c>
      <c r="K123" t="s">
        <v>17</v>
      </c>
      <c r="L123">
        <f>tblCatalogo[[#This Row],[Costo_Base]]*21</f>
        <v>0</v>
      </c>
    </row>
    <row r="124" spans="1:12" x14ac:dyDescent="0.35">
      <c r="A124" t="s">
        <v>194</v>
      </c>
      <c r="B124">
        <v>0</v>
      </c>
      <c r="C124" t="s">
        <v>422</v>
      </c>
      <c r="D124" t="s">
        <v>11</v>
      </c>
      <c r="E124" t="s">
        <v>309</v>
      </c>
      <c r="F124" t="s">
        <v>13</v>
      </c>
      <c r="G124" t="s">
        <v>14</v>
      </c>
      <c r="H124" t="s">
        <v>15</v>
      </c>
      <c r="I124" t="s">
        <v>16</v>
      </c>
      <c r="J124" s="6">
        <v>46030</v>
      </c>
      <c r="K124" t="s">
        <v>17</v>
      </c>
      <c r="L124">
        <f>tblCatalogo[[#This Row],[Costo_Base]]*21</f>
        <v>0</v>
      </c>
    </row>
    <row r="125" spans="1:12" x14ac:dyDescent="0.35">
      <c r="A125" t="s">
        <v>195</v>
      </c>
      <c r="B125">
        <v>0</v>
      </c>
      <c r="C125" t="s">
        <v>422</v>
      </c>
      <c r="D125" t="s">
        <v>11</v>
      </c>
      <c r="E125" t="s">
        <v>310</v>
      </c>
      <c r="F125" t="s">
        <v>13</v>
      </c>
      <c r="G125" t="s">
        <v>14</v>
      </c>
      <c r="H125" t="s">
        <v>15</v>
      </c>
      <c r="I125" t="s">
        <v>16</v>
      </c>
      <c r="J125" s="6">
        <v>46030</v>
      </c>
      <c r="K125" t="s">
        <v>17</v>
      </c>
      <c r="L125">
        <f>tblCatalogo[[#This Row],[Costo_Base]]*21</f>
        <v>0</v>
      </c>
    </row>
    <row r="126" spans="1:12" x14ac:dyDescent="0.35">
      <c r="A126" t="s">
        <v>196</v>
      </c>
      <c r="B126">
        <v>0</v>
      </c>
      <c r="C126" t="s">
        <v>422</v>
      </c>
      <c r="D126" t="s">
        <v>11</v>
      </c>
      <c r="E126" t="s">
        <v>311</v>
      </c>
      <c r="F126" t="s">
        <v>13</v>
      </c>
      <c r="G126" t="s">
        <v>14</v>
      </c>
      <c r="H126" t="s">
        <v>15</v>
      </c>
      <c r="I126" t="s">
        <v>16</v>
      </c>
      <c r="J126" s="6">
        <v>46030</v>
      </c>
      <c r="K126" t="s">
        <v>17</v>
      </c>
      <c r="L126">
        <f>tblCatalogo[[#This Row],[Costo_Base]]*21</f>
        <v>0</v>
      </c>
    </row>
    <row r="127" spans="1:12" x14ac:dyDescent="0.35">
      <c r="A127" t="s">
        <v>197</v>
      </c>
      <c r="B127">
        <v>0</v>
      </c>
      <c r="C127" t="s">
        <v>422</v>
      </c>
      <c r="D127" t="s">
        <v>11</v>
      </c>
      <c r="E127" t="s">
        <v>312</v>
      </c>
      <c r="F127" t="s">
        <v>13</v>
      </c>
      <c r="G127" t="s">
        <v>14</v>
      </c>
      <c r="H127" t="s">
        <v>15</v>
      </c>
      <c r="I127" t="s">
        <v>16</v>
      </c>
      <c r="J127" s="6">
        <v>46030</v>
      </c>
      <c r="K127" t="s">
        <v>17</v>
      </c>
      <c r="L127">
        <f>tblCatalogo[[#This Row],[Costo_Base]]*21</f>
        <v>0</v>
      </c>
    </row>
    <row r="128" spans="1:12" x14ac:dyDescent="0.35">
      <c r="A128" t="s">
        <v>192</v>
      </c>
      <c r="B128">
        <v>0</v>
      </c>
      <c r="C128" t="s">
        <v>422</v>
      </c>
      <c r="D128" t="s">
        <v>11</v>
      </c>
      <c r="E128" t="s">
        <v>307</v>
      </c>
      <c r="F128" t="s">
        <v>13</v>
      </c>
      <c r="G128" t="s">
        <v>14</v>
      </c>
      <c r="H128" t="s">
        <v>15</v>
      </c>
      <c r="I128" t="s">
        <v>16</v>
      </c>
      <c r="J128" s="6">
        <v>46030</v>
      </c>
      <c r="K128" t="s">
        <v>17</v>
      </c>
      <c r="L128">
        <f>tblCatalogo[[#This Row],[Costo_Base]]*21</f>
        <v>0</v>
      </c>
    </row>
    <row r="129" spans="1:12" x14ac:dyDescent="0.35">
      <c r="A129" t="s">
        <v>193</v>
      </c>
      <c r="B129">
        <v>0</v>
      </c>
      <c r="C129" t="s">
        <v>422</v>
      </c>
      <c r="D129" t="s">
        <v>11</v>
      </c>
      <c r="E129" t="s">
        <v>308</v>
      </c>
      <c r="F129" t="s">
        <v>13</v>
      </c>
      <c r="G129" t="s">
        <v>14</v>
      </c>
      <c r="H129" t="s">
        <v>15</v>
      </c>
      <c r="I129" t="s">
        <v>16</v>
      </c>
      <c r="J129" s="6">
        <v>46030</v>
      </c>
      <c r="K129" t="s">
        <v>17</v>
      </c>
      <c r="L129">
        <f>tblCatalogo[[#This Row],[Costo_Base]]*21</f>
        <v>0</v>
      </c>
    </row>
    <row r="130" spans="1:12" x14ac:dyDescent="0.35">
      <c r="A130" t="s">
        <v>219</v>
      </c>
      <c r="B130">
        <v>0</v>
      </c>
      <c r="C130" t="s">
        <v>422</v>
      </c>
      <c r="D130" t="s">
        <v>11</v>
      </c>
      <c r="E130" t="s">
        <v>334</v>
      </c>
      <c r="F130" t="s">
        <v>13</v>
      </c>
      <c r="G130" t="s">
        <v>14</v>
      </c>
      <c r="H130" t="s">
        <v>15</v>
      </c>
      <c r="I130" t="s">
        <v>16</v>
      </c>
      <c r="J130" s="6">
        <v>46030</v>
      </c>
      <c r="K130" t="s">
        <v>17</v>
      </c>
      <c r="L130">
        <f>tblCatalogo[[#This Row],[Costo_Base]]*21</f>
        <v>0</v>
      </c>
    </row>
    <row r="131" spans="1:12" x14ac:dyDescent="0.35">
      <c r="A131" t="s">
        <v>220</v>
      </c>
      <c r="B131">
        <v>0</v>
      </c>
      <c r="C131" t="s">
        <v>422</v>
      </c>
      <c r="D131" t="s">
        <v>11</v>
      </c>
      <c r="E131" t="s">
        <v>335</v>
      </c>
      <c r="F131" t="s">
        <v>13</v>
      </c>
      <c r="G131" t="s">
        <v>14</v>
      </c>
      <c r="H131" t="s">
        <v>15</v>
      </c>
      <c r="I131" t="s">
        <v>16</v>
      </c>
      <c r="J131" s="6">
        <v>46030</v>
      </c>
      <c r="K131" t="s">
        <v>17</v>
      </c>
      <c r="L131">
        <f>tblCatalogo[[#This Row],[Costo_Base]]*21</f>
        <v>0</v>
      </c>
    </row>
    <row r="132" spans="1:12" x14ac:dyDescent="0.35">
      <c r="A132" t="s">
        <v>221</v>
      </c>
      <c r="B132">
        <v>0</v>
      </c>
      <c r="C132" t="s">
        <v>422</v>
      </c>
      <c r="D132" t="s">
        <v>11</v>
      </c>
      <c r="E132" t="s">
        <v>336</v>
      </c>
      <c r="F132" t="s">
        <v>13</v>
      </c>
      <c r="G132" t="s">
        <v>14</v>
      </c>
      <c r="H132" t="s">
        <v>15</v>
      </c>
      <c r="I132" t="s">
        <v>16</v>
      </c>
      <c r="J132" s="6">
        <v>46030</v>
      </c>
      <c r="K132" t="s">
        <v>17</v>
      </c>
      <c r="L132">
        <f>tblCatalogo[[#This Row],[Costo_Base]]*21</f>
        <v>0</v>
      </c>
    </row>
    <row r="133" spans="1:12" x14ac:dyDescent="0.35">
      <c r="A133" t="s">
        <v>217</v>
      </c>
      <c r="B133">
        <v>0</v>
      </c>
      <c r="C133" t="s">
        <v>422</v>
      </c>
      <c r="D133" t="s">
        <v>11</v>
      </c>
      <c r="E133" t="s">
        <v>332</v>
      </c>
      <c r="F133" t="s">
        <v>13</v>
      </c>
      <c r="G133" t="s">
        <v>14</v>
      </c>
      <c r="H133" t="s">
        <v>15</v>
      </c>
      <c r="I133" t="s">
        <v>16</v>
      </c>
      <c r="J133" s="6">
        <v>46030</v>
      </c>
      <c r="K133" t="s">
        <v>17</v>
      </c>
      <c r="L133">
        <f>tblCatalogo[[#This Row],[Costo_Base]]*21</f>
        <v>0</v>
      </c>
    </row>
    <row r="134" spans="1:12" x14ac:dyDescent="0.35">
      <c r="A134" t="s">
        <v>218</v>
      </c>
      <c r="B134">
        <v>0</v>
      </c>
      <c r="C134" t="s">
        <v>422</v>
      </c>
      <c r="D134" t="s">
        <v>11</v>
      </c>
      <c r="E134" t="s">
        <v>333</v>
      </c>
      <c r="F134" t="s">
        <v>13</v>
      </c>
      <c r="G134" t="s">
        <v>14</v>
      </c>
      <c r="H134" t="s">
        <v>15</v>
      </c>
      <c r="I134" t="s">
        <v>16</v>
      </c>
      <c r="J134" s="6">
        <v>46030</v>
      </c>
      <c r="K134" t="s">
        <v>17</v>
      </c>
      <c r="L134">
        <f>tblCatalogo[[#This Row],[Costo_Base]]*21</f>
        <v>0</v>
      </c>
    </row>
    <row r="135" spans="1:12" x14ac:dyDescent="0.35">
      <c r="A135" t="s">
        <v>215</v>
      </c>
      <c r="B135">
        <v>0</v>
      </c>
      <c r="C135" t="s">
        <v>422</v>
      </c>
      <c r="D135" t="s">
        <v>11</v>
      </c>
      <c r="E135" t="s">
        <v>330</v>
      </c>
      <c r="F135" t="s">
        <v>13</v>
      </c>
      <c r="G135" t="s">
        <v>14</v>
      </c>
      <c r="H135" t="s">
        <v>15</v>
      </c>
      <c r="I135" t="s">
        <v>16</v>
      </c>
      <c r="J135" s="6">
        <v>46030</v>
      </c>
      <c r="K135" t="s">
        <v>17</v>
      </c>
      <c r="L135">
        <f>tblCatalogo[[#This Row],[Costo_Base]]*21</f>
        <v>0</v>
      </c>
    </row>
    <row r="136" spans="1:12" x14ac:dyDescent="0.35">
      <c r="A136" t="s">
        <v>216</v>
      </c>
      <c r="B136">
        <v>0</v>
      </c>
      <c r="C136" t="s">
        <v>422</v>
      </c>
      <c r="D136" t="s">
        <v>11</v>
      </c>
      <c r="E136" t="s">
        <v>331</v>
      </c>
      <c r="F136" t="s">
        <v>13</v>
      </c>
      <c r="G136" t="s">
        <v>14</v>
      </c>
      <c r="H136" t="s">
        <v>15</v>
      </c>
      <c r="I136" t="s">
        <v>16</v>
      </c>
      <c r="J136" s="6">
        <v>46030</v>
      </c>
      <c r="K136" t="s">
        <v>17</v>
      </c>
      <c r="L136">
        <f>tblCatalogo[[#This Row],[Costo_Base]]*21</f>
        <v>0</v>
      </c>
    </row>
    <row r="137" spans="1:12" x14ac:dyDescent="0.35">
      <c r="A137" t="s">
        <v>213</v>
      </c>
      <c r="B137">
        <v>0</v>
      </c>
      <c r="C137" t="s">
        <v>422</v>
      </c>
      <c r="D137" t="s">
        <v>11</v>
      </c>
      <c r="E137" t="s">
        <v>328</v>
      </c>
      <c r="F137" t="s">
        <v>13</v>
      </c>
      <c r="G137" t="s">
        <v>14</v>
      </c>
      <c r="H137" t="s">
        <v>15</v>
      </c>
      <c r="I137" t="s">
        <v>16</v>
      </c>
      <c r="J137" s="6">
        <v>46030</v>
      </c>
      <c r="K137" t="s">
        <v>17</v>
      </c>
      <c r="L137">
        <f>tblCatalogo[[#This Row],[Costo_Base]]*21</f>
        <v>0</v>
      </c>
    </row>
    <row r="138" spans="1:12" x14ac:dyDescent="0.35">
      <c r="A138" t="s">
        <v>214</v>
      </c>
      <c r="B138">
        <v>0</v>
      </c>
      <c r="C138" t="s">
        <v>422</v>
      </c>
      <c r="D138" t="s">
        <v>11</v>
      </c>
      <c r="E138" t="s">
        <v>329</v>
      </c>
      <c r="F138" t="s">
        <v>13</v>
      </c>
      <c r="G138" t="s">
        <v>14</v>
      </c>
      <c r="H138" t="s">
        <v>15</v>
      </c>
      <c r="I138" t="s">
        <v>16</v>
      </c>
      <c r="J138" s="6">
        <v>46030</v>
      </c>
      <c r="K138" t="s">
        <v>17</v>
      </c>
      <c r="L138">
        <f>tblCatalogo[[#This Row],[Costo_Base]]*21</f>
        <v>0</v>
      </c>
    </row>
    <row r="139" spans="1:12" x14ac:dyDescent="0.35">
      <c r="A139" t="s">
        <v>209</v>
      </c>
      <c r="B139">
        <v>0</v>
      </c>
      <c r="C139" t="s">
        <v>422</v>
      </c>
      <c r="D139" t="s">
        <v>11</v>
      </c>
      <c r="E139" t="s">
        <v>324</v>
      </c>
      <c r="F139" t="s">
        <v>13</v>
      </c>
      <c r="G139" t="s">
        <v>14</v>
      </c>
      <c r="H139" t="s">
        <v>15</v>
      </c>
      <c r="I139" t="s">
        <v>16</v>
      </c>
      <c r="J139" s="6">
        <v>46030</v>
      </c>
      <c r="K139" t="s">
        <v>17</v>
      </c>
      <c r="L139">
        <f>tblCatalogo[[#This Row],[Costo_Base]]*21</f>
        <v>0</v>
      </c>
    </row>
    <row r="140" spans="1:12" x14ac:dyDescent="0.35">
      <c r="A140" t="s">
        <v>210</v>
      </c>
      <c r="B140">
        <v>0</v>
      </c>
      <c r="C140" t="s">
        <v>422</v>
      </c>
      <c r="D140" t="s">
        <v>11</v>
      </c>
      <c r="E140" t="s">
        <v>325</v>
      </c>
      <c r="F140" t="s">
        <v>13</v>
      </c>
      <c r="G140" t="s">
        <v>14</v>
      </c>
      <c r="H140" t="s">
        <v>15</v>
      </c>
      <c r="I140" t="s">
        <v>16</v>
      </c>
      <c r="J140" s="6">
        <v>46030</v>
      </c>
      <c r="K140" t="s">
        <v>17</v>
      </c>
      <c r="L140">
        <f>tblCatalogo[[#This Row],[Costo_Base]]*21</f>
        <v>0</v>
      </c>
    </row>
    <row r="141" spans="1:12" x14ac:dyDescent="0.35">
      <c r="A141" t="s">
        <v>211</v>
      </c>
      <c r="B141">
        <v>0</v>
      </c>
      <c r="C141" t="s">
        <v>422</v>
      </c>
      <c r="D141" t="s">
        <v>11</v>
      </c>
      <c r="E141" t="s">
        <v>326</v>
      </c>
      <c r="F141" t="s">
        <v>13</v>
      </c>
      <c r="G141" t="s">
        <v>14</v>
      </c>
      <c r="H141" t="s">
        <v>15</v>
      </c>
      <c r="I141" t="s">
        <v>16</v>
      </c>
      <c r="J141" s="6">
        <v>46030</v>
      </c>
      <c r="K141" t="s">
        <v>17</v>
      </c>
      <c r="L141">
        <f>tblCatalogo[[#This Row],[Costo_Base]]*21</f>
        <v>0</v>
      </c>
    </row>
    <row r="142" spans="1:12" x14ac:dyDescent="0.35">
      <c r="A142" t="s">
        <v>212</v>
      </c>
      <c r="B142">
        <v>0</v>
      </c>
      <c r="C142" t="s">
        <v>422</v>
      </c>
      <c r="D142" t="s">
        <v>11</v>
      </c>
      <c r="E142" t="s">
        <v>327</v>
      </c>
      <c r="F142" t="s">
        <v>13</v>
      </c>
      <c r="G142" t="s">
        <v>14</v>
      </c>
      <c r="H142" t="s">
        <v>15</v>
      </c>
      <c r="I142" t="s">
        <v>16</v>
      </c>
      <c r="J142" s="6">
        <v>46030</v>
      </c>
      <c r="K142" t="s">
        <v>17</v>
      </c>
      <c r="L142">
        <f>tblCatalogo[[#This Row],[Costo_Base]]*21</f>
        <v>0</v>
      </c>
    </row>
    <row r="143" spans="1:12" x14ac:dyDescent="0.35">
      <c r="A143" t="s">
        <v>227</v>
      </c>
      <c r="B143">
        <v>0</v>
      </c>
      <c r="C143" t="s">
        <v>422</v>
      </c>
      <c r="D143" t="s">
        <v>11</v>
      </c>
      <c r="E143" t="s">
        <v>342</v>
      </c>
      <c r="F143" t="s">
        <v>13</v>
      </c>
      <c r="G143" t="s">
        <v>14</v>
      </c>
      <c r="H143" t="s">
        <v>15</v>
      </c>
      <c r="I143" t="s">
        <v>16</v>
      </c>
      <c r="J143" s="6">
        <v>46030</v>
      </c>
      <c r="K143" t="s">
        <v>17</v>
      </c>
      <c r="L143">
        <f>tblCatalogo[[#This Row],[Costo_Base]]*21</f>
        <v>0</v>
      </c>
    </row>
    <row r="144" spans="1:12" x14ac:dyDescent="0.35">
      <c r="A144" t="s">
        <v>224</v>
      </c>
      <c r="B144">
        <v>0</v>
      </c>
      <c r="C144" t="s">
        <v>422</v>
      </c>
      <c r="D144" t="s">
        <v>11</v>
      </c>
      <c r="E144" t="s">
        <v>339</v>
      </c>
      <c r="F144" t="s">
        <v>13</v>
      </c>
      <c r="G144" t="s">
        <v>14</v>
      </c>
      <c r="H144" t="s">
        <v>15</v>
      </c>
      <c r="I144" t="s">
        <v>16</v>
      </c>
      <c r="J144" s="6">
        <v>46030</v>
      </c>
      <c r="K144" t="s">
        <v>17</v>
      </c>
      <c r="L144">
        <f>tblCatalogo[[#This Row],[Costo_Base]]*21</f>
        <v>0</v>
      </c>
    </row>
    <row r="145" spans="1:12" x14ac:dyDescent="0.35">
      <c r="A145" t="s">
        <v>225</v>
      </c>
      <c r="B145">
        <v>0</v>
      </c>
      <c r="C145" t="s">
        <v>422</v>
      </c>
      <c r="D145" t="s">
        <v>11</v>
      </c>
      <c r="E145" t="s">
        <v>340</v>
      </c>
      <c r="F145" t="s">
        <v>13</v>
      </c>
      <c r="G145" t="s">
        <v>14</v>
      </c>
      <c r="H145" t="s">
        <v>15</v>
      </c>
      <c r="I145" t="s">
        <v>16</v>
      </c>
      <c r="J145" s="6">
        <v>46030</v>
      </c>
      <c r="K145" t="s">
        <v>17</v>
      </c>
      <c r="L145">
        <f>tblCatalogo[[#This Row],[Costo_Base]]*21</f>
        <v>0</v>
      </c>
    </row>
    <row r="146" spans="1:12" x14ac:dyDescent="0.35">
      <c r="A146" t="s">
        <v>226</v>
      </c>
      <c r="B146">
        <v>0</v>
      </c>
      <c r="C146" t="s">
        <v>422</v>
      </c>
      <c r="D146" t="s">
        <v>11</v>
      </c>
      <c r="E146" t="s">
        <v>341</v>
      </c>
      <c r="F146" t="s">
        <v>13</v>
      </c>
      <c r="G146" t="s">
        <v>14</v>
      </c>
      <c r="H146" t="s">
        <v>15</v>
      </c>
      <c r="I146" t="s">
        <v>16</v>
      </c>
      <c r="J146" s="6">
        <v>46030</v>
      </c>
      <c r="K146" t="s">
        <v>17</v>
      </c>
      <c r="L146">
        <f>tblCatalogo[[#This Row],[Costo_Base]]*21</f>
        <v>0</v>
      </c>
    </row>
    <row r="147" spans="1:12" x14ac:dyDescent="0.35">
      <c r="A147" t="s">
        <v>222</v>
      </c>
      <c r="B147">
        <v>0</v>
      </c>
      <c r="C147" t="s">
        <v>422</v>
      </c>
      <c r="D147" t="s">
        <v>11</v>
      </c>
      <c r="E147" t="s">
        <v>337</v>
      </c>
      <c r="F147" t="s">
        <v>13</v>
      </c>
      <c r="G147" t="s">
        <v>14</v>
      </c>
      <c r="H147" t="s">
        <v>15</v>
      </c>
      <c r="I147" t="s">
        <v>16</v>
      </c>
      <c r="J147" s="6">
        <v>46030</v>
      </c>
      <c r="K147" t="s">
        <v>17</v>
      </c>
      <c r="L147">
        <f>tblCatalogo[[#This Row],[Costo_Base]]*21</f>
        <v>0</v>
      </c>
    </row>
    <row r="148" spans="1:12" x14ac:dyDescent="0.35">
      <c r="A148" t="s">
        <v>223</v>
      </c>
      <c r="B148">
        <v>0</v>
      </c>
      <c r="C148" t="s">
        <v>422</v>
      </c>
      <c r="D148" t="s">
        <v>11</v>
      </c>
      <c r="E148" t="s">
        <v>338</v>
      </c>
      <c r="F148" t="s">
        <v>13</v>
      </c>
      <c r="G148" t="s">
        <v>14</v>
      </c>
      <c r="H148" t="s">
        <v>15</v>
      </c>
      <c r="I148" t="s">
        <v>16</v>
      </c>
      <c r="J148" s="6">
        <v>46030</v>
      </c>
      <c r="K148" t="s">
        <v>17</v>
      </c>
      <c r="L148">
        <f>tblCatalogo[[#This Row],[Costo_Base]]*21</f>
        <v>0</v>
      </c>
    </row>
    <row r="149" spans="1:12" x14ac:dyDescent="0.35">
      <c r="A149" t="s">
        <v>234</v>
      </c>
      <c r="B149">
        <v>0</v>
      </c>
      <c r="C149" t="s">
        <v>422</v>
      </c>
      <c r="D149" t="s">
        <v>11</v>
      </c>
      <c r="E149" t="s">
        <v>349</v>
      </c>
      <c r="F149" t="s">
        <v>13</v>
      </c>
      <c r="G149" t="s">
        <v>14</v>
      </c>
      <c r="H149" t="s">
        <v>15</v>
      </c>
      <c r="I149" t="s">
        <v>16</v>
      </c>
      <c r="J149" s="6">
        <v>46030</v>
      </c>
      <c r="K149" t="s">
        <v>17</v>
      </c>
      <c r="L149">
        <f>tblCatalogo[[#This Row],[Costo_Base]]*21</f>
        <v>0</v>
      </c>
    </row>
    <row r="150" spans="1:12" x14ac:dyDescent="0.35">
      <c r="A150" t="s">
        <v>235</v>
      </c>
      <c r="B150">
        <v>0</v>
      </c>
      <c r="C150" t="s">
        <v>422</v>
      </c>
      <c r="D150" t="s">
        <v>11</v>
      </c>
      <c r="E150" t="s">
        <v>350</v>
      </c>
      <c r="F150" t="s">
        <v>13</v>
      </c>
      <c r="G150" t="s">
        <v>14</v>
      </c>
      <c r="H150" t="s">
        <v>15</v>
      </c>
      <c r="I150" t="s">
        <v>16</v>
      </c>
      <c r="J150" s="6">
        <v>46030</v>
      </c>
      <c r="K150" t="s">
        <v>17</v>
      </c>
      <c r="L150">
        <f>tblCatalogo[[#This Row],[Costo_Base]]*21</f>
        <v>0</v>
      </c>
    </row>
    <row r="151" spans="1:12" x14ac:dyDescent="0.35">
      <c r="A151" t="s">
        <v>236</v>
      </c>
      <c r="B151">
        <v>0</v>
      </c>
      <c r="C151" t="s">
        <v>422</v>
      </c>
      <c r="D151" t="s">
        <v>11</v>
      </c>
      <c r="E151" t="s">
        <v>351</v>
      </c>
      <c r="F151" t="s">
        <v>13</v>
      </c>
      <c r="G151" t="s">
        <v>14</v>
      </c>
      <c r="H151" t="s">
        <v>15</v>
      </c>
      <c r="I151" t="s">
        <v>16</v>
      </c>
      <c r="J151" s="6">
        <v>46030</v>
      </c>
      <c r="K151" t="s">
        <v>17</v>
      </c>
      <c r="L151">
        <f>tblCatalogo[[#This Row],[Costo_Base]]*21</f>
        <v>0</v>
      </c>
    </row>
    <row r="152" spans="1:12" x14ac:dyDescent="0.35">
      <c r="A152" t="s">
        <v>232</v>
      </c>
      <c r="B152">
        <v>0</v>
      </c>
      <c r="C152" t="s">
        <v>422</v>
      </c>
      <c r="D152" t="s">
        <v>11</v>
      </c>
      <c r="E152" t="s">
        <v>347</v>
      </c>
      <c r="F152" t="s">
        <v>13</v>
      </c>
      <c r="G152" t="s">
        <v>14</v>
      </c>
      <c r="H152" t="s">
        <v>15</v>
      </c>
      <c r="I152" t="s">
        <v>16</v>
      </c>
      <c r="J152" s="6">
        <v>46030</v>
      </c>
      <c r="K152" t="s">
        <v>17</v>
      </c>
      <c r="L152">
        <f>tblCatalogo[[#This Row],[Costo_Base]]*21</f>
        <v>0</v>
      </c>
    </row>
    <row r="153" spans="1:12" x14ac:dyDescent="0.35">
      <c r="A153" t="s">
        <v>233</v>
      </c>
      <c r="B153">
        <v>0</v>
      </c>
      <c r="C153" t="s">
        <v>422</v>
      </c>
      <c r="D153" t="s">
        <v>11</v>
      </c>
      <c r="E153" t="s">
        <v>348</v>
      </c>
      <c r="F153" t="s">
        <v>13</v>
      </c>
      <c r="G153" t="s">
        <v>14</v>
      </c>
      <c r="H153" t="s">
        <v>15</v>
      </c>
      <c r="I153" t="s">
        <v>16</v>
      </c>
      <c r="J153" s="6">
        <v>46030</v>
      </c>
      <c r="K153" t="s">
        <v>17</v>
      </c>
      <c r="L153">
        <f>tblCatalogo[[#This Row],[Costo_Base]]*21</f>
        <v>0</v>
      </c>
    </row>
    <row r="154" spans="1:12" x14ac:dyDescent="0.35">
      <c r="A154" t="s">
        <v>231</v>
      </c>
      <c r="B154">
        <v>0</v>
      </c>
      <c r="C154" t="s">
        <v>422</v>
      </c>
      <c r="D154" t="s">
        <v>11</v>
      </c>
      <c r="E154" t="s">
        <v>346</v>
      </c>
      <c r="F154" t="s">
        <v>13</v>
      </c>
      <c r="G154" t="s">
        <v>14</v>
      </c>
      <c r="H154" t="s">
        <v>15</v>
      </c>
      <c r="I154" t="s">
        <v>16</v>
      </c>
      <c r="J154" s="6">
        <v>46030</v>
      </c>
      <c r="K154" t="s">
        <v>17</v>
      </c>
      <c r="L154">
        <f>tblCatalogo[[#This Row],[Costo_Base]]*21</f>
        <v>0</v>
      </c>
    </row>
    <row r="155" spans="1:12" x14ac:dyDescent="0.35">
      <c r="A155" t="s">
        <v>228</v>
      </c>
      <c r="B155">
        <v>0</v>
      </c>
      <c r="C155" t="s">
        <v>422</v>
      </c>
      <c r="D155" t="s">
        <v>11</v>
      </c>
      <c r="E155" t="s">
        <v>343</v>
      </c>
      <c r="F155" t="s">
        <v>13</v>
      </c>
      <c r="G155" t="s">
        <v>14</v>
      </c>
      <c r="H155" t="s">
        <v>15</v>
      </c>
      <c r="I155" t="s">
        <v>16</v>
      </c>
      <c r="J155" s="6">
        <v>46030</v>
      </c>
      <c r="K155" t="s">
        <v>17</v>
      </c>
      <c r="L155">
        <f>tblCatalogo[[#This Row],[Costo_Base]]*21</f>
        <v>0</v>
      </c>
    </row>
    <row r="156" spans="1:12" x14ac:dyDescent="0.35">
      <c r="A156" t="s">
        <v>229</v>
      </c>
      <c r="B156">
        <v>0</v>
      </c>
      <c r="C156" t="s">
        <v>422</v>
      </c>
      <c r="D156" t="s">
        <v>11</v>
      </c>
      <c r="E156" t="s">
        <v>344</v>
      </c>
      <c r="F156" t="s">
        <v>13</v>
      </c>
      <c r="G156" t="s">
        <v>14</v>
      </c>
      <c r="H156" t="s">
        <v>15</v>
      </c>
      <c r="I156" t="s">
        <v>16</v>
      </c>
      <c r="J156" s="6">
        <v>46030</v>
      </c>
      <c r="K156" t="s">
        <v>17</v>
      </c>
      <c r="L156">
        <f>tblCatalogo[[#This Row],[Costo_Base]]*21</f>
        <v>0</v>
      </c>
    </row>
    <row r="157" spans="1:12" x14ac:dyDescent="0.35">
      <c r="A157" t="s">
        <v>230</v>
      </c>
      <c r="B157">
        <v>0</v>
      </c>
      <c r="C157" t="s">
        <v>422</v>
      </c>
      <c r="D157" t="s">
        <v>11</v>
      </c>
      <c r="E157" t="s">
        <v>345</v>
      </c>
      <c r="F157" t="s">
        <v>13</v>
      </c>
      <c r="G157" t="s">
        <v>14</v>
      </c>
      <c r="H157" t="s">
        <v>15</v>
      </c>
      <c r="I157" t="s">
        <v>16</v>
      </c>
      <c r="J157" s="6">
        <v>46030</v>
      </c>
      <c r="K157" t="s">
        <v>17</v>
      </c>
      <c r="L157">
        <f>tblCatalogo[[#This Row],[Costo_Base]]*21</f>
        <v>0</v>
      </c>
    </row>
    <row r="158" spans="1:12" x14ac:dyDescent="0.35">
      <c r="A158" t="s">
        <v>255</v>
      </c>
      <c r="B158">
        <v>0</v>
      </c>
      <c r="C158" t="s">
        <v>422</v>
      </c>
      <c r="D158" t="s">
        <v>11</v>
      </c>
      <c r="E158" t="s">
        <v>370</v>
      </c>
      <c r="F158" t="s">
        <v>13</v>
      </c>
      <c r="G158" t="s">
        <v>14</v>
      </c>
      <c r="H158" t="s">
        <v>15</v>
      </c>
      <c r="I158" t="s">
        <v>16</v>
      </c>
      <c r="J158" s="6">
        <v>46030</v>
      </c>
      <c r="K158" t="s">
        <v>17</v>
      </c>
      <c r="L158">
        <f>tblCatalogo[[#This Row],[Costo_Base]]*21</f>
        <v>0</v>
      </c>
    </row>
    <row r="159" spans="1:12" x14ac:dyDescent="0.35">
      <c r="A159" t="s">
        <v>240</v>
      </c>
      <c r="B159">
        <v>0</v>
      </c>
      <c r="C159" t="s">
        <v>422</v>
      </c>
      <c r="D159" t="s">
        <v>11</v>
      </c>
      <c r="E159" t="s">
        <v>355</v>
      </c>
      <c r="F159" t="s">
        <v>13</v>
      </c>
      <c r="G159" t="s">
        <v>14</v>
      </c>
      <c r="H159" t="s">
        <v>15</v>
      </c>
      <c r="I159" t="s">
        <v>16</v>
      </c>
      <c r="J159" s="6">
        <v>46030</v>
      </c>
      <c r="K159" t="s">
        <v>17</v>
      </c>
      <c r="L159">
        <f>tblCatalogo[[#This Row],[Costo_Base]]*21</f>
        <v>0</v>
      </c>
    </row>
    <row r="160" spans="1:12" x14ac:dyDescent="0.35">
      <c r="A160" t="s">
        <v>241</v>
      </c>
      <c r="B160">
        <v>0</v>
      </c>
      <c r="C160" t="s">
        <v>422</v>
      </c>
      <c r="D160" t="s">
        <v>11</v>
      </c>
      <c r="E160" t="s">
        <v>356</v>
      </c>
      <c r="F160" t="s">
        <v>13</v>
      </c>
      <c r="G160" t="s">
        <v>14</v>
      </c>
      <c r="H160" t="s">
        <v>15</v>
      </c>
      <c r="I160" t="s">
        <v>16</v>
      </c>
      <c r="J160" s="6">
        <v>46030</v>
      </c>
      <c r="K160" t="s">
        <v>17</v>
      </c>
      <c r="L160">
        <f>tblCatalogo[[#This Row],[Costo_Base]]*21</f>
        <v>0</v>
      </c>
    </row>
    <row r="161" spans="1:12" x14ac:dyDescent="0.35">
      <c r="A161" t="s">
        <v>242</v>
      </c>
      <c r="B161">
        <v>0</v>
      </c>
      <c r="C161" t="s">
        <v>422</v>
      </c>
      <c r="D161" t="s">
        <v>11</v>
      </c>
      <c r="E161" t="s">
        <v>357</v>
      </c>
      <c r="F161" t="s">
        <v>13</v>
      </c>
      <c r="G161" t="s">
        <v>14</v>
      </c>
      <c r="H161" t="s">
        <v>15</v>
      </c>
      <c r="I161" t="s">
        <v>16</v>
      </c>
      <c r="J161" s="6">
        <v>46030</v>
      </c>
      <c r="K161" t="s">
        <v>17</v>
      </c>
      <c r="L161">
        <f>tblCatalogo[[#This Row],[Costo_Base]]*21</f>
        <v>0</v>
      </c>
    </row>
    <row r="162" spans="1:12" x14ac:dyDescent="0.35">
      <c r="A162" t="s">
        <v>238</v>
      </c>
      <c r="B162">
        <v>0</v>
      </c>
      <c r="C162" t="s">
        <v>422</v>
      </c>
      <c r="D162" t="s">
        <v>11</v>
      </c>
      <c r="E162" t="s">
        <v>353</v>
      </c>
      <c r="F162" t="s">
        <v>13</v>
      </c>
      <c r="G162" t="s">
        <v>14</v>
      </c>
      <c r="H162" t="s">
        <v>15</v>
      </c>
      <c r="I162" t="s">
        <v>16</v>
      </c>
      <c r="J162" s="6">
        <v>46030</v>
      </c>
      <c r="K162" t="s">
        <v>17</v>
      </c>
      <c r="L162">
        <f>tblCatalogo[[#This Row],[Costo_Base]]*21</f>
        <v>0</v>
      </c>
    </row>
    <row r="163" spans="1:12" x14ac:dyDescent="0.35">
      <c r="A163" t="s">
        <v>239</v>
      </c>
      <c r="B163">
        <v>0</v>
      </c>
      <c r="C163" t="s">
        <v>422</v>
      </c>
      <c r="D163" t="s">
        <v>11</v>
      </c>
      <c r="E163" t="s">
        <v>354</v>
      </c>
      <c r="F163" t="s">
        <v>13</v>
      </c>
      <c r="G163" t="s">
        <v>14</v>
      </c>
      <c r="H163" t="s">
        <v>15</v>
      </c>
      <c r="I163" t="s">
        <v>16</v>
      </c>
      <c r="J163" s="6">
        <v>46030</v>
      </c>
      <c r="K163" t="s">
        <v>17</v>
      </c>
      <c r="L163">
        <f>tblCatalogo[[#This Row],[Costo_Base]]*21</f>
        <v>0</v>
      </c>
    </row>
    <row r="164" spans="1:12" x14ac:dyDescent="0.35">
      <c r="A164" t="s">
        <v>237</v>
      </c>
      <c r="B164">
        <v>0</v>
      </c>
      <c r="C164" t="s">
        <v>422</v>
      </c>
      <c r="D164" t="s">
        <v>11</v>
      </c>
      <c r="E164" t="s">
        <v>352</v>
      </c>
      <c r="F164" t="s">
        <v>13</v>
      </c>
      <c r="G164" t="s">
        <v>14</v>
      </c>
      <c r="H164" t="s">
        <v>15</v>
      </c>
      <c r="I164" t="s">
        <v>16</v>
      </c>
      <c r="J164" s="6">
        <v>46030</v>
      </c>
      <c r="K164" t="s">
        <v>17</v>
      </c>
      <c r="L164">
        <f>tblCatalogo[[#This Row],[Costo_Base]]*21</f>
        <v>0</v>
      </c>
    </row>
    <row r="165" spans="1:12" x14ac:dyDescent="0.35">
      <c r="A165" t="s">
        <v>246</v>
      </c>
      <c r="B165">
        <v>0</v>
      </c>
      <c r="C165" t="s">
        <v>422</v>
      </c>
      <c r="D165" t="s">
        <v>11</v>
      </c>
      <c r="E165" t="s">
        <v>361</v>
      </c>
      <c r="F165" t="s">
        <v>13</v>
      </c>
      <c r="G165" t="s">
        <v>14</v>
      </c>
      <c r="H165" t="s">
        <v>15</v>
      </c>
      <c r="I165" t="s">
        <v>16</v>
      </c>
      <c r="J165" s="6">
        <v>46030</v>
      </c>
      <c r="K165" t="s">
        <v>17</v>
      </c>
      <c r="L165">
        <f>tblCatalogo[[#This Row],[Costo_Base]]*21</f>
        <v>0</v>
      </c>
    </row>
    <row r="166" spans="1:12" x14ac:dyDescent="0.35">
      <c r="A166" t="s">
        <v>247</v>
      </c>
      <c r="B166">
        <v>0</v>
      </c>
      <c r="C166" t="s">
        <v>422</v>
      </c>
      <c r="D166" t="s">
        <v>11</v>
      </c>
      <c r="E166" t="s">
        <v>362</v>
      </c>
      <c r="F166" t="s">
        <v>13</v>
      </c>
      <c r="G166" t="s">
        <v>14</v>
      </c>
      <c r="H166" t="s">
        <v>15</v>
      </c>
      <c r="I166" t="s">
        <v>16</v>
      </c>
      <c r="J166" s="6">
        <v>46030</v>
      </c>
      <c r="K166" t="s">
        <v>17</v>
      </c>
      <c r="L166">
        <f>tblCatalogo[[#This Row],[Costo_Base]]*21</f>
        <v>0</v>
      </c>
    </row>
    <row r="167" spans="1:12" x14ac:dyDescent="0.35">
      <c r="A167" t="s">
        <v>248</v>
      </c>
      <c r="B167">
        <v>0</v>
      </c>
      <c r="C167" t="s">
        <v>422</v>
      </c>
      <c r="D167" t="s">
        <v>11</v>
      </c>
      <c r="E167" t="s">
        <v>363</v>
      </c>
      <c r="F167" t="s">
        <v>13</v>
      </c>
      <c r="G167" t="s">
        <v>14</v>
      </c>
      <c r="H167" t="s">
        <v>15</v>
      </c>
      <c r="I167" t="s">
        <v>16</v>
      </c>
      <c r="J167" s="6">
        <v>46030</v>
      </c>
      <c r="K167" t="s">
        <v>17</v>
      </c>
      <c r="L167">
        <f>tblCatalogo[[#This Row],[Costo_Base]]*21</f>
        <v>0</v>
      </c>
    </row>
    <row r="168" spans="1:12" x14ac:dyDescent="0.35">
      <c r="A168" t="s">
        <v>244</v>
      </c>
      <c r="B168">
        <v>0</v>
      </c>
      <c r="C168" t="s">
        <v>422</v>
      </c>
      <c r="D168" t="s">
        <v>11</v>
      </c>
      <c r="E168" t="s">
        <v>359</v>
      </c>
      <c r="F168" t="s">
        <v>13</v>
      </c>
      <c r="G168" t="s">
        <v>14</v>
      </c>
      <c r="H168" t="s">
        <v>15</v>
      </c>
      <c r="I168" t="s">
        <v>16</v>
      </c>
      <c r="J168" s="6">
        <v>46030</v>
      </c>
      <c r="K168" t="s">
        <v>17</v>
      </c>
      <c r="L168">
        <f>tblCatalogo[[#This Row],[Costo_Base]]*21</f>
        <v>0</v>
      </c>
    </row>
    <row r="169" spans="1:12" x14ac:dyDescent="0.35">
      <c r="A169" t="s">
        <v>245</v>
      </c>
      <c r="B169">
        <v>0.13900000000000001</v>
      </c>
      <c r="C169" t="s">
        <v>422</v>
      </c>
      <c r="D169" t="s">
        <v>11</v>
      </c>
      <c r="E169" t="s">
        <v>360</v>
      </c>
      <c r="F169" t="s">
        <v>13</v>
      </c>
      <c r="G169" t="s">
        <v>14</v>
      </c>
      <c r="H169" t="s">
        <v>15</v>
      </c>
      <c r="I169" t="s">
        <v>16</v>
      </c>
      <c r="J169" s="6">
        <v>46030</v>
      </c>
      <c r="K169" t="s">
        <v>17</v>
      </c>
      <c r="L169">
        <f>tblCatalogo[[#This Row],[Costo_Base]]*21</f>
        <v>2.9190000000000005</v>
      </c>
    </row>
    <row r="170" spans="1:12" x14ac:dyDescent="0.35">
      <c r="A170" t="s">
        <v>243</v>
      </c>
      <c r="B170">
        <v>0</v>
      </c>
      <c r="C170" t="s">
        <v>422</v>
      </c>
      <c r="D170" t="s">
        <v>11</v>
      </c>
      <c r="E170" t="s">
        <v>358</v>
      </c>
      <c r="F170" t="s">
        <v>13</v>
      </c>
      <c r="G170" t="s">
        <v>14</v>
      </c>
      <c r="H170" t="s">
        <v>15</v>
      </c>
      <c r="I170" t="s">
        <v>16</v>
      </c>
      <c r="J170" s="6">
        <v>46030</v>
      </c>
      <c r="K170" t="s">
        <v>17</v>
      </c>
      <c r="L170">
        <f>tblCatalogo[[#This Row],[Costo_Base]]*21</f>
        <v>0</v>
      </c>
    </row>
    <row r="171" spans="1:12" x14ac:dyDescent="0.35">
      <c r="A171" t="s">
        <v>79</v>
      </c>
      <c r="B171">
        <v>415</v>
      </c>
      <c r="C171" t="s">
        <v>450</v>
      </c>
      <c r="D171" t="s">
        <v>72</v>
      </c>
      <c r="E171" t="s">
        <v>431</v>
      </c>
      <c r="F171" t="s">
        <v>13</v>
      </c>
      <c r="G171" t="s">
        <v>74</v>
      </c>
      <c r="H171" t="s">
        <v>15</v>
      </c>
      <c r="I171" t="s">
        <v>16</v>
      </c>
      <c r="J171" s="6">
        <v>46030</v>
      </c>
      <c r="K171" t="s">
        <v>75</v>
      </c>
      <c r="L171">
        <f>tblCatalogo[[#This Row],[Costo_Base]]*21</f>
        <v>8715</v>
      </c>
    </row>
    <row r="172" spans="1:12" x14ac:dyDescent="0.35">
      <c r="A172" t="s">
        <v>451</v>
      </c>
      <c r="B172">
        <v>800</v>
      </c>
      <c r="C172" t="s">
        <v>452</v>
      </c>
      <c r="D172" t="s">
        <v>72</v>
      </c>
      <c r="E172" t="s">
        <v>431</v>
      </c>
      <c r="F172" t="s">
        <v>13</v>
      </c>
      <c r="G172" t="s">
        <v>74</v>
      </c>
      <c r="H172" t="s">
        <v>15</v>
      </c>
      <c r="I172" t="s">
        <v>16</v>
      </c>
      <c r="J172" s="6">
        <v>46030</v>
      </c>
      <c r="K172" t="s">
        <v>75</v>
      </c>
      <c r="L172">
        <f>tblCatalogo[[#This Row],[Costo_Base]]*21</f>
        <v>16800</v>
      </c>
    </row>
    <row r="173" spans="1:12" x14ac:dyDescent="0.35">
      <c r="A173" t="s">
        <v>77</v>
      </c>
      <c r="B173">
        <v>415</v>
      </c>
      <c r="C173" t="s">
        <v>78</v>
      </c>
      <c r="D173" t="s">
        <v>72</v>
      </c>
      <c r="E173" s="4" t="s">
        <v>79</v>
      </c>
      <c r="F173" t="s">
        <v>13</v>
      </c>
      <c r="G173" t="s">
        <v>74</v>
      </c>
      <c r="H173" t="s">
        <v>15</v>
      </c>
      <c r="I173" t="s">
        <v>16</v>
      </c>
      <c r="J173" s="6">
        <v>46030</v>
      </c>
      <c r="K173" t="s">
        <v>75</v>
      </c>
      <c r="L173">
        <f>tblCatalogo[[#This Row],[Costo_Base]]*21</f>
        <v>8715</v>
      </c>
    </row>
    <row r="174" spans="1:12" x14ac:dyDescent="0.35">
      <c r="A174" t="s">
        <v>117</v>
      </c>
      <c r="B174">
        <v>800</v>
      </c>
      <c r="C174" t="s">
        <v>118</v>
      </c>
      <c r="D174" t="s">
        <v>72</v>
      </c>
      <c r="E174" t="s">
        <v>119</v>
      </c>
      <c r="F174" t="s">
        <v>13</v>
      </c>
      <c r="G174" t="s">
        <v>74</v>
      </c>
      <c r="H174" t="s">
        <v>15</v>
      </c>
      <c r="I174" t="s">
        <v>16</v>
      </c>
      <c r="J174" s="6">
        <v>46030</v>
      </c>
      <c r="K174" t="s">
        <v>75</v>
      </c>
      <c r="L174">
        <f>tblCatalogo[[#This Row],[Costo_Base]]*21</f>
        <v>16800</v>
      </c>
    </row>
    <row r="175" spans="1:12" x14ac:dyDescent="0.35">
      <c r="A175" t="s">
        <v>80</v>
      </c>
      <c r="B175">
        <v>0</v>
      </c>
      <c r="C175" t="s">
        <v>81</v>
      </c>
      <c r="D175" t="s">
        <v>72</v>
      </c>
      <c r="E175" s="4" t="s">
        <v>82</v>
      </c>
      <c r="F175" t="s">
        <v>13</v>
      </c>
      <c r="G175" t="s">
        <v>74</v>
      </c>
      <c r="H175" t="s">
        <v>15</v>
      </c>
      <c r="I175" t="s">
        <v>16</v>
      </c>
      <c r="J175" s="6">
        <v>46030</v>
      </c>
      <c r="K175" t="s">
        <v>75</v>
      </c>
      <c r="L175">
        <f>tblCatalogo[[#This Row],[Costo_Base]]*21</f>
        <v>0</v>
      </c>
    </row>
    <row r="176" spans="1:12" x14ac:dyDescent="0.35">
      <c r="A176" t="s">
        <v>83</v>
      </c>
      <c r="B176">
        <v>1000</v>
      </c>
      <c r="C176" t="s">
        <v>81</v>
      </c>
      <c r="D176" t="s">
        <v>72</v>
      </c>
      <c r="E176" s="4" t="s">
        <v>84</v>
      </c>
      <c r="F176" t="s">
        <v>13</v>
      </c>
      <c r="G176" t="s">
        <v>74</v>
      </c>
      <c r="H176" t="s">
        <v>15</v>
      </c>
      <c r="I176" t="s">
        <v>16</v>
      </c>
      <c r="J176" s="6">
        <v>46030</v>
      </c>
      <c r="K176" t="s">
        <v>75</v>
      </c>
      <c r="L176">
        <f>tblCatalogo[[#This Row],[Costo_Base]]*21</f>
        <v>21000</v>
      </c>
    </row>
    <row r="177" spans="1:12" x14ac:dyDescent="0.35">
      <c r="A177" t="s">
        <v>120</v>
      </c>
      <c r="B177">
        <v>800</v>
      </c>
      <c r="C177" t="s">
        <v>118</v>
      </c>
      <c r="D177" t="s">
        <v>72</v>
      </c>
      <c r="E177" t="s">
        <v>121</v>
      </c>
      <c r="F177" t="s">
        <v>13</v>
      </c>
      <c r="G177" t="s">
        <v>74</v>
      </c>
      <c r="H177" t="s">
        <v>15</v>
      </c>
      <c r="I177" t="s">
        <v>16</v>
      </c>
      <c r="J177" s="6">
        <v>46030</v>
      </c>
      <c r="K177" t="s">
        <v>75</v>
      </c>
      <c r="L177">
        <f>tblCatalogo[[#This Row],[Costo_Base]]*21</f>
        <v>16800</v>
      </c>
    </row>
    <row r="178" spans="1:12" x14ac:dyDescent="0.35">
      <c r="A178" t="s">
        <v>73</v>
      </c>
      <c r="B178">
        <v>375</v>
      </c>
      <c r="C178" t="s">
        <v>453</v>
      </c>
      <c r="D178" t="s">
        <v>72</v>
      </c>
      <c r="E178" t="s">
        <v>431</v>
      </c>
      <c r="F178" t="s">
        <v>13</v>
      </c>
      <c r="G178" t="s">
        <v>74</v>
      </c>
      <c r="H178" t="s">
        <v>15</v>
      </c>
      <c r="I178" t="s">
        <v>16</v>
      </c>
      <c r="J178" s="6">
        <v>46030</v>
      </c>
      <c r="K178" t="s">
        <v>75</v>
      </c>
      <c r="L178">
        <f>tblCatalogo[[#This Row],[Costo_Base]]*21</f>
        <v>7875</v>
      </c>
    </row>
    <row r="179" spans="1:12" x14ac:dyDescent="0.35">
      <c r="A179" t="s">
        <v>122</v>
      </c>
      <c r="B179">
        <v>800</v>
      </c>
      <c r="C179" t="s">
        <v>123</v>
      </c>
      <c r="D179" t="s">
        <v>72</v>
      </c>
      <c r="E179" t="s">
        <v>124</v>
      </c>
      <c r="F179" t="s">
        <v>13</v>
      </c>
      <c r="G179" t="s">
        <v>74</v>
      </c>
      <c r="H179" t="s">
        <v>15</v>
      </c>
      <c r="I179" t="s">
        <v>16</v>
      </c>
      <c r="J179" s="6">
        <v>46030</v>
      </c>
      <c r="K179" t="s">
        <v>75</v>
      </c>
      <c r="L179">
        <f>tblCatalogo[[#This Row],[Costo_Base]]*21</f>
        <v>16800</v>
      </c>
    </row>
    <row r="180" spans="1:12" x14ac:dyDescent="0.35">
      <c r="A180" t="s">
        <v>70</v>
      </c>
      <c r="B180">
        <v>375</v>
      </c>
      <c r="C180" t="s">
        <v>71</v>
      </c>
      <c r="D180" t="s">
        <v>72</v>
      </c>
      <c r="E180" t="s">
        <v>73</v>
      </c>
      <c r="F180" t="s">
        <v>13</v>
      </c>
      <c r="G180" t="s">
        <v>74</v>
      </c>
      <c r="H180" t="s">
        <v>15</v>
      </c>
      <c r="I180" t="s">
        <v>16</v>
      </c>
      <c r="J180" s="6">
        <v>46030</v>
      </c>
      <c r="K180" t="s">
        <v>75</v>
      </c>
      <c r="L180">
        <f>tblCatalogo[[#This Row],[Costo_Base]]*21</f>
        <v>7875</v>
      </c>
    </row>
    <row r="181" spans="1:12" x14ac:dyDescent="0.35">
      <c r="A181" t="s">
        <v>125</v>
      </c>
      <c r="B181">
        <v>800</v>
      </c>
      <c r="C181" t="s">
        <v>123</v>
      </c>
      <c r="D181" t="s">
        <v>72</v>
      </c>
      <c r="E181" t="s">
        <v>126</v>
      </c>
      <c r="F181" t="s">
        <v>13</v>
      </c>
      <c r="G181" t="s">
        <v>74</v>
      </c>
      <c r="H181" t="s">
        <v>15</v>
      </c>
      <c r="I181" t="s">
        <v>16</v>
      </c>
      <c r="J181" s="6">
        <v>46030</v>
      </c>
      <c r="K181" t="s">
        <v>75</v>
      </c>
      <c r="L181">
        <f>tblCatalogo[[#This Row],[Costo_Base]]*21</f>
        <v>16800</v>
      </c>
    </row>
    <row r="182" spans="1:12" x14ac:dyDescent="0.35">
      <c r="A182" t="s">
        <v>485</v>
      </c>
      <c r="B182">
        <v>20000</v>
      </c>
      <c r="C182" t="s">
        <v>116</v>
      </c>
      <c r="D182" t="s">
        <v>72</v>
      </c>
      <c r="E182" t="s">
        <v>431</v>
      </c>
      <c r="F182" t="s">
        <v>13</v>
      </c>
      <c r="G182" t="s">
        <v>74</v>
      </c>
      <c r="H182" t="s">
        <v>15</v>
      </c>
      <c r="I182" t="s">
        <v>16</v>
      </c>
      <c r="J182" s="6">
        <v>46030</v>
      </c>
      <c r="K182" t="s">
        <v>75</v>
      </c>
      <c r="L182">
        <f>tblCatalogo[[#This Row],[Costo_Base]]*21</f>
        <v>420000</v>
      </c>
    </row>
    <row r="183" spans="1:12" x14ac:dyDescent="0.35">
      <c r="A183" t="s">
        <v>89</v>
      </c>
      <c r="B183">
        <v>128</v>
      </c>
      <c r="C183" t="s">
        <v>90</v>
      </c>
      <c r="D183" t="s">
        <v>72</v>
      </c>
      <c r="E183" s="4" t="s">
        <v>91</v>
      </c>
      <c r="F183" t="s">
        <v>13</v>
      </c>
      <c r="G183" t="s">
        <v>74</v>
      </c>
      <c r="H183" t="s">
        <v>15</v>
      </c>
      <c r="I183" t="s">
        <v>16</v>
      </c>
      <c r="J183" s="6">
        <v>46030</v>
      </c>
      <c r="K183" t="s">
        <v>75</v>
      </c>
      <c r="L183">
        <f>tblCatalogo[[#This Row],[Costo_Base]]*21</f>
        <v>2688</v>
      </c>
    </row>
    <row r="184" spans="1:12" x14ac:dyDescent="0.35">
      <c r="A184" t="s">
        <v>461</v>
      </c>
      <c r="B184">
        <v>0</v>
      </c>
      <c r="C184" t="s">
        <v>462</v>
      </c>
      <c r="D184" t="s">
        <v>72</v>
      </c>
      <c r="E184" t="s">
        <v>431</v>
      </c>
      <c r="F184" t="s">
        <v>13</v>
      </c>
      <c r="G184" t="s">
        <v>74</v>
      </c>
      <c r="H184" t="s">
        <v>15</v>
      </c>
      <c r="I184" t="s">
        <v>16</v>
      </c>
      <c r="J184" s="6">
        <v>46030</v>
      </c>
      <c r="K184" t="s">
        <v>75</v>
      </c>
      <c r="L184">
        <f>tblCatalogo[[#This Row],[Costo_Base]]*21</f>
        <v>0</v>
      </c>
    </row>
    <row r="185" spans="1:12" x14ac:dyDescent="0.35">
      <c r="A185" t="s">
        <v>459</v>
      </c>
      <c r="B185">
        <v>0</v>
      </c>
      <c r="C185" t="s">
        <v>460</v>
      </c>
      <c r="D185" t="s">
        <v>72</v>
      </c>
      <c r="E185" t="s">
        <v>431</v>
      </c>
      <c r="F185" t="s">
        <v>13</v>
      </c>
      <c r="G185" t="s">
        <v>74</v>
      </c>
      <c r="H185" t="s">
        <v>15</v>
      </c>
      <c r="I185" t="s">
        <v>16</v>
      </c>
      <c r="J185" s="6">
        <v>46030</v>
      </c>
      <c r="K185" t="s">
        <v>75</v>
      </c>
      <c r="L185">
        <f>tblCatalogo[[#This Row],[Costo_Base]]*21</f>
        <v>0</v>
      </c>
    </row>
    <row r="186" spans="1:12" x14ac:dyDescent="0.35">
      <c r="A186" t="s">
        <v>436</v>
      </c>
      <c r="B186">
        <v>0</v>
      </c>
      <c r="C186" t="s">
        <v>85</v>
      </c>
      <c r="D186" t="s">
        <v>72</v>
      </c>
      <c r="E186" t="s">
        <v>431</v>
      </c>
      <c r="F186" t="s">
        <v>13</v>
      </c>
      <c r="G186" t="s">
        <v>74</v>
      </c>
      <c r="H186" t="s">
        <v>15</v>
      </c>
      <c r="I186" t="s">
        <v>16</v>
      </c>
      <c r="J186" s="6">
        <v>46030</v>
      </c>
      <c r="K186" t="s">
        <v>75</v>
      </c>
      <c r="L186">
        <f>tblCatalogo[[#This Row],[Costo_Base]]*21</f>
        <v>0</v>
      </c>
    </row>
    <row r="187" spans="1:12" x14ac:dyDescent="0.35">
      <c r="A187" t="s">
        <v>448</v>
      </c>
      <c r="B187">
        <v>180</v>
      </c>
      <c r="C187" t="s">
        <v>449</v>
      </c>
      <c r="D187" t="s">
        <v>72</v>
      </c>
      <c r="E187" t="s">
        <v>431</v>
      </c>
      <c r="F187" t="s">
        <v>13</v>
      </c>
      <c r="G187" t="s">
        <v>74</v>
      </c>
      <c r="H187" t="s">
        <v>15</v>
      </c>
      <c r="I187" t="s">
        <v>16</v>
      </c>
      <c r="J187" s="6">
        <v>46030</v>
      </c>
      <c r="K187" t="s">
        <v>75</v>
      </c>
      <c r="L187">
        <f>tblCatalogo[[#This Row],[Costo_Base]]*21</f>
        <v>3780</v>
      </c>
    </row>
    <row r="188" spans="1:12" x14ac:dyDescent="0.35">
      <c r="A188" t="s">
        <v>95</v>
      </c>
      <c r="B188">
        <v>13500</v>
      </c>
      <c r="C188" t="s">
        <v>96</v>
      </c>
      <c r="D188" t="s">
        <v>72</v>
      </c>
      <c r="E188" t="s">
        <v>97</v>
      </c>
      <c r="F188" t="s">
        <v>13</v>
      </c>
      <c r="G188" t="s">
        <v>74</v>
      </c>
      <c r="H188" t="s">
        <v>15</v>
      </c>
      <c r="I188" t="s">
        <v>16</v>
      </c>
      <c r="J188" s="6">
        <v>46030</v>
      </c>
      <c r="K188" t="s">
        <v>75</v>
      </c>
      <c r="L188">
        <f>tblCatalogo[[#This Row],[Costo_Base]]*21</f>
        <v>283500</v>
      </c>
    </row>
    <row r="189" spans="1:12" x14ac:dyDescent="0.35">
      <c r="A189" t="s">
        <v>86</v>
      </c>
      <c r="B189">
        <v>5100</v>
      </c>
      <c r="C189" t="s">
        <v>87</v>
      </c>
      <c r="D189" t="s">
        <v>72</v>
      </c>
      <c r="E189" t="s">
        <v>88</v>
      </c>
      <c r="F189" t="s">
        <v>13</v>
      </c>
      <c r="G189" t="s">
        <v>74</v>
      </c>
      <c r="H189" t="s">
        <v>15</v>
      </c>
      <c r="I189" t="s">
        <v>16</v>
      </c>
      <c r="J189" s="6">
        <v>46030</v>
      </c>
      <c r="K189" t="s">
        <v>75</v>
      </c>
      <c r="L189">
        <f>tblCatalogo[[#This Row],[Costo_Base]]*21</f>
        <v>107100</v>
      </c>
    </row>
    <row r="190" spans="1:12" x14ac:dyDescent="0.35">
      <c r="A190" t="s">
        <v>147</v>
      </c>
      <c r="B190">
        <v>490</v>
      </c>
      <c r="C190" t="s">
        <v>479</v>
      </c>
      <c r="D190" t="s">
        <v>72</v>
      </c>
      <c r="E190" s="4" t="s">
        <v>480</v>
      </c>
      <c r="F190" t="s">
        <v>13</v>
      </c>
      <c r="G190" t="s">
        <v>74</v>
      </c>
      <c r="H190" t="s">
        <v>15</v>
      </c>
      <c r="I190" t="s">
        <v>16</v>
      </c>
      <c r="J190" s="6">
        <v>46030</v>
      </c>
      <c r="K190" t="s">
        <v>75</v>
      </c>
      <c r="L190">
        <f>tblCatalogo[[#This Row],[Costo_Base]]*21</f>
        <v>10290</v>
      </c>
    </row>
    <row r="191" spans="1:12" ht="14.5" customHeight="1" x14ac:dyDescent="0.35">
      <c r="A191" t="s">
        <v>464</v>
      </c>
      <c r="B191">
        <v>57</v>
      </c>
      <c r="C191" t="s">
        <v>465</v>
      </c>
      <c r="D191" t="s">
        <v>466</v>
      </c>
      <c r="E191" t="s">
        <v>456</v>
      </c>
      <c r="F191" t="s">
        <v>13</v>
      </c>
      <c r="G191" t="s">
        <v>74</v>
      </c>
      <c r="H191" t="s">
        <v>15</v>
      </c>
      <c r="I191" t="s">
        <v>16</v>
      </c>
      <c r="J191" s="6">
        <v>46030</v>
      </c>
      <c r="K191" t="s">
        <v>75</v>
      </c>
      <c r="L191">
        <f>tblCatalogo[[#This Row],[Costo_Base]]*21</f>
        <v>1197</v>
      </c>
    </row>
    <row r="192" spans="1:12" x14ac:dyDescent="0.35">
      <c r="A192" t="s">
        <v>130</v>
      </c>
      <c r="B192">
        <v>1200</v>
      </c>
      <c r="C192" t="s">
        <v>131</v>
      </c>
      <c r="D192" t="s">
        <v>72</v>
      </c>
      <c r="E192" s="4" t="s">
        <v>132</v>
      </c>
      <c r="F192" t="s">
        <v>13</v>
      </c>
      <c r="G192" t="s">
        <v>74</v>
      </c>
      <c r="H192" t="s">
        <v>15</v>
      </c>
      <c r="I192" t="s">
        <v>16</v>
      </c>
      <c r="J192" s="6">
        <v>46030</v>
      </c>
      <c r="K192" t="s">
        <v>75</v>
      </c>
      <c r="L192">
        <f>tblCatalogo[[#This Row],[Costo_Base]]*21</f>
        <v>25200</v>
      </c>
    </row>
    <row r="193" spans="1:12" x14ac:dyDescent="0.35">
      <c r="A193" t="s">
        <v>127</v>
      </c>
      <c r="B193">
        <v>1400</v>
      </c>
      <c r="C193" t="s">
        <v>128</v>
      </c>
      <c r="D193" t="s">
        <v>72</v>
      </c>
      <c r="E193" t="s">
        <v>129</v>
      </c>
      <c r="F193" t="s">
        <v>13</v>
      </c>
      <c r="G193" t="s">
        <v>74</v>
      </c>
      <c r="H193" t="s">
        <v>15</v>
      </c>
      <c r="I193" t="s">
        <v>16</v>
      </c>
      <c r="J193" s="6">
        <v>46030</v>
      </c>
      <c r="K193" t="s">
        <v>75</v>
      </c>
      <c r="L193">
        <f>tblCatalogo[[#This Row],[Costo_Base]]*21</f>
        <v>29400</v>
      </c>
    </row>
    <row r="194" spans="1:12" x14ac:dyDescent="0.35">
      <c r="A194" t="s">
        <v>66</v>
      </c>
      <c r="B194" t="s">
        <v>482</v>
      </c>
      <c r="C194" t="s">
        <v>67</v>
      </c>
      <c r="D194" t="s">
        <v>11</v>
      </c>
      <c r="E194" t="s">
        <v>20</v>
      </c>
      <c r="F194" t="s">
        <v>13</v>
      </c>
      <c r="G194" t="s">
        <v>14</v>
      </c>
      <c r="H194" t="s">
        <v>15</v>
      </c>
      <c r="I194" t="s">
        <v>16</v>
      </c>
      <c r="J194" s="6">
        <v>46030</v>
      </c>
      <c r="K194" t="s">
        <v>17</v>
      </c>
      <c r="L194" t="e">
        <f>tblCatalogo[[#This Row],[Costo_Base]]*21</f>
        <v>#VALUE!</v>
      </c>
    </row>
    <row r="195" spans="1:12" x14ac:dyDescent="0.35">
      <c r="A195" t="s">
        <v>62</v>
      </c>
      <c r="B195" t="s">
        <v>482</v>
      </c>
      <c r="C195" t="s">
        <v>63</v>
      </c>
      <c r="D195" t="s">
        <v>11</v>
      </c>
      <c r="E195" t="s">
        <v>23</v>
      </c>
      <c r="F195" t="s">
        <v>13</v>
      </c>
      <c r="G195" t="s">
        <v>14</v>
      </c>
      <c r="H195" t="s">
        <v>15</v>
      </c>
      <c r="I195" t="s">
        <v>16</v>
      </c>
      <c r="J195" s="6">
        <v>46030</v>
      </c>
      <c r="K195" t="s">
        <v>17</v>
      </c>
      <c r="L195" t="e">
        <f>tblCatalogo[[#This Row],[Costo_Base]]*21</f>
        <v>#VALUE!</v>
      </c>
    </row>
    <row r="196" spans="1:12" x14ac:dyDescent="0.35">
      <c r="A196" t="s">
        <v>148</v>
      </c>
      <c r="B196">
        <v>59</v>
      </c>
      <c r="C196" t="s">
        <v>149</v>
      </c>
      <c r="D196" t="s">
        <v>150</v>
      </c>
      <c r="E196" t="s">
        <v>463</v>
      </c>
      <c r="F196" t="s">
        <v>13</v>
      </c>
      <c r="G196" t="s">
        <v>74</v>
      </c>
      <c r="H196" t="s">
        <v>15</v>
      </c>
      <c r="I196" t="s">
        <v>16</v>
      </c>
      <c r="J196" s="6">
        <v>46030</v>
      </c>
      <c r="K196" t="s">
        <v>75</v>
      </c>
      <c r="L196">
        <f>tblCatalogo[[#This Row],[Costo_Base]]*21</f>
        <v>1239</v>
      </c>
    </row>
    <row r="197" spans="1:12" x14ac:dyDescent="0.35">
      <c r="A197" t="s">
        <v>151</v>
      </c>
      <c r="B197">
        <v>6</v>
      </c>
      <c r="C197" t="s">
        <v>152</v>
      </c>
      <c r="D197" t="s">
        <v>150</v>
      </c>
      <c r="E197" t="s">
        <v>463</v>
      </c>
      <c r="F197" t="s">
        <v>13</v>
      </c>
      <c r="G197" t="s">
        <v>74</v>
      </c>
      <c r="H197" t="s">
        <v>15</v>
      </c>
      <c r="I197" t="s">
        <v>16</v>
      </c>
      <c r="J197" s="6">
        <v>46030</v>
      </c>
      <c r="K197" t="s">
        <v>75</v>
      </c>
      <c r="L197">
        <f>tblCatalogo[[#This Row],[Costo_Base]]*21</f>
        <v>126</v>
      </c>
    </row>
    <row r="198" spans="1:12" x14ac:dyDescent="0.35">
      <c r="A198" t="s">
        <v>483</v>
      </c>
      <c r="B198">
        <v>178</v>
      </c>
      <c r="C198" t="s">
        <v>484</v>
      </c>
      <c r="D198" t="s">
        <v>150</v>
      </c>
      <c r="E198" t="s">
        <v>463</v>
      </c>
      <c r="F198" t="s">
        <v>13</v>
      </c>
      <c r="G198" t="s">
        <v>74</v>
      </c>
      <c r="H198" t="s">
        <v>15</v>
      </c>
      <c r="I198" t="s">
        <v>16</v>
      </c>
      <c r="J198" s="6">
        <v>46030</v>
      </c>
      <c r="K198" t="s">
        <v>75</v>
      </c>
      <c r="L198">
        <f>tblCatalogo[[#This Row],[Costo_Base]]*21</f>
        <v>3738</v>
      </c>
    </row>
    <row r="199" spans="1:12" x14ac:dyDescent="0.35">
      <c r="A199" t="s">
        <v>486</v>
      </c>
      <c r="B199">
        <v>5</v>
      </c>
      <c r="C199" t="s">
        <v>487</v>
      </c>
      <c r="D199" t="s">
        <v>72</v>
      </c>
      <c r="E199" t="s">
        <v>488</v>
      </c>
      <c r="F199" t="s">
        <v>13</v>
      </c>
      <c r="G199" t="s">
        <v>74</v>
      </c>
      <c r="H199" t="s">
        <v>15</v>
      </c>
      <c r="I199" t="s">
        <v>16</v>
      </c>
      <c r="J199" s="6">
        <v>46030</v>
      </c>
      <c r="K199" t="s">
        <v>75</v>
      </c>
      <c r="L199">
        <f>tblCatalogo[[#This Row],[Costo_Base]]*21</f>
        <v>105</v>
      </c>
    </row>
    <row r="200" spans="1:12" x14ac:dyDescent="0.35">
      <c r="A200" t="s">
        <v>489</v>
      </c>
      <c r="B200">
        <v>5</v>
      </c>
      <c r="C200" t="s">
        <v>490</v>
      </c>
      <c r="D200" t="s">
        <v>72</v>
      </c>
      <c r="E200" t="s">
        <v>488</v>
      </c>
      <c r="F200" t="s">
        <v>13</v>
      </c>
      <c r="G200" t="s">
        <v>74</v>
      </c>
      <c r="H200" t="s">
        <v>15</v>
      </c>
      <c r="I200" t="s">
        <v>16</v>
      </c>
      <c r="J200" s="6">
        <v>46030</v>
      </c>
      <c r="K200" t="s">
        <v>75</v>
      </c>
      <c r="L200">
        <f>tblCatalogo[[#This Row],[Costo_Base]]*21</f>
        <v>105</v>
      </c>
    </row>
    <row r="201" spans="1:12" x14ac:dyDescent="0.35">
      <c r="A201" t="s">
        <v>491</v>
      </c>
      <c r="B201">
        <v>5</v>
      </c>
      <c r="C201" t="s">
        <v>492</v>
      </c>
      <c r="D201" t="s">
        <v>72</v>
      </c>
      <c r="E201" t="s">
        <v>488</v>
      </c>
      <c r="F201" t="s">
        <v>13</v>
      </c>
      <c r="G201" t="s">
        <v>74</v>
      </c>
      <c r="H201" t="s">
        <v>15</v>
      </c>
      <c r="I201" t="s">
        <v>16</v>
      </c>
      <c r="J201" s="6">
        <v>46030</v>
      </c>
      <c r="K201" t="s">
        <v>75</v>
      </c>
      <c r="L201">
        <f>tblCatalogo[[#This Row],[Costo_Base]]*21</f>
        <v>105</v>
      </c>
    </row>
    <row r="202" spans="1:12" x14ac:dyDescent="0.35">
      <c r="A202" t="s">
        <v>493</v>
      </c>
      <c r="B202">
        <v>5</v>
      </c>
      <c r="C202" t="s">
        <v>494</v>
      </c>
      <c r="D202" t="s">
        <v>72</v>
      </c>
      <c r="E202" t="s">
        <v>488</v>
      </c>
      <c r="F202" t="s">
        <v>13</v>
      </c>
      <c r="G202" t="s">
        <v>74</v>
      </c>
      <c r="H202" t="s">
        <v>15</v>
      </c>
      <c r="I202" t="s">
        <v>16</v>
      </c>
      <c r="J202" s="6">
        <v>46030</v>
      </c>
      <c r="K202" t="s">
        <v>75</v>
      </c>
      <c r="L202">
        <f>tblCatalogo[[#This Row],[Costo_Base]]*21</f>
        <v>105</v>
      </c>
    </row>
    <row r="203" spans="1:12" x14ac:dyDescent="0.35">
      <c r="A203" t="s">
        <v>495</v>
      </c>
      <c r="B203">
        <v>5.5</v>
      </c>
      <c r="C203" t="s">
        <v>496</v>
      </c>
      <c r="D203" t="s">
        <v>72</v>
      </c>
      <c r="E203" t="s">
        <v>497</v>
      </c>
      <c r="F203" t="s">
        <v>13</v>
      </c>
      <c r="G203" t="s">
        <v>74</v>
      </c>
      <c r="H203" t="s">
        <v>15</v>
      </c>
      <c r="I203" t="s">
        <v>16</v>
      </c>
      <c r="J203" s="6">
        <v>46030</v>
      </c>
      <c r="K203" t="s">
        <v>75</v>
      </c>
      <c r="L203">
        <f>tblCatalogo[[#This Row],[Costo_Base]]*21</f>
        <v>115.5</v>
      </c>
    </row>
    <row r="204" spans="1:12" x14ac:dyDescent="0.35">
      <c r="A204" t="s">
        <v>498</v>
      </c>
      <c r="B204">
        <v>5.5</v>
      </c>
      <c r="C204" t="s">
        <v>499</v>
      </c>
      <c r="D204" t="s">
        <v>72</v>
      </c>
      <c r="E204" t="s">
        <v>497</v>
      </c>
      <c r="F204" t="s">
        <v>13</v>
      </c>
      <c r="G204" t="s">
        <v>74</v>
      </c>
      <c r="H204" t="s">
        <v>15</v>
      </c>
      <c r="I204" t="s">
        <v>16</v>
      </c>
      <c r="J204" s="6">
        <v>46030</v>
      </c>
      <c r="K204" t="s">
        <v>75</v>
      </c>
      <c r="L204">
        <f>tblCatalogo[[#This Row],[Costo_Base]]*21</f>
        <v>115.5</v>
      </c>
    </row>
    <row r="205" spans="1:12" x14ac:dyDescent="0.35">
      <c r="A205" t="s">
        <v>500</v>
      </c>
      <c r="B205">
        <v>5.5</v>
      </c>
      <c r="C205" t="s">
        <v>501</v>
      </c>
      <c r="D205" t="s">
        <v>72</v>
      </c>
      <c r="E205" t="s">
        <v>497</v>
      </c>
      <c r="F205" t="s">
        <v>13</v>
      </c>
      <c r="G205" t="s">
        <v>74</v>
      </c>
      <c r="H205" t="s">
        <v>15</v>
      </c>
      <c r="I205" t="s">
        <v>16</v>
      </c>
      <c r="J205" s="6">
        <v>46030</v>
      </c>
      <c r="K205" t="s">
        <v>75</v>
      </c>
      <c r="L205">
        <f>tblCatalogo[[#This Row],[Costo_Base]]*21</f>
        <v>115.5</v>
      </c>
    </row>
    <row r="206" spans="1:12" x14ac:dyDescent="0.35">
      <c r="A206" t="s">
        <v>502</v>
      </c>
      <c r="B206">
        <v>5.5</v>
      </c>
      <c r="C206" t="s">
        <v>503</v>
      </c>
      <c r="D206" t="s">
        <v>72</v>
      </c>
      <c r="E206" t="s">
        <v>497</v>
      </c>
      <c r="F206" t="s">
        <v>13</v>
      </c>
      <c r="G206" t="s">
        <v>74</v>
      </c>
      <c r="H206" t="s">
        <v>15</v>
      </c>
      <c r="I206" t="s">
        <v>16</v>
      </c>
      <c r="J206" s="6">
        <v>46030</v>
      </c>
      <c r="K206" t="s">
        <v>75</v>
      </c>
      <c r="L206">
        <f>tblCatalogo[[#This Row],[Costo_Base]]*21</f>
        <v>115.5</v>
      </c>
    </row>
    <row r="207" spans="1:12" x14ac:dyDescent="0.35">
      <c r="A207" t="s">
        <v>504</v>
      </c>
      <c r="B207">
        <v>6</v>
      </c>
      <c r="C207" t="s">
        <v>505</v>
      </c>
      <c r="D207" t="s">
        <v>72</v>
      </c>
      <c r="E207" t="s">
        <v>506</v>
      </c>
      <c r="F207" t="s">
        <v>13</v>
      </c>
      <c r="G207" t="s">
        <v>74</v>
      </c>
      <c r="H207" t="s">
        <v>15</v>
      </c>
      <c r="I207" t="s">
        <v>16</v>
      </c>
      <c r="J207" s="6">
        <v>46030</v>
      </c>
      <c r="K207" t="s">
        <v>75</v>
      </c>
      <c r="L207">
        <f>tblCatalogo[[#This Row],[Costo_Base]]*21</f>
        <v>126</v>
      </c>
    </row>
    <row r="208" spans="1:12" x14ac:dyDescent="0.35">
      <c r="A208" t="s">
        <v>507</v>
      </c>
      <c r="B208">
        <v>6</v>
      </c>
      <c r="C208" t="s">
        <v>508</v>
      </c>
      <c r="D208" t="s">
        <v>72</v>
      </c>
      <c r="E208" t="s">
        <v>506</v>
      </c>
      <c r="F208" t="s">
        <v>13</v>
      </c>
      <c r="G208" t="s">
        <v>74</v>
      </c>
      <c r="H208" t="s">
        <v>15</v>
      </c>
      <c r="I208" t="s">
        <v>16</v>
      </c>
      <c r="J208" s="6">
        <v>46030</v>
      </c>
      <c r="K208" t="s">
        <v>75</v>
      </c>
      <c r="L208">
        <f>tblCatalogo[[#This Row],[Costo_Base]]*21</f>
        <v>126</v>
      </c>
    </row>
    <row r="209" spans="1:12" x14ac:dyDescent="0.35">
      <c r="A209" t="s">
        <v>509</v>
      </c>
      <c r="B209">
        <v>6</v>
      </c>
      <c r="C209" t="s">
        <v>510</v>
      </c>
      <c r="D209" t="s">
        <v>72</v>
      </c>
      <c r="E209" t="s">
        <v>506</v>
      </c>
      <c r="F209" t="s">
        <v>13</v>
      </c>
      <c r="G209" t="s">
        <v>74</v>
      </c>
      <c r="H209" t="s">
        <v>15</v>
      </c>
      <c r="I209" t="s">
        <v>16</v>
      </c>
      <c r="J209" s="6">
        <v>46030</v>
      </c>
      <c r="K209" t="s">
        <v>75</v>
      </c>
      <c r="L209">
        <f>tblCatalogo[[#This Row],[Costo_Base]]*21</f>
        <v>126</v>
      </c>
    </row>
    <row r="210" spans="1:12" x14ac:dyDescent="0.35">
      <c r="A210" t="s">
        <v>511</v>
      </c>
      <c r="B210">
        <v>6</v>
      </c>
      <c r="C210" t="s">
        <v>512</v>
      </c>
      <c r="D210" t="s">
        <v>72</v>
      </c>
      <c r="E210" t="s">
        <v>506</v>
      </c>
      <c r="F210" t="s">
        <v>13</v>
      </c>
      <c r="G210" t="s">
        <v>74</v>
      </c>
      <c r="H210" t="s">
        <v>15</v>
      </c>
      <c r="I210" t="s">
        <v>16</v>
      </c>
      <c r="J210" s="6">
        <v>46030</v>
      </c>
      <c r="K210" t="s">
        <v>75</v>
      </c>
      <c r="L210">
        <f>tblCatalogo[[#This Row],[Costo_Base]]*21</f>
        <v>126</v>
      </c>
    </row>
    <row r="211" spans="1:12" x14ac:dyDescent="0.35">
      <c r="A211" t="s">
        <v>513</v>
      </c>
      <c r="B211">
        <v>6</v>
      </c>
      <c r="C211" t="s">
        <v>515</v>
      </c>
      <c r="D211" t="s">
        <v>72</v>
      </c>
      <c r="E211" t="s">
        <v>514</v>
      </c>
      <c r="F211" t="s">
        <v>13</v>
      </c>
      <c r="G211" t="s">
        <v>74</v>
      </c>
      <c r="H211" t="s">
        <v>15</v>
      </c>
      <c r="I211" t="s">
        <v>16</v>
      </c>
      <c r="J211" s="6">
        <v>46030</v>
      </c>
      <c r="K211" t="s">
        <v>75</v>
      </c>
      <c r="L211">
        <f>tblCatalogo[[#This Row],[Costo_Base]]*21</f>
        <v>126</v>
      </c>
    </row>
    <row r="212" spans="1:12" x14ac:dyDescent="0.35">
      <c r="A212" t="s">
        <v>516</v>
      </c>
      <c r="B212">
        <v>6</v>
      </c>
      <c r="C212" t="s">
        <v>517</v>
      </c>
      <c r="D212" t="s">
        <v>72</v>
      </c>
      <c r="E212" t="s">
        <v>514</v>
      </c>
      <c r="F212" t="s">
        <v>13</v>
      </c>
      <c r="G212" t="s">
        <v>74</v>
      </c>
      <c r="H212" t="s">
        <v>15</v>
      </c>
      <c r="I212" t="s">
        <v>16</v>
      </c>
      <c r="J212" s="6">
        <v>46030</v>
      </c>
      <c r="K212" t="s">
        <v>75</v>
      </c>
      <c r="L212">
        <f>tblCatalogo[[#This Row],[Costo_Base]]*21</f>
        <v>126</v>
      </c>
    </row>
    <row r="213" spans="1:12" x14ac:dyDescent="0.35">
      <c r="A213" t="s">
        <v>518</v>
      </c>
      <c r="B213">
        <v>6</v>
      </c>
      <c r="C213" t="s">
        <v>519</v>
      </c>
      <c r="D213" t="s">
        <v>72</v>
      </c>
      <c r="E213" t="s">
        <v>514</v>
      </c>
      <c r="F213" t="s">
        <v>13</v>
      </c>
      <c r="G213" t="s">
        <v>74</v>
      </c>
      <c r="H213" t="s">
        <v>15</v>
      </c>
      <c r="I213" t="s">
        <v>16</v>
      </c>
      <c r="J213" s="6">
        <v>46030</v>
      </c>
      <c r="K213" t="s">
        <v>75</v>
      </c>
      <c r="L213">
        <f>tblCatalogo[[#This Row],[Costo_Base]]*21</f>
        <v>126</v>
      </c>
    </row>
    <row r="214" spans="1:12" x14ac:dyDescent="0.35">
      <c r="A214" t="s">
        <v>520</v>
      </c>
      <c r="B214">
        <v>6</v>
      </c>
      <c r="C214" t="s">
        <v>521</v>
      </c>
      <c r="D214" t="s">
        <v>72</v>
      </c>
      <c r="E214" t="s">
        <v>514</v>
      </c>
      <c r="F214" t="s">
        <v>13</v>
      </c>
      <c r="G214" t="s">
        <v>74</v>
      </c>
      <c r="H214" t="s">
        <v>15</v>
      </c>
      <c r="I214" t="s">
        <v>16</v>
      </c>
      <c r="J214" s="6">
        <v>46030</v>
      </c>
      <c r="K214" t="s">
        <v>75</v>
      </c>
      <c r="L214">
        <f>tblCatalogo[[#This Row],[Costo_Base]]*21</f>
        <v>126</v>
      </c>
    </row>
    <row r="215" spans="1:12" x14ac:dyDescent="0.35">
      <c r="A215" t="s">
        <v>522</v>
      </c>
      <c r="B215">
        <v>7.5</v>
      </c>
      <c r="C215" t="s">
        <v>523</v>
      </c>
      <c r="D215" t="s">
        <v>72</v>
      </c>
      <c r="E215" t="s">
        <v>524</v>
      </c>
      <c r="F215" t="s">
        <v>13</v>
      </c>
      <c r="G215" t="s">
        <v>74</v>
      </c>
      <c r="H215" t="s">
        <v>15</v>
      </c>
      <c r="I215" t="s">
        <v>16</v>
      </c>
      <c r="J215" s="6">
        <v>46030</v>
      </c>
      <c r="K215" t="s">
        <v>75</v>
      </c>
      <c r="L215">
        <f>tblCatalogo[[#This Row],[Costo_Base]]*21</f>
        <v>157.5</v>
      </c>
    </row>
    <row r="216" spans="1:12" x14ac:dyDescent="0.35">
      <c r="A216" t="s">
        <v>525</v>
      </c>
      <c r="B216">
        <v>7.5</v>
      </c>
      <c r="C216" t="s">
        <v>526</v>
      </c>
      <c r="D216" t="s">
        <v>72</v>
      </c>
      <c r="E216" t="s">
        <v>524</v>
      </c>
      <c r="F216" t="s">
        <v>13</v>
      </c>
      <c r="G216" t="s">
        <v>74</v>
      </c>
      <c r="H216" t="s">
        <v>15</v>
      </c>
      <c r="I216" t="s">
        <v>16</v>
      </c>
      <c r="J216" s="6">
        <v>46030</v>
      </c>
      <c r="K216" t="s">
        <v>75</v>
      </c>
      <c r="L216">
        <f>tblCatalogo[[#This Row],[Costo_Base]]*21</f>
        <v>157.5</v>
      </c>
    </row>
    <row r="217" spans="1:12" x14ac:dyDescent="0.35">
      <c r="A217" t="s">
        <v>527</v>
      </c>
      <c r="B217">
        <v>7.5</v>
      </c>
      <c r="C217" t="s">
        <v>528</v>
      </c>
      <c r="D217" t="s">
        <v>72</v>
      </c>
      <c r="E217" t="s">
        <v>524</v>
      </c>
      <c r="F217" t="s">
        <v>13</v>
      </c>
      <c r="G217" t="s">
        <v>74</v>
      </c>
      <c r="H217" t="s">
        <v>15</v>
      </c>
      <c r="I217" t="s">
        <v>16</v>
      </c>
      <c r="J217" s="6">
        <v>46030</v>
      </c>
      <c r="K217" t="s">
        <v>75</v>
      </c>
      <c r="L217">
        <f>tblCatalogo[[#This Row],[Costo_Base]]*21</f>
        <v>157.5</v>
      </c>
    </row>
    <row r="218" spans="1:12" x14ac:dyDescent="0.35">
      <c r="A218" t="s">
        <v>529</v>
      </c>
      <c r="B218">
        <v>7.5</v>
      </c>
      <c r="C218" t="s">
        <v>530</v>
      </c>
      <c r="D218" t="s">
        <v>72</v>
      </c>
      <c r="E218" t="s">
        <v>524</v>
      </c>
      <c r="F218" t="s">
        <v>13</v>
      </c>
      <c r="G218" t="s">
        <v>74</v>
      </c>
      <c r="H218" t="s">
        <v>15</v>
      </c>
      <c r="I218" t="s">
        <v>16</v>
      </c>
      <c r="J218" s="6">
        <v>46030</v>
      </c>
      <c r="K218" t="s">
        <v>75</v>
      </c>
      <c r="L218">
        <f>tblCatalogo[[#This Row],[Costo_Base]]*21</f>
        <v>157.5</v>
      </c>
    </row>
    <row r="219" spans="1:12" x14ac:dyDescent="0.35">
      <c r="A219" t="s">
        <v>531</v>
      </c>
      <c r="B219">
        <v>5</v>
      </c>
      <c r="C219" t="s">
        <v>487</v>
      </c>
      <c r="D219" t="s">
        <v>72</v>
      </c>
      <c r="E219" t="s">
        <v>488</v>
      </c>
      <c r="F219" t="s">
        <v>13</v>
      </c>
      <c r="G219" t="s">
        <v>74</v>
      </c>
      <c r="H219" t="s">
        <v>15</v>
      </c>
      <c r="I219" t="s">
        <v>16</v>
      </c>
      <c r="J219" s="6">
        <v>46030</v>
      </c>
      <c r="K219" t="s">
        <v>75</v>
      </c>
      <c r="L219">
        <f>tblCatalogo[[#This Row],[Costo_Base]]*21</f>
        <v>105</v>
      </c>
    </row>
    <row r="220" spans="1:12" x14ac:dyDescent="0.35">
      <c r="A220" t="s">
        <v>532</v>
      </c>
      <c r="B220">
        <v>5</v>
      </c>
      <c r="C220" t="s">
        <v>490</v>
      </c>
      <c r="D220" t="s">
        <v>72</v>
      </c>
      <c r="E220" t="s">
        <v>488</v>
      </c>
      <c r="F220" t="s">
        <v>13</v>
      </c>
      <c r="G220" t="s">
        <v>74</v>
      </c>
      <c r="H220" t="s">
        <v>15</v>
      </c>
      <c r="I220" t="s">
        <v>16</v>
      </c>
      <c r="J220" s="6">
        <v>46030</v>
      </c>
      <c r="K220" t="s">
        <v>75</v>
      </c>
      <c r="L220">
        <f>tblCatalogo[[#This Row],[Costo_Base]]*21</f>
        <v>105</v>
      </c>
    </row>
    <row r="221" spans="1:12" x14ac:dyDescent="0.35">
      <c r="A221" t="s">
        <v>533</v>
      </c>
      <c r="B221">
        <v>5</v>
      </c>
      <c r="C221" t="s">
        <v>492</v>
      </c>
      <c r="D221" t="s">
        <v>72</v>
      </c>
      <c r="E221" t="s">
        <v>488</v>
      </c>
      <c r="F221" t="s">
        <v>13</v>
      </c>
      <c r="G221" t="s">
        <v>74</v>
      </c>
      <c r="H221" t="s">
        <v>15</v>
      </c>
      <c r="I221" t="s">
        <v>16</v>
      </c>
      <c r="J221" s="6">
        <v>46030</v>
      </c>
      <c r="K221" t="s">
        <v>75</v>
      </c>
      <c r="L221">
        <f>tblCatalogo[[#This Row],[Costo_Base]]*21</f>
        <v>105</v>
      </c>
    </row>
    <row r="222" spans="1:12" x14ac:dyDescent="0.35">
      <c r="A222" t="s">
        <v>534</v>
      </c>
      <c r="B222">
        <v>5</v>
      </c>
      <c r="C222" t="s">
        <v>494</v>
      </c>
      <c r="D222" t="s">
        <v>72</v>
      </c>
      <c r="E222" t="s">
        <v>488</v>
      </c>
      <c r="F222" t="s">
        <v>13</v>
      </c>
      <c r="G222" t="s">
        <v>74</v>
      </c>
      <c r="H222" t="s">
        <v>15</v>
      </c>
      <c r="I222" t="s">
        <v>16</v>
      </c>
      <c r="J222" s="6">
        <v>46030</v>
      </c>
      <c r="K222" t="s">
        <v>75</v>
      </c>
      <c r="L222">
        <f>tblCatalogo[[#This Row],[Costo_Base]]*21</f>
        <v>105</v>
      </c>
    </row>
    <row r="223" spans="1:12" x14ac:dyDescent="0.35">
      <c r="A223" t="s">
        <v>535</v>
      </c>
      <c r="B223">
        <v>5.5</v>
      </c>
      <c r="C223" t="s">
        <v>496</v>
      </c>
      <c r="D223" t="s">
        <v>72</v>
      </c>
      <c r="E223" t="s">
        <v>536</v>
      </c>
      <c r="F223" t="s">
        <v>13</v>
      </c>
      <c r="G223" t="s">
        <v>74</v>
      </c>
      <c r="H223" t="s">
        <v>15</v>
      </c>
      <c r="I223" t="s">
        <v>16</v>
      </c>
      <c r="J223" s="6">
        <v>46030</v>
      </c>
      <c r="K223" t="s">
        <v>75</v>
      </c>
      <c r="L223">
        <f>tblCatalogo[[#This Row],[Costo_Base]]*21</f>
        <v>115.5</v>
      </c>
    </row>
    <row r="224" spans="1:12" x14ac:dyDescent="0.35">
      <c r="A224" t="s">
        <v>537</v>
      </c>
      <c r="B224">
        <v>5.5</v>
      </c>
      <c r="C224" t="s">
        <v>499</v>
      </c>
      <c r="D224" t="s">
        <v>72</v>
      </c>
      <c r="E224" t="s">
        <v>536</v>
      </c>
      <c r="F224" t="s">
        <v>13</v>
      </c>
      <c r="G224" t="s">
        <v>74</v>
      </c>
      <c r="H224" t="s">
        <v>15</v>
      </c>
      <c r="I224" t="s">
        <v>16</v>
      </c>
      <c r="J224" s="6">
        <v>46030</v>
      </c>
      <c r="K224" t="s">
        <v>75</v>
      </c>
      <c r="L224">
        <f>tblCatalogo[[#This Row],[Costo_Base]]*21</f>
        <v>115.5</v>
      </c>
    </row>
    <row r="225" spans="1:12" x14ac:dyDescent="0.35">
      <c r="A225" t="s">
        <v>538</v>
      </c>
      <c r="B225">
        <v>5.5</v>
      </c>
      <c r="C225" t="s">
        <v>539</v>
      </c>
      <c r="D225" t="s">
        <v>72</v>
      </c>
      <c r="E225" t="s">
        <v>536</v>
      </c>
      <c r="F225" t="s">
        <v>13</v>
      </c>
      <c r="G225" t="s">
        <v>74</v>
      </c>
      <c r="H225" t="s">
        <v>15</v>
      </c>
      <c r="I225" t="s">
        <v>16</v>
      </c>
      <c r="J225" s="6">
        <v>46030</v>
      </c>
      <c r="K225" t="s">
        <v>75</v>
      </c>
      <c r="L225">
        <f>tblCatalogo[[#This Row],[Costo_Base]]*21</f>
        <v>115.5</v>
      </c>
    </row>
    <row r="226" spans="1:12" x14ac:dyDescent="0.35">
      <c r="A226" t="s">
        <v>540</v>
      </c>
      <c r="B226">
        <v>5.5</v>
      </c>
      <c r="C226" t="s">
        <v>503</v>
      </c>
      <c r="D226" t="s">
        <v>72</v>
      </c>
      <c r="E226" t="s">
        <v>536</v>
      </c>
      <c r="F226" t="s">
        <v>13</v>
      </c>
      <c r="G226" t="s">
        <v>74</v>
      </c>
      <c r="H226" t="s">
        <v>15</v>
      </c>
      <c r="I226" t="s">
        <v>16</v>
      </c>
      <c r="J226" s="6">
        <v>46030</v>
      </c>
      <c r="K226" t="s">
        <v>75</v>
      </c>
      <c r="L226">
        <f>tblCatalogo[[#This Row],[Costo_Base]]*21</f>
        <v>115.5</v>
      </c>
    </row>
    <row r="227" spans="1:12" x14ac:dyDescent="0.35">
      <c r="A227" t="s">
        <v>541</v>
      </c>
      <c r="B227">
        <v>6</v>
      </c>
      <c r="C227" t="s">
        <v>505</v>
      </c>
      <c r="D227" t="s">
        <v>72</v>
      </c>
      <c r="E227" t="s">
        <v>542</v>
      </c>
      <c r="F227" t="s">
        <v>13</v>
      </c>
      <c r="G227" t="s">
        <v>74</v>
      </c>
      <c r="H227" t="s">
        <v>15</v>
      </c>
      <c r="I227" t="s">
        <v>16</v>
      </c>
      <c r="J227" s="6">
        <v>46030</v>
      </c>
      <c r="K227" t="s">
        <v>75</v>
      </c>
      <c r="L227">
        <f>tblCatalogo[[#This Row],[Costo_Base]]*21</f>
        <v>126</v>
      </c>
    </row>
    <row r="228" spans="1:12" x14ac:dyDescent="0.35">
      <c r="A228" t="s">
        <v>543</v>
      </c>
      <c r="B228">
        <v>6</v>
      </c>
      <c r="C228" t="s">
        <v>508</v>
      </c>
      <c r="D228" t="s">
        <v>72</v>
      </c>
      <c r="E228" t="s">
        <v>542</v>
      </c>
      <c r="F228" t="s">
        <v>13</v>
      </c>
      <c r="G228" t="s">
        <v>74</v>
      </c>
      <c r="H228" t="s">
        <v>15</v>
      </c>
      <c r="I228" t="s">
        <v>16</v>
      </c>
      <c r="J228" s="6">
        <v>46030</v>
      </c>
      <c r="K228" t="s">
        <v>75</v>
      </c>
      <c r="L228">
        <f>tblCatalogo[[#This Row],[Costo_Base]]*21</f>
        <v>126</v>
      </c>
    </row>
    <row r="229" spans="1:12" x14ac:dyDescent="0.35">
      <c r="A229" t="s">
        <v>544</v>
      </c>
      <c r="B229">
        <v>6</v>
      </c>
      <c r="C229" t="s">
        <v>510</v>
      </c>
      <c r="D229" t="s">
        <v>72</v>
      </c>
      <c r="E229" t="s">
        <v>542</v>
      </c>
      <c r="F229" t="s">
        <v>13</v>
      </c>
      <c r="G229" t="s">
        <v>74</v>
      </c>
      <c r="H229" t="s">
        <v>15</v>
      </c>
      <c r="I229" t="s">
        <v>16</v>
      </c>
      <c r="J229" s="6">
        <v>46030</v>
      </c>
      <c r="K229" t="s">
        <v>75</v>
      </c>
      <c r="L229">
        <f>tblCatalogo[[#This Row],[Costo_Base]]*21</f>
        <v>126</v>
      </c>
    </row>
    <row r="230" spans="1:12" x14ac:dyDescent="0.35">
      <c r="A230" t="s">
        <v>545</v>
      </c>
      <c r="B230">
        <v>6</v>
      </c>
      <c r="C230" t="s">
        <v>512</v>
      </c>
      <c r="D230" t="s">
        <v>72</v>
      </c>
      <c r="E230" t="s">
        <v>542</v>
      </c>
      <c r="F230" t="s">
        <v>13</v>
      </c>
      <c r="G230" t="s">
        <v>74</v>
      </c>
      <c r="H230" t="s">
        <v>15</v>
      </c>
      <c r="I230" t="s">
        <v>16</v>
      </c>
      <c r="J230" s="6">
        <v>46030</v>
      </c>
      <c r="K230" t="s">
        <v>75</v>
      </c>
      <c r="L230">
        <f>tblCatalogo[[#This Row],[Costo_Base]]*21</f>
        <v>126</v>
      </c>
    </row>
    <row r="231" spans="1:12" x14ac:dyDescent="0.35">
      <c r="A231" t="s">
        <v>546</v>
      </c>
      <c r="B231">
        <v>6.5</v>
      </c>
      <c r="C231" t="s">
        <v>515</v>
      </c>
      <c r="D231" t="s">
        <v>72</v>
      </c>
      <c r="E231" t="s">
        <v>547</v>
      </c>
      <c r="F231" t="s">
        <v>13</v>
      </c>
      <c r="G231" t="s">
        <v>74</v>
      </c>
      <c r="H231" t="s">
        <v>15</v>
      </c>
      <c r="I231" t="s">
        <v>16</v>
      </c>
      <c r="J231" s="6">
        <v>46030</v>
      </c>
      <c r="K231" t="s">
        <v>75</v>
      </c>
      <c r="L231">
        <f>tblCatalogo[[#This Row],[Costo_Base]]*21</f>
        <v>136.5</v>
      </c>
    </row>
    <row r="232" spans="1:12" x14ac:dyDescent="0.35">
      <c r="A232" t="s">
        <v>548</v>
      </c>
      <c r="B232">
        <v>6.5</v>
      </c>
      <c r="C232" t="s">
        <v>517</v>
      </c>
      <c r="D232" t="s">
        <v>72</v>
      </c>
      <c r="E232" t="s">
        <v>547</v>
      </c>
      <c r="F232" t="s">
        <v>13</v>
      </c>
      <c r="G232" t="s">
        <v>74</v>
      </c>
      <c r="H232" t="s">
        <v>15</v>
      </c>
      <c r="I232" t="s">
        <v>16</v>
      </c>
      <c r="J232" s="6">
        <v>46030</v>
      </c>
      <c r="K232" t="s">
        <v>75</v>
      </c>
      <c r="L232">
        <f>tblCatalogo[[#This Row],[Costo_Base]]*21</f>
        <v>136.5</v>
      </c>
    </row>
    <row r="233" spans="1:12" x14ac:dyDescent="0.35">
      <c r="A233" t="s">
        <v>549</v>
      </c>
      <c r="B233">
        <v>6.5</v>
      </c>
      <c r="C233" t="s">
        <v>519</v>
      </c>
      <c r="D233" t="s">
        <v>72</v>
      </c>
      <c r="E233" t="s">
        <v>547</v>
      </c>
      <c r="F233" t="s">
        <v>13</v>
      </c>
      <c r="G233" t="s">
        <v>74</v>
      </c>
      <c r="H233" t="s">
        <v>15</v>
      </c>
      <c r="I233" t="s">
        <v>16</v>
      </c>
      <c r="J233" s="6">
        <v>46030</v>
      </c>
      <c r="K233" t="s">
        <v>75</v>
      </c>
      <c r="L233">
        <f>tblCatalogo[[#This Row],[Costo_Base]]*21</f>
        <v>136.5</v>
      </c>
    </row>
    <row r="234" spans="1:12" x14ac:dyDescent="0.35">
      <c r="A234" t="s">
        <v>550</v>
      </c>
      <c r="B234">
        <v>6.5</v>
      </c>
      <c r="C234" t="s">
        <v>521</v>
      </c>
      <c r="D234" t="s">
        <v>72</v>
      </c>
      <c r="E234" t="s">
        <v>547</v>
      </c>
      <c r="F234" t="s">
        <v>13</v>
      </c>
      <c r="G234" t="s">
        <v>74</v>
      </c>
      <c r="H234" t="s">
        <v>15</v>
      </c>
      <c r="I234" t="s">
        <v>16</v>
      </c>
      <c r="J234" s="6">
        <v>46030</v>
      </c>
      <c r="K234" t="s">
        <v>75</v>
      </c>
      <c r="L234">
        <f>tblCatalogo[[#This Row],[Costo_Base]]*21</f>
        <v>136.5</v>
      </c>
    </row>
    <row r="235" spans="1:12" x14ac:dyDescent="0.35">
      <c r="A235" t="s">
        <v>551</v>
      </c>
      <c r="B235">
        <v>7.75</v>
      </c>
      <c r="C235" t="s">
        <v>523</v>
      </c>
      <c r="D235" t="s">
        <v>72</v>
      </c>
      <c r="E235" t="s">
        <v>555</v>
      </c>
      <c r="F235" t="s">
        <v>13</v>
      </c>
      <c r="G235" t="s">
        <v>74</v>
      </c>
      <c r="H235" t="s">
        <v>15</v>
      </c>
      <c r="I235" t="s">
        <v>16</v>
      </c>
      <c r="J235" s="6">
        <v>46030</v>
      </c>
      <c r="K235" t="s">
        <v>75</v>
      </c>
      <c r="L235">
        <f>tblCatalogo[[#This Row],[Costo_Base]]*21</f>
        <v>162.75</v>
      </c>
    </row>
    <row r="236" spans="1:12" x14ac:dyDescent="0.35">
      <c r="A236" t="s">
        <v>552</v>
      </c>
      <c r="B236">
        <v>7.75</v>
      </c>
      <c r="C236" t="s">
        <v>526</v>
      </c>
      <c r="D236" t="s">
        <v>72</v>
      </c>
      <c r="E236" t="s">
        <v>555</v>
      </c>
      <c r="F236" t="s">
        <v>13</v>
      </c>
      <c r="G236" t="s">
        <v>74</v>
      </c>
      <c r="H236" t="s">
        <v>15</v>
      </c>
      <c r="I236" t="s">
        <v>16</v>
      </c>
      <c r="J236" s="6">
        <v>46030</v>
      </c>
      <c r="K236" t="s">
        <v>75</v>
      </c>
      <c r="L236">
        <f>tblCatalogo[[#This Row],[Costo_Base]]*21</f>
        <v>162.75</v>
      </c>
    </row>
    <row r="237" spans="1:12" x14ac:dyDescent="0.35">
      <c r="A237" t="s">
        <v>553</v>
      </c>
      <c r="B237">
        <v>7.75</v>
      </c>
      <c r="C237" t="s">
        <v>528</v>
      </c>
      <c r="D237" t="s">
        <v>72</v>
      </c>
      <c r="E237" t="s">
        <v>555</v>
      </c>
      <c r="F237" t="s">
        <v>13</v>
      </c>
      <c r="G237" t="s">
        <v>74</v>
      </c>
      <c r="H237" t="s">
        <v>15</v>
      </c>
      <c r="I237" t="s">
        <v>16</v>
      </c>
      <c r="J237" s="6">
        <v>46030</v>
      </c>
      <c r="K237" t="s">
        <v>75</v>
      </c>
      <c r="L237">
        <f>tblCatalogo[[#This Row],[Costo_Base]]*21</f>
        <v>162.75</v>
      </c>
    </row>
    <row r="238" spans="1:12" x14ac:dyDescent="0.35">
      <c r="A238" t="s">
        <v>554</v>
      </c>
      <c r="B238">
        <v>7.75</v>
      </c>
      <c r="C238" t="s">
        <v>530</v>
      </c>
      <c r="D238" t="s">
        <v>72</v>
      </c>
      <c r="E238" t="s">
        <v>555</v>
      </c>
      <c r="F238" t="s">
        <v>13</v>
      </c>
      <c r="G238" t="s">
        <v>74</v>
      </c>
      <c r="H238" t="s">
        <v>15</v>
      </c>
      <c r="I238" t="s">
        <v>16</v>
      </c>
      <c r="J238" s="6">
        <v>46030</v>
      </c>
      <c r="K238" t="s">
        <v>75</v>
      </c>
      <c r="L238">
        <f>tblCatalogo[[#This Row],[Costo_Base]]*21</f>
        <v>162.75</v>
      </c>
    </row>
    <row r="239" spans="1:12" x14ac:dyDescent="0.35">
      <c r="A239" t="s">
        <v>556</v>
      </c>
      <c r="B239">
        <v>5.5</v>
      </c>
      <c r="C239" t="s">
        <v>487</v>
      </c>
      <c r="D239" t="s">
        <v>72</v>
      </c>
      <c r="E239" t="s">
        <v>560</v>
      </c>
      <c r="F239" t="s">
        <v>13</v>
      </c>
      <c r="G239" t="s">
        <v>74</v>
      </c>
      <c r="H239" t="s">
        <v>15</v>
      </c>
      <c r="I239" t="s">
        <v>16</v>
      </c>
      <c r="J239" s="6">
        <v>46030</v>
      </c>
      <c r="K239" t="s">
        <v>75</v>
      </c>
      <c r="L239">
        <f>tblCatalogo[[#This Row],[Costo_Base]]*21</f>
        <v>115.5</v>
      </c>
    </row>
    <row r="240" spans="1:12" x14ac:dyDescent="0.35">
      <c r="A240" t="s">
        <v>557</v>
      </c>
      <c r="B240">
        <v>5.5</v>
      </c>
      <c r="C240" t="s">
        <v>490</v>
      </c>
      <c r="D240" t="s">
        <v>72</v>
      </c>
      <c r="E240" t="s">
        <v>560</v>
      </c>
      <c r="F240" t="s">
        <v>13</v>
      </c>
      <c r="G240" t="s">
        <v>74</v>
      </c>
      <c r="H240" t="s">
        <v>15</v>
      </c>
      <c r="I240" t="s">
        <v>16</v>
      </c>
      <c r="J240" s="6">
        <v>46030</v>
      </c>
      <c r="K240" t="s">
        <v>75</v>
      </c>
      <c r="L240">
        <f>tblCatalogo[[#This Row],[Costo_Base]]*21</f>
        <v>115.5</v>
      </c>
    </row>
    <row r="241" spans="1:12" x14ac:dyDescent="0.35">
      <c r="A241" t="s">
        <v>558</v>
      </c>
      <c r="B241">
        <v>5.5</v>
      </c>
      <c r="C241" t="s">
        <v>492</v>
      </c>
      <c r="D241" t="s">
        <v>72</v>
      </c>
      <c r="E241" t="s">
        <v>560</v>
      </c>
      <c r="F241" t="s">
        <v>13</v>
      </c>
      <c r="G241" t="s">
        <v>74</v>
      </c>
      <c r="H241" t="s">
        <v>15</v>
      </c>
      <c r="I241" t="s">
        <v>16</v>
      </c>
      <c r="J241" s="6">
        <v>46030</v>
      </c>
      <c r="K241" t="s">
        <v>75</v>
      </c>
      <c r="L241">
        <f>tblCatalogo[[#This Row],[Costo_Base]]*21</f>
        <v>115.5</v>
      </c>
    </row>
    <row r="242" spans="1:12" x14ac:dyDescent="0.35">
      <c r="A242" t="s">
        <v>559</v>
      </c>
      <c r="B242">
        <v>5.5</v>
      </c>
      <c r="C242" t="s">
        <v>494</v>
      </c>
      <c r="D242" t="s">
        <v>72</v>
      </c>
      <c r="E242" t="s">
        <v>560</v>
      </c>
      <c r="F242" t="s">
        <v>13</v>
      </c>
      <c r="G242" t="s">
        <v>74</v>
      </c>
      <c r="H242" t="s">
        <v>15</v>
      </c>
      <c r="I242" t="s">
        <v>16</v>
      </c>
      <c r="J242" s="6">
        <v>46030</v>
      </c>
      <c r="K242" t="s">
        <v>75</v>
      </c>
      <c r="L242">
        <f>tblCatalogo[[#This Row],[Costo_Base]]*21</f>
        <v>115.5</v>
      </c>
    </row>
    <row r="243" spans="1:12" x14ac:dyDescent="0.35">
      <c r="A243" t="s">
        <v>561</v>
      </c>
      <c r="B243">
        <v>6</v>
      </c>
      <c r="C243" t="s">
        <v>565</v>
      </c>
      <c r="D243" t="s">
        <v>72</v>
      </c>
      <c r="E243" t="s">
        <v>566</v>
      </c>
      <c r="F243" t="s">
        <v>13</v>
      </c>
      <c r="G243" t="s">
        <v>74</v>
      </c>
      <c r="H243" t="s">
        <v>15</v>
      </c>
      <c r="I243" t="s">
        <v>16</v>
      </c>
      <c r="J243" s="6">
        <v>46030</v>
      </c>
      <c r="K243" t="s">
        <v>75</v>
      </c>
      <c r="L243">
        <f>tblCatalogo[[#This Row],[Costo_Base]]*21</f>
        <v>126</v>
      </c>
    </row>
    <row r="244" spans="1:12" x14ac:dyDescent="0.35">
      <c r="A244" t="s">
        <v>562</v>
      </c>
      <c r="B244">
        <v>6</v>
      </c>
      <c r="C244" t="s">
        <v>567</v>
      </c>
      <c r="D244" t="s">
        <v>72</v>
      </c>
      <c r="E244" t="s">
        <v>566</v>
      </c>
      <c r="F244" t="s">
        <v>13</v>
      </c>
      <c r="G244" t="s">
        <v>74</v>
      </c>
      <c r="H244" t="s">
        <v>15</v>
      </c>
      <c r="I244" t="s">
        <v>16</v>
      </c>
      <c r="J244" s="6">
        <v>46030</v>
      </c>
      <c r="K244" t="s">
        <v>75</v>
      </c>
      <c r="L244">
        <f>tblCatalogo[[#This Row],[Costo_Base]]*21</f>
        <v>126</v>
      </c>
    </row>
    <row r="245" spans="1:12" x14ac:dyDescent="0.35">
      <c r="A245" t="s">
        <v>563</v>
      </c>
      <c r="B245">
        <v>6</v>
      </c>
      <c r="C245" t="s">
        <v>568</v>
      </c>
      <c r="D245" t="s">
        <v>72</v>
      </c>
      <c r="E245" t="s">
        <v>566</v>
      </c>
      <c r="F245" t="s">
        <v>13</v>
      </c>
      <c r="G245" t="s">
        <v>74</v>
      </c>
      <c r="H245" t="s">
        <v>15</v>
      </c>
      <c r="I245" t="s">
        <v>16</v>
      </c>
      <c r="J245" s="6">
        <v>46030</v>
      </c>
      <c r="K245" t="s">
        <v>75</v>
      </c>
      <c r="L245">
        <f>tblCatalogo[[#This Row],[Costo_Base]]*21</f>
        <v>126</v>
      </c>
    </row>
    <row r="246" spans="1:12" x14ac:dyDescent="0.35">
      <c r="A246" t="s">
        <v>564</v>
      </c>
      <c r="B246">
        <v>6</v>
      </c>
      <c r="C246" t="s">
        <v>569</v>
      </c>
      <c r="D246" t="s">
        <v>72</v>
      </c>
      <c r="E246" t="s">
        <v>566</v>
      </c>
      <c r="F246" t="s">
        <v>13</v>
      </c>
      <c r="G246" t="s">
        <v>74</v>
      </c>
      <c r="H246" t="s">
        <v>15</v>
      </c>
      <c r="I246" t="s">
        <v>16</v>
      </c>
      <c r="J246" s="6">
        <v>46030</v>
      </c>
      <c r="K246" t="s">
        <v>75</v>
      </c>
      <c r="L246">
        <f>tblCatalogo[[#This Row],[Costo_Base]]*21</f>
        <v>126</v>
      </c>
    </row>
    <row r="247" spans="1:12" x14ac:dyDescent="0.35">
      <c r="A247" t="s">
        <v>570</v>
      </c>
      <c r="B247">
        <v>6.5</v>
      </c>
      <c r="C247" t="s">
        <v>505</v>
      </c>
      <c r="D247" t="s">
        <v>72</v>
      </c>
      <c r="E247" t="s">
        <v>574</v>
      </c>
      <c r="F247" t="s">
        <v>13</v>
      </c>
      <c r="G247" t="s">
        <v>74</v>
      </c>
      <c r="H247" t="s">
        <v>15</v>
      </c>
      <c r="I247" t="s">
        <v>16</v>
      </c>
      <c r="J247" s="6">
        <v>46030</v>
      </c>
      <c r="K247" t="s">
        <v>75</v>
      </c>
      <c r="L247">
        <f>tblCatalogo[[#This Row],[Costo_Base]]*21</f>
        <v>136.5</v>
      </c>
    </row>
    <row r="248" spans="1:12" x14ac:dyDescent="0.35">
      <c r="A248" t="s">
        <v>571</v>
      </c>
      <c r="B248">
        <v>6.5</v>
      </c>
      <c r="C248" t="s">
        <v>508</v>
      </c>
      <c r="D248" t="s">
        <v>72</v>
      </c>
      <c r="E248" t="s">
        <v>574</v>
      </c>
      <c r="F248" t="s">
        <v>13</v>
      </c>
      <c r="G248" t="s">
        <v>74</v>
      </c>
      <c r="H248" t="s">
        <v>15</v>
      </c>
      <c r="I248" t="s">
        <v>16</v>
      </c>
      <c r="J248" s="6">
        <v>46030</v>
      </c>
      <c r="K248" t="s">
        <v>75</v>
      </c>
      <c r="L248">
        <f>tblCatalogo[[#This Row],[Costo_Base]]*21</f>
        <v>136.5</v>
      </c>
    </row>
    <row r="249" spans="1:12" x14ac:dyDescent="0.35">
      <c r="A249" t="s">
        <v>572</v>
      </c>
      <c r="B249">
        <v>6.5</v>
      </c>
      <c r="C249" t="s">
        <v>510</v>
      </c>
      <c r="D249" t="s">
        <v>72</v>
      </c>
      <c r="E249" t="s">
        <v>574</v>
      </c>
      <c r="F249" t="s">
        <v>13</v>
      </c>
      <c r="G249" t="s">
        <v>74</v>
      </c>
      <c r="H249" t="s">
        <v>15</v>
      </c>
      <c r="I249" t="s">
        <v>16</v>
      </c>
      <c r="J249" s="6">
        <v>46030</v>
      </c>
      <c r="K249" t="s">
        <v>75</v>
      </c>
      <c r="L249">
        <f>tblCatalogo[[#This Row],[Costo_Base]]*21</f>
        <v>136.5</v>
      </c>
    </row>
    <row r="250" spans="1:12" x14ac:dyDescent="0.35">
      <c r="A250" t="s">
        <v>573</v>
      </c>
      <c r="B250">
        <v>6.5</v>
      </c>
      <c r="C250" t="s">
        <v>512</v>
      </c>
      <c r="D250" t="s">
        <v>72</v>
      </c>
      <c r="E250" t="s">
        <v>574</v>
      </c>
      <c r="F250" t="s">
        <v>13</v>
      </c>
      <c r="G250" t="s">
        <v>74</v>
      </c>
      <c r="H250" t="s">
        <v>15</v>
      </c>
      <c r="I250" t="s">
        <v>16</v>
      </c>
      <c r="J250" s="6">
        <v>46030</v>
      </c>
      <c r="K250" t="s">
        <v>75</v>
      </c>
      <c r="L250">
        <f>tblCatalogo[[#This Row],[Costo_Base]]*21</f>
        <v>136.5</v>
      </c>
    </row>
    <row r="251" spans="1:12" x14ac:dyDescent="0.35">
      <c r="A251" t="s">
        <v>575</v>
      </c>
      <c r="B251">
        <v>7</v>
      </c>
      <c r="C251" t="s">
        <v>515</v>
      </c>
      <c r="D251" t="s">
        <v>72</v>
      </c>
      <c r="E251" t="s">
        <v>579</v>
      </c>
      <c r="F251" t="s">
        <v>13</v>
      </c>
      <c r="G251" t="s">
        <v>74</v>
      </c>
      <c r="H251" t="s">
        <v>15</v>
      </c>
      <c r="I251" t="s">
        <v>16</v>
      </c>
      <c r="J251" s="6">
        <v>46030</v>
      </c>
      <c r="K251" t="s">
        <v>75</v>
      </c>
      <c r="L251">
        <f>tblCatalogo[[#This Row],[Costo_Base]]*21</f>
        <v>147</v>
      </c>
    </row>
    <row r="252" spans="1:12" x14ac:dyDescent="0.35">
      <c r="A252" t="s">
        <v>576</v>
      </c>
      <c r="B252">
        <v>7</v>
      </c>
      <c r="C252" t="s">
        <v>517</v>
      </c>
      <c r="D252" t="s">
        <v>72</v>
      </c>
      <c r="E252" t="s">
        <v>579</v>
      </c>
      <c r="F252" t="s">
        <v>13</v>
      </c>
      <c r="G252" t="s">
        <v>74</v>
      </c>
      <c r="H252" t="s">
        <v>15</v>
      </c>
      <c r="I252" t="s">
        <v>16</v>
      </c>
      <c r="J252" s="6">
        <v>46030</v>
      </c>
      <c r="K252" t="s">
        <v>75</v>
      </c>
      <c r="L252">
        <f>tblCatalogo[[#This Row],[Costo_Base]]*21</f>
        <v>147</v>
      </c>
    </row>
    <row r="253" spans="1:12" x14ac:dyDescent="0.35">
      <c r="A253" t="s">
        <v>577</v>
      </c>
      <c r="B253">
        <v>7</v>
      </c>
      <c r="C253" t="s">
        <v>519</v>
      </c>
      <c r="D253" t="s">
        <v>72</v>
      </c>
      <c r="E253" t="s">
        <v>579</v>
      </c>
      <c r="F253" t="s">
        <v>13</v>
      </c>
      <c r="G253" t="s">
        <v>74</v>
      </c>
      <c r="H253" t="s">
        <v>15</v>
      </c>
      <c r="I253" t="s">
        <v>16</v>
      </c>
      <c r="J253" s="6">
        <v>46030</v>
      </c>
      <c r="K253" t="s">
        <v>75</v>
      </c>
      <c r="L253">
        <f>tblCatalogo[[#This Row],[Costo_Base]]*21</f>
        <v>147</v>
      </c>
    </row>
    <row r="254" spans="1:12" x14ac:dyDescent="0.35">
      <c r="A254" t="s">
        <v>578</v>
      </c>
      <c r="B254">
        <v>7</v>
      </c>
      <c r="C254" t="s">
        <v>521</v>
      </c>
      <c r="D254" t="s">
        <v>72</v>
      </c>
      <c r="E254" t="s">
        <v>579</v>
      </c>
      <c r="F254" t="s">
        <v>13</v>
      </c>
      <c r="G254" t="s">
        <v>74</v>
      </c>
      <c r="H254" t="s">
        <v>15</v>
      </c>
      <c r="I254" t="s">
        <v>16</v>
      </c>
      <c r="J254" s="6">
        <v>46030</v>
      </c>
      <c r="K254" t="s">
        <v>75</v>
      </c>
      <c r="L254">
        <f>tblCatalogo[[#This Row],[Costo_Base]]*21</f>
        <v>147</v>
      </c>
    </row>
    <row r="255" spans="1:12" x14ac:dyDescent="0.35">
      <c r="A255" t="s">
        <v>580</v>
      </c>
      <c r="B255">
        <v>8.1</v>
      </c>
      <c r="C255" t="s">
        <v>523</v>
      </c>
      <c r="D255" t="s">
        <v>72</v>
      </c>
      <c r="E255" t="s">
        <v>584</v>
      </c>
      <c r="F255" t="s">
        <v>13</v>
      </c>
      <c r="G255" t="s">
        <v>74</v>
      </c>
      <c r="H255" t="s">
        <v>15</v>
      </c>
      <c r="I255" t="s">
        <v>16</v>
      </c>
      <c r="J255" s="6">
        <v>46030</v>
      </c>
      <c r="K255" t="s">
        <v>75</v>
      </c>
      <c r="L255">
        <f>tblCatalogo[[#This Row],[Costo_Base]]*21</f>
        <v>170.1</v>
      </c>
    </row>
    <row r="256" spans="1:12" x14ac:dyDescent="0.35">
      <c r="A256" t="s">
        <v>581</v>
      </c>
      <c r="B256">
        <v>8.1</v>
      </c>
      <c r="C256" t="s">
        <v>526</v>
      </c>
      <c r="D256" t="s">
        <v>72</v>
      </c>
      <c r="E256" t="s">
        <v>584</v>
      </c>
      <c r="F256" t="s">
        <v>13</v>
      </c>
      <c r="G256" t="s">
        <v>74</v>
      </c>
      <c r="H256" t="s">
        <v>15</v>
      </c>
      <c r="I256" t="s">
        <v>16</v>
      </c>
      <c r="J256" s="6">
        <v>46030</v>
      </c>
      <c r="K256" t="s">
        <v>75</v>
      </c>
      <c r="L256">
        <f>tblCatalogo[[#This Row],[Costo_Base]]*21</f>
        <v>170.1</v>
      </c>
    </row>
    <row r="257" spans="1:12" x14ac:dyDescent="0.35">
      <c r="A257" t="s">
        <v>582</v>
      </c>
      <c r="B257">
        <v>8.1</v>
      </c>
      <c r="C257" t="s">
        <v>528</v>
      </c>
      <c r="D257" t="s">
        <v>72</v>
      </c>
      <c r="E257" t="s">
        <v>584</v>
      </c>
      <c r="F257" t="s">
        <v>13</v>
      </c>
      <c r="G257" t="s">
        <v>74</v>
      </c>
      <c r="H257" t="s">
        <v>15</v>
      </c>
      <c r="I257" t="s">
        <v>16</v>
      </c>
      <c r="J257" s="6">
        <v>46030</v>
      </c>
      <c r="K257" t="s">
        <v>75</v>
      </c>
      <c r="L257">
        <f>tblCatalogo[[#This Row],[Costo_Base]]*21</f>
        <v>170.1</v>
      </c>
    </row>
    <row r="258" spans="1:12" x14ac:dyDescent="0.35">
      <c r="A258" t="s">
        <v>583</v>
      </c>
      <c r="B258">
        <v>8.1</v>
      </c>
      <c r="C258" t="s">
        <v>530</v>
      </c>
      <c r="D258" t="s">
        <v>72</v>
      </c>
      <c r="E258" t="s">
        <v>584</v>
      </c>
      <c r="F258" t="s">
        <v>13</v>
      </c>
      <c r="G258" t="s">
        <v>74</v>
      </c>
      <c r="H258" t="s">
        <v>15</v>
      </c>
      <c r="I258" t="s">
        <v>16</v>
      </c>
      <c r="J258" s="6">
        <v>46030</v>
      </c>
      <c r="K258" t="s">
        <v>75</v>
      </c>
      <c r="L258">
        <f>tblCatalogo[[#This Row],[Costo_Base]]*21</f>
        <v>170.1</v>
      </c>
    </row>
    <row r="259" spans="1:12" x14ac:dyDescent="0.35">
      <c r="A259" t="s">
        <v>585</v>
      </c>
      <c r="B259">
        <v>5.5</v>
      </c>
      <c r="C259" t="s">
        <v>487</v>
      </c>
      <c r="D259" t="s">
        <v>72</v>
      </c>
      <c r="E259" t="s">
        <v>589</v>
      </c>
      <c r="F259" t="s">
        <v>13</v>
      </c>
      <c r="G259" t="s">
        <v>74</v>
      </c>
      <c r="H259" t="s">
        <v>15</v>
      </c>
      <c r="I259" t="s">
        <v>16</v>
      </c>
      <c r="J259" s="6">
        <v>46030</v>
      </c>
      <c r="K259" t="s">
        <v>75</v>
      </c>
      <c r="L259">
        <f>tblCatalogo[[#This Row],[Costo_Base]]*21</f>
        <v>115.5</v>
      </c>
    </row>
    <row r="260" spans="1:12" x14ac:dyDescent="0.35">
      <c r="A260" t="s">
        <v>586</v>
      </c>
      <c r="B260">
        <v>5.5</v>
      </c>
      <c r="C260" t="s">
        <v>490</v>
      </c>
      <c r="D260" t="s">
        <v>72</v>
      </c>
      <c r="E260" t="s">
        <v>589</v>
      </c>
      <c r="F260" t="s">
        <v>13</v>
      </c>
      <c r="G260" t="s">
        <v>74</v>
      </c>
      <c r="H260" t="s">
        <v>15</v>
      </c>
      <c r="I260" t="s">
        <v>16</v>
      </c>
      <c r="J260" s="6">
        <v>46030</v>
      </c>
      <c r="K260" t="s">
        <v>75</v>
      </c>
      <c r="L260">
        <f>tblCatalogo[[#This Row],[Costo_Base]]*21</f>
        <v>115.5</v>
      </c>
    </row>
    <row r="261" spans="1:12" x14ac:dyDescent="0.35">
      <c r="A261" t="s">
        <v>587</v>
      </c>
      <c r="B261">
        <v>5.5</v>
      </c>
      <c r="C261" t="s">
        <v>492</v>
      </c>
      <c r="D261" t="s">
        <v>72</v>
      </c>
      <c r="E261" t="s">
        <v>589</v>
      </c>
      <c r="F261" t="s">
        <v>13</v>
      </c>
      <c r="G261" t="s">
        <v>74</v>
      </c>
      <c r="H261" t="s">
        <v>15</v>
      </c>
      <c r="I261" t="s">
        <v>16</v>
      </c>
      <c r="J261" s="6">
        <v>46030</v>
      </c>
      <c r="K261" t="s">
        <v>75</v>
      </c>
      <c r="L261">
        <f>tblCatalogo[[#This Row],[Costo_Base]]*21</f>
        <v>115.5</v>
      </c>
    </row>
    <row r="262" spans="1:12" x14ac:dyDescent="0.35">
      <c r="A262" t="s">
        <v>588</v>
      </c>
      <c r="B262">
        <v>5.5</v>
      </c>
      <c r="C262" t="s">
        <v>494</v>
      </c>
      <c r="D262" t="s">
        <v>72</v>
      </c>
      <c r="E262" t="s">
        <v>589</v>
      </c>
      <c r="F262" t="s">
        <v>13</v>
      </c>
      <c r="G262" t="s">
        <v>74</v>
      </c>
      <c r="H262" t="s">
        <v>15</v>
      </c>
      <c r="I262" t="s">
        <v>16</v>
      </c>
      <c r="J262" s="6">
        <v>46030</v>
      </c>
      <c r="K262" t="s">
        <v>75</v>
      </c>
      <c r="L262">
        <f>tblCatalogo[[#This Row],[Costo_Base]]*21</f>
        <v>115.5</v>
      </c>
    </row>
    <row r="263" spans="1:12" x14ac:dyDescent="0.35">
      <c r="A263" t="s">
        <v>590</v>
      </c>
      <c r="B263">
        <v>6</v>
      </c>
      <c r="C263" t="s">
        <v>496</v>
      </c>
      <c r="D263" t="s">
        <v>72</v>
      </c>
      <c r="E263" t="s">
        <v>594</v>
      </c>
      <c r="F263" t="s">
        <v>13</v>
      </c>
      <c r="G263" t="s">
        <v>74</v>
      </c>
      <c r="H263" t="s">
        <v>15</v>
      </c>
      <c r="I263" t="s">
        <v>16</v>
      </c>
      <c r="J263" s="6">
        <v>46030</v>
      </c>
      <c r="K263" t="s">
        <v>75</v>
      </c>
      <c r="L263">
        <f>tblCatalogo[[#This Row],[Costo_Base]]*21</f>
        <v>126</v>
      </c>
    </row>
    <row r="264" spans="1:12" x14ac:dyDescent="0.35">
      <c r="A264" t="s">
        <v>591</v>
      </c>
      <c r="B264">
        <v>6</v>
      </c>
      <c r="C264" t="s">
        <v>499</v>
      </c>
      <c r="D264" t="s">
        <v>72</v>
      </c>
      <c r="E264" t="s">
        <v>594</v>
      </c>
      <c r="F264" t="s">
        <v>13</v>
      </c>
      <c r="G264" t="s">
        <v>74</v>
      </c>
      <c r="H264" t="s">
        <v>15</v>
      </c>
      <c r="I264" t="s">
        <v>16</v>
      </c>
      <c r="J264" s="6">
        <v>46030</v>
      </c>
      <c r="K264" t="s">
        <v>75</v>
      </c>
      <c r="L264">
        <f>tblCatalogo[[#This Row],[Costo_Base]]*21</f>
        <v>126</v>
      </c>
    </row>
    <row r="265" spans="1:12" x14ac:dyDescent="0.35">
      <c r="A265" t="s">
        <v>592</v>
      </c>
      <c r="B265">
        <v>6</v>
      </c>
      <c r="C265" t="s">
        <v>501</v>
      </c>
      <c r="D265" t="s">
        <v>72</v>
      </c>
      <c r="E265" t="s">
        <v>594</v>
      </c>
      <c r="F265" t="s">
        <v>13</v>
      </c>
      <c r="G265" t="s">
        <v>74</v>
      </c>
      <c r="H265" t="s">
        <v>15</v>
      </c>
      <c r="I265" t="s">
        <v>16</v>
      </c>
      <c r="J265" s="6">
        <v>46030</v>
      </c>
      <c r="K265" t="s">
        <v>75</v>
      </c>
      <c r="L265">
        <f>tblCatalogo[[#This Row],[Costo_Base]]*21</f>
        <v>126</v>
      </c>
    </row>
    <row r="266" spans="1:12" x14ac:dyDescent="0.35">
      <c r="A266" t="s">
        <v>593</v>
      </c>
      <c r="B266">
        <v>6</v>
      </c>
      <c r="C266" t="s">
        <v>503</v>
      </c>
      <c r="D266" t="s">
        <v>72</v>
      </c>
      <c r="E266" t="s">
        <v>594</v>
      </c>
      <c r="F266" t="s">
        <v>13</v>
      </c>
      <c r="G266" t="s">
        <v>74</v>
      </c>
      <c r="H266" t="s">
        <v>15</v>
      </c>
      <c r="I266" t="s">
        <v>16</v>
      </c>
      <c r="J266" s="6">
        <v>46030</v>
      </c>
      <c r="K266" t="s">
        <v>75</v>
      </c>
      <c r="L266">
        <f>tblCatalogo[[#This Row],[Costo_Base]]*21</f>
        <v>126</v>
      </c>
    </row>
    <row r="267" spans="1:12" x14ac:dyDescent="0.35">
      <c r="A267" t="s">
        <v>595</v>
      </c>
      <c r="B267">
        <v>6.5</v>
      </c>
      <c r="C267" t="s">
        <v>505</v>
      </c>
      <c r="D267" t="s">
        <v>72</v>
      </c>
      <c r="E267" t="s">
        <v>599</v>
      </c>
      <c r="F267" t="s">
        <v>13</v>
      </c>
      <c r="G267" t="s">
        <v>74</v>
      </c>
      <c r="H267" t="s">
        <v>15</v>
      </c>
      <c r="I267" t="s">
        <v>16</v>
      </c>
      <c r="J267" s="6">
        <v>46030</v>
      </c>
      <c r="K267" t="s">
        <v>75</v>
      </c>
      <c r="L267">
        <f>tblCatalogo[[#This Row],[Costo_Base]]*21</f>
        <v>136.5</v>
      </c>
    </row>
    <row r="268" spans="1:12" x14ac:dyDescent="0.35">
      <c r="A268" t="s">
        <v>596</v>
      </c>
      <c r="B268">
        <v>6.5</v>
      </c>
      <c r="C268" t="s">
        <v>508</v>
      </c>
      <c r="D268" t="s">
        <v>72</v>
      </c>
      <c r="E268" t="s">
        <v>599</v>
      </c>
      <c r="F268" t="s">
        <v>13</v>
      </c>
      <c r="G268" t="s">
        <v>74</v>
      </c>
      <c r="H268" t="s">
        <v>15</v>
      </c>
      <c r="I268" t="s">
        <v>16</v>
      </c>
      <c r="J268" s="6">
        <v>46030</v>
      </c>
      <c r="K268" t="s">
        <v>75</v>
      </c>
      <c r="L268">
        <f>tblCatalogo[[#This Row],[Costo_Base]]*21</f>
        <v>136.5</v>
      </c>
    </row>
    <row r="269" spans="1:12" x14ac:dyDescent="0.35">
      <c r="A269" t="s">
        <v>597</v>
      </c>
      <c r="B269">
        <v>6.5</v>
      </c>
      <c r="C269" t="s">
        <v>510</v>
      </c>
      <c r="D269" t="s">
        <v>72</v>
      </c>
      <c r="E269" t="s">
        <v>599</v>
      </c>
      <c r="F269" t="s">
        <v>13</v>
      </c>
      <c r="G269" t="s">
        <v>74</v>
      </c>
      <c r="H269" t="s">
        <v>15</v>
      </c>
      <c r="I269" t="s">
        <v>16</v>
      </c>
      <c r="J269" s="6">
        <v>46030</v>
      </c>
      <c r="K269" t="s">
        <v>75</v>
      </c>
      <c r="L269">
        <f>tblCatalogo[[#This Row],[Costo_Base]]*21</f>
        <v>136.5</v>
      </c>
    </row>
    <row r="270" spans="1:12" x14ac:dyDescent="0.35">
      <c r="A270" t="s">
        <v>598</v>
      </c>
      <c r="B270">
        <v>6.5</v>
      </c>
      <c r="C270" t="s">
        <v>512</v>
      </c>
      <c r="D270" t="s">
        <v>72</v>
      </c>
      <c r="E270" t="s">
        <v>599</v>
      </c>
      <c r="F270" t="s">
        <v>13</v>
      </c>
      <c r="G270" t="s">
        <v>74</v>
      </c>
      <c r="H270" t="s">
        <v>15</v>
      </c>
      <c r="I270" t="s">
        <v>16</v>
      </c>
      <c r="J270" s="6">
        <v>46030</v>
      </c>
      <c r="K270" t="s">
        <v>75</v>
      </c>
      <c r="L270">
        <f>tblCatalogo[[#This Row],[Costo_Base]]*21</f>
        <v>136.5</v>
      </c>
    </row>
    <row r="271" spans="1:12" x14ac:dyDescent="0.35">
      <c r="A271" t="s">
        <v>600</v>
      </c>
      <c r="B271">
        <v>7</v>
      </c>
      <c r="C271" t="s">
        <v>515</v>
      </c>
      <c r="D271" t="s">
        <v>72</v>
      </c>
      <c r="E271" t="s">
        <v>604</v>
      </c>
      <c r="F271" t="s">
        <v>13</v>
      </c>
      <c r="G271" t="s">
        <v>74</v>
      </c>
      <c r="H271" t="s">
        <v>15</v>
      </c>
      <c r="I271" t="s">
        <v>16</v>
      </c>
      <c r="J271" s="6">
        <v>46030</v>
      </c>
      <c r="K271" t="s">
        <v>75</v>
      </c>
      <c r="L271">
        <f>tblCatalogo[[#This Row],[Costo_Base]]*21</f>
        <v>147</v>
      </c>
    </row>
    <row r="272" spans="1:12" x14ac:dyDescent="0.35">
      <c r="A272" t="s">
        <v>601</v>
      </c>
      <c r="B272">
        <v>7</v>
      </c>
      <c r="C272" t="s">
        <v>517</v>
      </c>
      <c r="D272" t="s">
        <v>72</v>
      </c>
      <c r="E272" t="s">
        <v>604</v>
      </c>
      <c r="F272" t="s">
        <v>13</v>
      </c>
      <c r="G272" t="s">
        <v>74</v>
      </c>
      <c r="H272" t="s">
        <v>15</v>
      </c>
      <c r="I272" t="s">
        <v>16</v>
      </c>
      <c r="J272" s="6">
        <v>46030</v>
      </c>
      <c r="K272" t="s">
        <v>75</v>
      </c>
      <c r="L272">
        <f>tblCatalogo[[#This Row],[Costo_Base]]*21</f>
        <v>147</v>
      </c>
    </row>
    <row r="273" spans="1:12" x14ac:dyDescent="0.35">
      <c r="A273" t="s">
        <v>602</v>
      </c>
      <c r="B273">
        <v>7</v>
      </c>
      <c r="C273" t="s">
        <v>519</v>
      </c>
      <c r="D273" t="s">
        <v>72</v>
      </c>
      <c r="E273" t="s">
        <v>604</v>
      </c>
      <c r="F273" t="s">
        <v>13</v>
      </c>
      <c r="G273" t="s">
        <v>74</v>
      </c>
      <c r="H273" t="s">
        <v>15</v>
      </c>
      <c r="I273" t="s">
        <v>16</v>
      </c>
      <c r="J273" s="6">
        <v>46030</v>
      </c>
      <c r="K273" t="s">
        <v>75</v>
      </c>
      <c r="L273">
        <f>tblCatalogo[[#This Row],[Costo_Base]]*21</f>
        <v>147</v>
      </c>
    </row>
    <row r="274" spans="1:12" x14ac:dyDescent="0.35">
      <c r="A274" t="s">
        <v>603</v>
      </c>
      <c r="B274">
        <v>7</v>
      </c>
      <c r="C274" t="s">
        <v>521</v>
      </c>
      <c r="D274" t="s">
        <v>72</v>
      </c>
      <c r="E274" t="s">
        <v>604</v>
      </c>
      <c r="F274" t="s">
        <v>13</v>
      </c>
      <c r="G274" t="s">
        <v>74</v>
      </c>
      <c r="H274" t="s">
        <v>15</v>
      </c>
      <c r="I274" t="s">
        <v>16</v>
      </c>
      <c r="J274" s="6">
        <v>46030</v>
      </c>
      <c r="K274" t="s">
        <v>75</v>
      </c>
      <c r="L274">
        <f>tblCatalogo[[#This Row],[Costo_Base]]*21</f>
        <v>147</v>
      </c>
    </row>
    <row r="275" spans="1:12" x14ac:dyDescent="0.35">
      <c r="A275" t="s">
        <v>605</v>
      </c>
      <c r="B275">
        <v>8.25</v>
      </c>
      <c r="C275" t="s">
        <v>523</v>
      </c>
      <c r="D275" t="s">
        <v>72</v>
      </c>
      <c r="E275" t="s">
        <v>609</v>
      </c>
      <c r="F275" t="s">
        <v>13</v>
      </c>
      <c r="G275" t="s">
        <v>74</v>
      </c>
      <c r="H275" t="s">
        <v>15</v>
      </c>
      <c r="I275" t="s">
        <v>16</v>
      </c>
      <c r="J275" s="6">
        <v>46030</v>
      </c>
      <c r="K275" t="s">
        <v>75</v>
      </c>
      <c r="L275">
        <f>tblCatalogo[[#This Row],[Costo_Base]]*21</f>
        <v>173.25</v>
      </c>
    </row>
    <row r="276" spans="1:12" x14ac:dyDescent="0.35">
      <c r="A276" t="s">
        <v>606</v>
      </c>
      <c r="B276">
        <v>8.25</v>
      </c>
      <c r="C276" t="s">
        <v>526</v>
      </c>
      <c r="D276" t="s">
        <v>72</v>
      </c>
      <c r="E276" t="s">
        <v>609</v>
      </c>
      <c r="F276" t="s">
        <v>13</v>
      </c>
      <c r="G276" t="s">
        <v>74</v>
      </c>
      <c r="H276" t="s">
        <v>15</v>
      </c>
      <c r="I276" t="s">
        <v>16</v>
      </c>
      <c r="J276" s="6">
        <v>46030</v>
      </c>
      <c r="K276" t="s">
        <v>75</v>
      </c>
      <c r="L276">
        <f>tblCatalogo[[#This Row],[Costo_Base]]*21</f>
        <v>173.25</v>
      </c>
    </row>
    <row r="277" spans="1:12" x14ac:dyDescent="0.35">
      <c r="A277" t="s">
        <v>607</v>
      </c>
      <c r="B277">
        <v>8.25</v>
      </c>
      <c r="C277" t="s">
        <v>528</v>
      </c>
      <c r="D277" t="s">
        <v>72</v>
      </c>
      <c r="E277" t="s">
        <v>609</v>
      </c>
      <c r="F277" t="s">
        <v>13</v>
      </c>
      <c r="G277" t="s">
        <v>74</v>
      </c>
      <c r="H277" t="s">
        <v>15</v>
      </c>
      <c r="I277" t="s">
        <v>16</v>
      </c>
      <c r="J277" s="6">
        <v>46030</v>
      </c>
      <c r="K277" t="s">
        <v>75</v>
      </c>
      <c r="L277">
        <f>tblCatalogo[[#This Row],[Costo_Base]]*21</f>
        <v>173.25</v>
      </c>
    </row>
    <row r="278" spans="1:12" x14ac:dyDescent="0.35">
      <c r="A278" t="s">
        <v>608</v>
      </c>
      <c r="B278">
        <v>8.25</v>
      </c>
      <c r="C278" t="s">
        <v>530</v>
      </c>
      <c r="D278" t="s">
        <v>72</v>
      </c>
      <c r="E278" t="s">
        <v>609</v>
      </c>
      <c r="F278" t="s">
        <v>13</v>
      </c>
      <c r="G278" t="s">
        <v>74</v>
      </c>
      <c r="H278" t="s">
        <v>15</v>
      </c>
      <c r="I278" t="s">
        <v>16</v>
      </c>
      <c r="J278" s="6">
        <v>46030</v>
      </c>
      <c r="K278" t="s">
        <v>75</v>
      </c>
      <c r="L278">
        <f>tblCatalogo[[#This Row],[Costo_Base]]*21</f>
        <v>173.25</v>
      </c>
    </row>
    <row r="279" spans="1:12" x14ac:dyDescent="0.35">
      <c r="A279" t="s">
        <v>610</v>
      </c>
      <c r="B279">
        <v>6.5</v>
      </c>
      <c r="C279" t="s">
        <v>487</v>
      </c>
      <c r="D279" t="s">
        <v>72</v>
      </c>
      <c r="E279" t="s">
        <v>614</v>
      </c>
      <c r="F279" t="s">
        <v>13</v>
      </c>
      <c r="G279" t="s">
        <v>74</v>
      </c>
      <c r="H279" t="s">
        <v>15</v>
      </c>
      <c r="I279" t="s">
        <v>16</v>
      </c>
      <c r="J279" s="6">
        <v>46030</v>
      </c>
      <c r="K279" t="s">
        <v>75</v>
      </c>
      <c r="L279">
        <f>tblCatalogo[[#This Row],[Costo_Base]]*21</f>
        <v>136.5</v>
      </c>
    </row>
    <row r="280" spans="1:12" x14ac:dyDescent="0.35">
      <c r="A280" t="s">
        <v>611</v>
      </c>
      <c r="B280">
        <v>6.5</v>
      </c>
      <c r="C280" t="s">
        <v>490</v>
      </c>
      <c r="D280" t="s">
        <v>72</v>
      </c>
      <c r="E280" t="s">
        <v>614</v>
      </c>
      <c r="F280" t="s">
        <v>13</v>
      </c>
      <c r="G280" t="s">
        <v>74</v>
      </c>
      <c r="H280" t="s">
        <v>15</v>
      </c>
      <c r="I280" t="s">
        <v>16</v>
      </c>
      <c r="J280" s="6">
        <v>46030</v>
      </c>
      <c r="K280" t="s">
        <v>75</v>
      </c>
      <c r="L280">
        <f>tblCatalogo[[#This Row],[Costo_Base]]*21</f>
        <v>136.5</v>
      </c>
    </row>
    <row r="281" spans="1:12" x14ac:dyDescent="0.35">
      <c r="A281" t="s">
        <v>612</v>
      </c>
      <c r="B281">
        <v>6.5</v>
      </c>
      <c r="C281" t="s">
        <v>492</v>
      </c>
      <c r="D281" t="s">
        <v>72</v>
      </c>
      <c r="E281" t="s">
        <v>614</v>
      </c>
      <c r="F281" t="s">
        <v>13</v>
      </c>
      <c r="G281" t="s">
        <v>74</v>
      </c>
      <c r="H281" t="s">
        <v>15</v>
      </c>
      <c r="I281" t="s">
        <v>16</v>
      </c>
      <c r="J281" s="6">
        <v>46030</v>
      </c>
      <c r="K281" t="s">
        <v>75</v>
      </c>
      <c r="L281">
        <f>tblCatalogo[[#This Row],[Costo_Base]]*21</f>
        <v>136.5</v>
      </c>
    </row>
    <row r="282" spans="1:12" x14ac:dyDescent="0.35">
      <c r="A282" t="s">
        <v>613</v>
      </c>
      <c r="B282">
        <v>6.5</v>
      </c>
      <c r="C282" t="s">
        <v>494</v>
      </c>
      <c r="D282" t="s">
        <v>72</v>
      </c>
      <c r="E282" t="s">
        <v>614</v>
      </c>
      <c r="F282" t="s">
        <v>13</v>
      </c>
      <c r="G282" t="s">
        <v>74</v>
      </c>
      <c r="H282" t="s">
        <v>15</v>
      </c>
      <c r="I282" t="s">
        <v>16</v>
      </c>
      <c r="J282" s="6">
        <v>46030</v>
      </c>
      <c r="K282" t="s">
        <v>75</v>
      </c>
      <c r="L282">
        <f>tblCatalogo[[#This Row],[Costo_Base]]*21</f>
        <v>136.5</v>
      </c>
    </row>
    <row r="283" spans="1:12" x14ac:dyDescent="0.35">
      <c r="A283" t="s">
        <v>615</v>
      </c>
      <c r="B283">
        <v>7</v>
      </c>
      <c r="C283" t="s">
        <v>496</v>
      </c>
      <c r="D283" t="s">
        <v>72</v>
      </c>
      <c r="E283" t="s">
        <v>619</v>
      </c>
      <c r="F283" t="s">
        <v>13</v>
      </c>
      <c r="G283" t="s">
        <v>74</v>
      </c>
      <c r="H283" t="s">
        <v>15</v>
      </c>
      <c r="I283" t="s">
        <v>16</v>
      </c>
      <c r="J283" s="6">
        <v>46030</v>
      </c>
      <c r="K283" t="s">
        <v>75</v>
      </c>
      <c r="L283">
        <f>tblCatalogo[[#This Row],[Costo_Base]]*21</f>
        <v>147</v>
      </c>
    </row>
    <row r="284" spans="1:12" x14ac:dyDescent="0.35">
      <c r="A284" t="s">
        <v>616</v>
      </c>
      <c r="B284">
        <v>7</v>
      </c>
      <c r="C284" t="s">
        <v>499</v>
      </c>
      <c r="D284" t="s">
        <v>72</v>
      </c>
      <c r="E284" t="s">
        <v>619</v>
      </c>
      <c r="F284" t="s">
        <v>13</v>
      </c>
      <c r="G284" t="s">
        <v>74</v>
      </c>
      <c r="H284" t="s">
        <v>15</v>
      </c>
      <c r="I284" t="s">
        <v>16</v>
      </c>
      <c r="J284" s="6">
        <v>46030</v>
      </c>
      <c r="K284" t="s">
        <v>75</v>
      </c>
      <c r="L284">
        <f>tblCatalogo[[#This Row],[Costo_Base]]*21</f>
        <v>147</v>
      </c>
    </row>
    <row r="285" spans="1:12" x14ac:dyDescent="0.35">
      <c r="A285" t="s">
        <v>617</v>
      </c>
      <c r="B285">
        <v>7</v>
      </c>
      <c r="C285" t="s">
        <v>501</v>
      </c>
      <c r="D285" t="s">
        <v>72</v>
      </c>
      <c r="E285" t="s">
        <v>619</v>
      </c>
      <c r="F285" t="s">
        <v>13</v>
      </c>
      <c r="G285" t="s">
        <v>74</v>
      </c>
      <c r="H285" t="s">
        <v>15</v>
      </c>
      <c r="I285" t="s">
        <v>16</v>
      </c>
      <c r="J285" s="6">
        <v>46030</v>
      </c>
      <c r="K285" t="s">
        <v>75</v>
      </c>
      <c r="L285">
        <f>tblCatalogo[[#This Row],[Costo_Base]]*21</f>
        <v>147</v>
      </c>
    </row>
    <row r="286" spans="1:12" x14ac:dyDescent="0.35">
      <c r="A286" t="s">
        <v>618</v>
      </c>
      <c r="B286">
        <v>7</v>
      </c>
      <c r="C286" t="s">
        <v>503</v>
      </c>
      <c r="D286" t="s">
        <v>72</v>
      </c>
      <c r="E286" t="s">
        <v>619</v>
      </c>
      <c r="F286" t="s">
        <v>13</v>
      </c>
      <c r="G286" t="s">
        <v>74</v>
      </c>
      <c r="H286" t="s">
        <v>15</v>
      </c>
      <c r="I286" t="s">
        <v>16</v>
      </c>
      <c r="J286" s="6">
        <v>46030</v>
      </c>
      <c r="K286" t="s">
        <v>75</v>
      </c>
      <c r="L286">
        <f>tblCatalogo[[#This Row],[Costo_Base]]*21</f>
        <v>147</v>
      </c>
    </row>
    <row r="287" spans="1:12" x14ac:dyDescent="0.35">
      <c r="A287" t="s">
        <v>620</v>
      </c>
      <c r="B287">
        <v>7.75</v>
      </c>
      <c r="C287" t="s">
        <v>505</v>
      </c>
      <c r="D287" t="s">
        <v>72</v>
      </c>
      <c r="E287" t="s">
        <v>624</v>
      </c>
      <c r="F287" t="s">
        <v>13</v>
      </c>
      <c r="G287" t="s">
        <v>74</v>
      </c>
      <c r="H287" t="s">
        <v>15</v>
      </c>
      <c r="I287" t="s">
        <v>16</v>
      </c>
      <c r="J287" s="6">
        <v>46030</v>
      </c>
      <c r="K287" t="s">
        <v>75</v>
      </c>
      <c r="L287">
        <f>tblCatalogo[[#This Row],[Costo_Base]]*21</f>
        <v>162.75</v>
      </c>
    </row>
    <row r="288" spans="1:12" x14ac:dyDescent="0.35">
      <c r="A288" t="s">
        <v>621</v>
      </c>
      <c r="B288">
        <v>7.75</v>
      </c>
      <c r="C288" t="s">
        <v>508</v>
      </c>
      <c r="D288" t="s">
        <v>72</v>
      </c>
      <c r="E288" t="s">
        <v>624</v>
      </c>
      <c r="F288" t="s">
        <v>13</v>
      </c>
      <c r="G288" t="s">
        <v>74</v>
      </c>
      <c r="H288" t="s">
        <v>15</v>
      </c>
      <c r="I288" t="s">
        <v>16</v>
      </c>
      <c r="J288" s="6">
        <v>46030</v>
      </c>
      <c r="K288" t="s">
        <v>75</v>
      </c>
      <c r="L288">
        <f>tblCatalogo[[#This Row],[Costo_Base]]*21</f>
        <v>162.75</v>
      </c>
    </row>
    <row r="289" spans="1:12" x14ac:dyDescent="0.35">
      <c r="A289" t="s">
        <v>622</v>
      </c>
      <c r="B289">
        <v>7.75</v>
      </c>
      <c r="C289" t="s">
        <v>510</v>
      </c>
      <c r="D289" t="s">
        <v>72</v>
      </c>
      <c r="E289" t="s">
        <v>624</v>
      </c>
      <c r="F289" t="s">
        <v>13</v>
      </c>
      <c r="G289" t="s">
        <v>74</v>
      </c>
      <c r="H289" t="s">
        <v>15</v>
      </c>
      <c r="I289" t="s">
        <v>16</v>
      </c>
      <c r="J289" s="6">
        <v>46030</v>
      </c>
      <c r="K289" t="s">
        <v>75</v>
      </c>
      <c r="L289">
        <f>tblCatalogo[[#This Row],[Costo_Base]]*21</f>
        <v>162.75</v>
      </c>
    </row>
    <row r="290" spans="1:12" x14ac:dyDescent="0.35">
      <c r="A290" t="s">
        <v>623</v>
      </c>
      <c r="B290">
        <v>7.75</v>
      </c>
      <c r="C290" t="s">
        <v>512</v>
      </c>
      <c r="D290" t="s">
        <v>72</v>
      </c>
      <c r="E290" t="s">
        <v>624</v>
      </c>
      <c r="F290" t="s">
        <v>13</v>
      </c>
      <c r="G290" t="s">
        <v>74</v>
      </c>
      <c r="H290" t="s">
        <v>15</v>
      </c>
      <c r="I290" t="s">
        <v>16</v>
      </c>
      <c r="J290" s="6">
        <v>46030</v>
      </c>
      <c r="K290" t="s">
        <v>75</v>
      </c>
      <c r="L290">
        <f>tblCatalogo[[#This Row],[Costo_Base]]*21</f>
        <v>162.75</v>
      </c>
    </row>
    <row r="291" spans="1:12" x14ac:dyDescent="0.35">
      <c r="A291" t="s">
        <v>625</v>
      </c>
      <c r="B291">
        <v>8.25</v>
      </c>
      <c r="C291" t="s">
        <v>515</v>
      </c>
      <c r="D291" t="s">
        <v>72</v>
      </c>
      <c r="E291" t="s">
        <v>629</v>
      </c>
      <c r="F291" t="s">
        <v>13</v>
      </c>
      <c r="G291" t="s">
        <v>74</v>
      </c>
      <c r="H291" t="s">
        <v>15</v>
      </c>
      <c r="I291" t="s">
        <v>16</v>
      </c>
      <c r="J291" s="6">
        <v>46030</v>
      </c>
      <c r="K291" t="s">
        <v>75</v>
      </c>
      <c r="L291">
        <f>tblCatalogo[[#This Row],[Costo_Base]]*21</f>
        <v>173.25</v>
      </c>
    </row>
    <row r="292" spans="1:12" x14ac:dyDescent="0.35">
      <c r="A292" t="s">
        <v>626</v>
      </c>
      <c r="B292">
        <v>8.25</v>
      </c>
      <c r="C292" t="s">
        <v>517</v>
      </c>
      <c r="D292" t="s">
        <v>72</v>
      </c>
      <c r="E292" t="s">
        <v>629</v>
      </c>
      <c r="F292" t="s">
        <v>13</v>
      </c>
      <c r="G292" t="s">
        <v>74</v>
      </c>
      <c r="H292" t="s">
        <v>15</v>
      </c>
      <c r="I292" t="s">
        <v>16</v>
      </c>
      <c r="J292" s="6">
        <v>46030</v>
      </c>
      <c r="K292" t="s">
        <v>75</v>
      </c>
      <c r="L292">
        <f>tblCatalogo[[#This Row],[Costo_Base]]*21</f>
        <v>173.25</v>
      </c>
    </row>
    <row r="293" spans="1:12" x14ac:dyDescent="0.35">
      <c r="A293" t="s">
        <v>627</v>
      </c>
      <c r="B293">
        <v>8.25</v>
      </c>
      <c r="C293" t="s">
        <v>519</v>
      </c>
      <c r="D293" t="s">
        <v>72</v>
      </c>
      <c r="E293" t="s">
        <v>629</v>
      </c>
      <c r="F293" t="s">
        <v>13</v>
      </c>
      <c r="G293" t="s">
        <v>74</v>
      </c>
      <c r="H293" t="s">
        <v>15</v>
      </c>
      <c r="I293" t="s">
        <v>16</v>
      </c>
      <c r="J293" s="6">
        <v>46030</v>
      </c>
      <c r="K293" t="s">
        <v>75</v>
      </c>
      <c r="L293">
        <f>tblCatalogo[[#This Row],[Costo_Base]]*21</f>
        <v>173.25</v>
      </c>
    </row>
    <row r="294" spans="1:12" x14ac:dyDescent="0.35">
      <c r="A294" t="s">
        <v>628</v>
      </c>
      <c r="B294">
        <v>8.25</v>
      </c>
      <c r="C294" t="s">
        <v>521</v>
      </c>
      <c r="D294" t="s">
        <v>72</v>
      </c>
      <c r="E294" t="s">
        <v>629</v>
      </c>
      <c r="F294" t="s">
        <v>13</v>
      </c>
      <c r="G294" t="s">
        <v>74</v>
      </c>
      <c r="H294" t="s">
        <v>15</v>
      </c>
      <c r="I294" t="s">
        <v>16</v>
      </c>
      <c r="J294" s="6">
        <v>46030</v>
      </c>
      <c r="K294" t="s">
        <v>75</v>
      </c>
      <c r="L294">
        <f>tblCatalogo[[#This Row],[Costo_Base]]*21</f>
        <v>173.25</v>
      </c>
    </row>
    <row r="295" spans="1:12" x14ac:dyDescent="0.35">
      <c r="A295" t="s">
        <v>630</v>
      </c>
      <c r="B295">
        <v>9.25</v>
      </c>
      <c r="C295" t="s">
        <v>523</v>
      </c>
      <c r="D295" t="s">
        <v>72</v>
      </c>
      <c r="E295" t="s">
        <v>634</v>
      </c>
      <c r="F295" t="s">
        <v>13</v>
      </c>
      <c r="G295" t="s">
        <v>74</v>
      </c>
      <c r="H295" t="s">
        <v>15</v>
      </c>
      <c r="I295" t="s">
        <v>16</v>
      </c>
      <c r="J295" s="6">
        <v>46030</v>
      </c>
      <c r="K295" t="s">
        <v>75</v>
      </c>
      <c r="L295">
        <f>tblCatalogo[[#This Row],[Costo_Base]]*21</f>
        <v>194.25</v>
      </c>
    </row>
    <row r="296" spans="1:12" x14ac:dyDescent="0.35">
      <c r="A296" t="s">
        <v>631</v>
      </c>
      <c r="B296">
        <v>9.25</v>
      </c>
      <c r="C296" t="s">
        <v>526</v>
      </c>
      <c r="D296" t="s">
        <v>72</v>
      </c>
      <c r="E296" t="s">
        <v>634</v>
      </c>
      <c r="F296" t="s">
        <v>13</v>
      </c>
      <c r="G296" t="s">
        <v>74</v>
      </c>
      <c r="H296" t="s">
        <v>15</v>
      </c>
      <c r="I296" t="s">
        <v>16</v>
      </c>
      <c r="J296" s="6">
        <v>46030</v>
      </c>
      <c r="K296" t="s">
        <v>75</v>
      </c>
      <c r="L296">
        <f>tblCatalogo[[#This Row],[Costo_Base]]*21</f>
        <v>194.25</v>
      </c>
    </row>
    <row r="297" spans="1:12" x14ac:dyDescent="0.35">
      <c r="A297" t="s">
        <v>632</v>
      </c>
      <c r="B297">
        <v>9.25</v>
      </c>
      <c r="C297" t="s">
        <v>528</v>
      </c>
      <c r="D297" t="s">
        <v>72</v>
      </c>
      <c r="E297" t="s">
        <v>634</v>
      </c>
      <c r="F297" t="s">
        <v>13</v>
      </c>
      <c r="G297" t="s">
        <v>74</v>
      </c>
      <c r="H297" t="s">
        <v>15</v>
      </c>
      <c r="I297" t="s">
        <v>16</v>
      </c>
      <c r="J297" s="6">
        <v>46030</v>
      </c>
      <c r="K297" t="s">
        <v>75</v>
      </c>
      <c r="L297">
        <f>tblCatalogo[[#This Row],[Costo_Base]]*21</f>
        <v>194.25</v>
      </c>
    </row>
    <row r="298" spans="1:12" x14ac:dyDescent="0.35">
      <c r="A298" t="s">
        <v>633</v>
      </c>
      <c r="B298">
        <v>9.25</v>
      </c>
      <c r="C298" t="s">
        <v>530</v>
      </c>
      <c r="D298" t="s">
        <v>72</v>
      </c>
      <c r="E298" t="s">
        <v>634</v>
      </c>
      <c r="F298" t="s">
        <v>13</v>
      </c>
      <c r="G298" t="s">
        <v>74</v>
      </c>
      <c r="H298" t="s">
        <v>15</v>
      </c>
      <c r="I298" t="s">
        <v>16</v>
      </c>
      <c r="J298" s="6">
        <v>46030</v>
      </c>
      <c r="K298" t="s">
        <v>75</v>
      </c>
      <c r="L298">
        <f>tblCatalogo[[#This Row],[Costo_Base]]*21</f>
        <v>194.25</v>
      </c>
    </row>
    <row r="299" spans="1:12" x14ac:dyDescent="0.35">
      <c r="A299" t="s">
        <v>635</v>
      </c>
      <c r="B299">
        <v>6.5</v>
      </c>
      <c r="C299" t="s">
        <v>487</v>
      </c>
      <c r="D299" t="s">
        <v>72</v>
      </c>
      <c r="E299" t="s">
        <v>639</v>
      </c>
      <c r="F299" t="s">
        <v>13</v>
      </c>
      <c r="G299" t="s">
        <v>74</v>
      </c>
      <c r="H299" t="s">
        <v>15</v>
      </c>
      <c r="I299" t="s">
        <v>16</v>
      </c>
      <c r="J299" s="6">
        <v>46030</v>
      </c>
      <c r="K299" t="s">
        <v>75</v>
      </c>
      <c r="L299">
        <f>tblCatalogo[[#This Row],[Costo_Base]]*21</f>
        <v>136.5</v>
      </c>
    </row>
    <row r="300" spans="1:12" x14ac:dyDescent="0.35">
      <c r="A300" t="s">
        <v>636</v>
      </c>
      <c r="B300">
        <v>6.5</v>
      </c>
      <c r="C300" t="s">
        <v>490</v>
      </c>
      <c r="D300" t="s">
        <v>72</v>
      </c>
      <c r="E300" t="s">
        <v>639</v>
      </c>
      <c r="F300" t="s">
        <v>13</v>
      </c>
      <c r="G300" t="s">
        <v>74</v>
      </c>
      <c r="H300" t="s">
        <v>15</v>
      </c>
      <c r="I300" t="s">
        <v>16</v>
      </c>
      <c r="J300" s="6">
        <v>46030</v>
      </c>
      <c r="K300" t="s">
        <v>75</v>
      </c>
      <c r="L300">
        <f>tblCatalogo[[#This Row],[Costo_Base]]*21</f>
        <v>136.5</v>
      </c>
    </row>
    <row r="301" spans="1:12" x14ac:dyDescent="0.35">
      <c r="A301" t="s">
        <v>637</v>
      </c>
      <c r="B301">
        <v>6.5</v>
      </c>
      <c r="C301" t="s">
        <v>492</v>
      </c>
      <c r="D301" t="s">
        <v>72</v>
      </c>
      <c r="E301" t="s">
        <v>639</v>
      </c>
      <c r="F301" t="s">
        <v>13</v>
      </c>
      <c r="G301" t="s">
        <v>74</v>
      </c>
      <c r="H301" t="s">
        <v>15</v>
      </c>
      <c r="I301" t="s">
        <v>16</v>
      </c>
      <c r="J301" s="6">
        <v>46030</v>
      </c>
      <c r="K301" t="s">
        <v>75</v>
      </c>
      <c r="L301">
        <f>tblCatalogo[[#This Row],[Costo_Base]]*21</f>
        <v>136.5</v>
      </c>
    </row>
    <row r="302" spans="1:12" x14ac:dyDescent="0.35">
      <c r="A302" t="s">
        <v>638</v>
      </c>
      <c r="B302">
        <v>6.5</v>
      </c>
      <c r="C302" t="s">
        <v>494</v>
      </c>
      <c r="D302" t="s">
        <v>72</v>
      </c>
      <c r="E302" t="s">
        <v>639</v>
      </c>
      <c r="F302" t="s">
        <v>13</v>
      </c>
      <c r="G302" t="s">
        <v>74</v>
      </c>
      <c r="H302" t="s">
        <v>15</v>
      </c>
      <c r="I302" t="s">
        <v>16</v>
      </c>
      <c r="J302" s="6">
        <v>46030</v>
      </c>
      <c r="K302" t="s">
        <v>75</v>
      </c>
      <c r="L302">
        <f>tblCatalogo[[#This Row],[Costo_Base]]*21</f>
        <v>136.5</v>
      </c>
    </row>
    <row r="303" spans="1:12" x14ac:dyDescent="0.35">
      <c r="A303" t="s">
        <v>640</v>
      </c>
      <c r="B303">
        <v>7</v>
      </c>
      <c r="C303" t="s">
        <v>496</v>
      </c>
      <c r="D303" t="s">
        <v>72</v>
      </c>
      <c r="E303" t="s">
        <v>644</v>
      </c>
      <c r="F303" t="s">
        <v>13</v>
      </c>
      <c r="G303" t="s">
        <v>74</v>
      </c>
      <c r="H303" t="s">
        <v>15</v>
      </c>
      <c r="I303" t="s">
        <v>16</v>
      </c>
      <c r="J303" s="6">
        <v>46030</v>
      </c>
      <c r="K303" t="s">
        <v>75</v>
      </c>
      <c r="L303">
        <f>tblCatalogo[[#This Row],[Costo_Base]]*21</f>
        <v>147</v>
      </c>
    </row>
    <row r="304" spans="1:12" x14ac:dyDescent="0.35">
      <c r="A304" t="s">
        <v>641</v>
      </c>
      <c r="B304">
        <v>7</v>
      </c>
      <c r="C304" t="s">
        <v>499</v>
      </c>
      <c r="D304" t="s">
        <v>72</v>
      </c>
      <c r="E304" t="s">
        <v>644</v>
      </c>
      <c r="F304" t="s">
        <v>13</v>
      </c>
      <c r="G304" t="s">
        <v>74</v>
      </c>
      <c r="H304" t="s">
        <v>15</v>
      </c>
      <c r="I304" t="s">
        <v>16</v>
      </c>
      <c r="J304" s="6">
        <v>46030</v>
      </c>
      <c r="K304" t="s">
        <v>75</v>
      </c>
      <c r="L304">
        <f>tblCatalogo[[#This Row],[Costo_Base]]*21</f>
        <v>147</v>
      </c>
    </row>
    <row r="305" spans="1:12" x14ac:dyDescent="0.35">
      <c r="A305" t="s">
        <v>642</v>
      </c>
      <c r="B305">
        <v>7</v>
      </c>
      <c r="C305" t="s">
        <v>501</v>
      </c>
      <c r="D305" t="s">
        <v>72</v>
      </c>
      <c r="E305" t="s">
        <v>644</v>
      </c>
      <c r="F305" t="s">
        <v>13</v>
      </c>
      <c r="G305" t="s">
        <v>74</v>
      </c>
      <c r="H305" t="s">
        <v>15</v>
      </c>
      <c r="I305" t="s">
        <v>16</v>
      </c>
      <c r="J305" s="6">
        <v>46030</v>
      </c>
      <c r="K305" t="s">
        <v>75</v>
      </c>
      <c r="L305">
        <f>tblCatalogo[[#This Row],[Costo_Base]]*21</f>
        <v>147</v>
      </c>
    </row>
    <row r="306" spans="1:12" x14ac:dyDescent="0.35">
      <c r="A306" t="s">
        <v>643</v>
      </c>
      <c r="B306">
        <v>7</v>
      </c>
      <c r="C306" t="s">
        <v>503</v>
      </c>
      <c r="D306" t="s">
        <v>72</v>
      </c>
      <c r="E306" t="s">
        <v>644</v>
      </c>
      <c r="F306" t="s">
        <v>13</v>
      </c>
      <c r="G306" t="s">
        <v>74</v>
      </c>
      <c r="H306" t="s">
        <v>15</v>
      </c>
      <c r="I306" t="s">
        <v>16</v>
      </c>
      <c r="J306" s="6">
        <v>46030</v>
      </c>
      <c r="K306" t="s">
        <v>75</v>
      </c>
      <c r="L306">
        <f>tblCatalogo[[#This Row],[Costo_Base]]*21</f>
        <v>147</v>
      </c>
    </row>
    <row r="307" spans="1:12" x14ac:dyDescent="0.35">
      <c r="A307" t="s">
        <v>645</v>
      </c>
      <c r="B307">
        <v>7.75</v>
      </c>
      <c r="C307" t="s">
        <v>505</v>
      </c>
      <c r="D307" t="s">
        <v>72</v>
      </c>
      <c r="E307" t="s">
        <v>649</v>
      </c>
      <c r="F307" t="s">
        <v>13</v>
      </c>
      <c r="G307" t="s">
        <v>74</v>
      </c>
      <c r="H307" t="s">
        <v>15</v>
      </c>
      <c r="I307" t="s">
        <v>16</v>
      </c>
      <c r="J307" s="6">
        <v>46030</v>
      </c>
      <c r="K307" t="s">
        <v>75</v>
      </c>
      <c r="L307">
        <f>tblCatalogo[[#This Row],[Costo_Base]]*21</f>
        <v>162.75</v>
      </c>
    </row>
    <row r="308" spans="1:12" x14ac:dyDescent="0.35">
      <c r="A308" t="s">
        <v>646</v>
      </c>
      <c r="B308">
        <v>7.75</v>
      </c>
      <c r="C308" t="s">
        <v>508</v>
      </c>
      <c r="D308" t="s">
        <v>72</v>
      </c>
      <c r="E308" t="s">
        <v>649</v>
      </c>
      <c r="F308" t="s">
        <v>13</v>
      </c>
      <c r="G308" t="s">
        <v>74</v>
      </c>
      <c r="H308" t="s">
        <v>15</v>
      </c>
      <c r="I308" t="s">
        <v>16</v>
      </c>
      <c r="J308" s="6">
        <v>46030</v>
      </c>
      <c r="K308" t="s">
        <v>75</v>
      </c>
      <c r="L308">
        <f>tblCatalogo[[#This Row],[Costo_Base]]*21</f>
        <v>162.75</v>
      </c>
    </row>
    <row r="309" spans="1:12" x14ac:dyDescent="0.35">
      <c r="A309" t="s">
        <v>647</v>
      </c>
      <c r="B309">
        <v>7.75</v>
      </c>
      <c r="C309" t="s">
        <v>510</v>
      </c>
      <c r="D309" t="s">
        <v>72</v>
      </c>
      <c r="E309" t="s">
        <v>649</v>
      </c>
      <c r="F309" t="s">
        <v>13</v>
      </c>
      <c r="G309" t="s">
        <v>74</v>
      </c>
      <c r="H309" t="s">
        <v>15</v>
      </c>
      <c r="I309" t="s">
        <v>16</v>
      </c>
      <c r="J309" s="6">
        <v>46030</v>
      </c>
      <c r="K309" t="s">
        <v>75</v>
      </c>
      <c r="L309">
        <f>tblCatalogo[[#This Row],[Costo_Base]]*21</f>
        <v>162.75</v>
      </c>
    </row>
    <row r="310" spans="1:12" x14ac:dyDescent="0.35">
      <c r="A310" t="s">
        <v>648</v>
      </c>
      <c r="B310">
        <v>7.75</v>
      </c>
      <c r="C310" t="s">
        <v>512</v>
      </c>
      <c r="D310" t="s">
        <v>72</v>
      </c>
      <c r="E310" t="s">
        <v>649</v>
      </c>
      <c r="F310" t="s">
        <v>13</v>
      </c>
      <c r="G310" t="s">
        <v>74</v>
      </c>
      <c r="H310" t="s">
        <v>15</v>
      </c>
      <c r="I310" t="s">
        <v>16</v>
      </c>
      <c r="J310" s="6">
        <v>46030</v>
      </c>
      <c r="K310" t="s">
        <v>75</v>
      </c>
      <c r="L310">
        <f>tblCatalogo[[#This Row],[Costo_Base]]*21</f>
        <v>162.75</v>
      </c>
    </row>
    <row r="311" spans="1:12" x14ac:dyDescent="0.35">
      <c r="A311" t="s">
        <v>650</v>
      </c>
      <c r="B311">
        <v>8.25</v>
      </c>
      <c r="C311" t="s">
        <v>515</v>
      </c>
      <c r="D311" t="s">
        <v>72</v>
      </c>
      <c r="E311" t="s">
        <v>654</v>
      </c>
      <c r="F311" t="s">
        <v>13</v>
      </c>
      <c r="G311" t="s">
        <v>74</v>
      </c>
      <c r="H311" t="s">
        <v>15</v>
      </c>
      <c r="I311" t="s">
        <v>16</v>
      </c>
      <c r="J311" s="6">
        <v>46030</v>
      </c>
      <c r="K311" t="s">
        <v>75</v>
      </c>
      <c r="L311">
        <f>tblCatalogo[[#This Row],[Costo_Base]]*21</f>
        <v>173.25</v>
      </c>
    </row>
    <row r="312" spans="1:12" x14ac:dyDescent="0.35">
      <c r="A312" t="s">
        <v>651</v>
      </c>
      <c r="B312">
        <v>8.25</v>
      </c>
      <c r="C312" t="s">
        <v>517</v>
      </c>
      <c r="D312" t="s">
        <v>72</v>
      </c>
      <c r="E312" t="s">
        <v>654</v>
      </c>
      <c r="F312" t="s">
        <v>13</v>
      </c>
      <c r="G312" t="s">
        <v>74</v>
      </c>
      <c r="H312" t="s">
        <v>15</v>
      </c>
      <c r="I312" t="s">
        <v>16</v>
      </c>
      <c r="J312" s="6">
        <v>46030</v>
      </c>
      <c r="K312" t="s">
        <v>75</v>
      </c>
      <c r="L312">
        <f>tblCatalogo[[#This Row],[Costo_Base]]*21</f>
        <v>173.25</v>
      </c>
    </row>
    <row r="313" spans="1:12" x14ac:dyDescent="0.35">
      <c r="A313" t="s">
        <v>652</v>
      </c>
      <c r="B313">
        <v>8.25</v>
      </c>
      <c r="C313" t="s">
        <v>519</v>
      </c>
      <c r="D313" t="s">
        <v>72</v>
      </c>
      <c r="E313" t="s">
        <v>654</v>
      </c>
      <c r="F313" t="s">
        <v>13</v>
      </c>
      <c r="G313" t="s">
        <v>74</v>
      </c>
      <c r="H313" t="s">
        <v>15</v>
      </c>
      <c r="I313" t="s">
        <v>16</v>
      </c>
      <c r="J313" s="6">
        <v>46030</v>
      </c>
      <c r="K313" t="s">
        <v>75</v>
      </c>
      <c r="L313">
        <f>tblCatalogo[[#This Row],[Costo_Base]]*21</f>
        <v>173.25</v>
      </c>
    </row>
    <row r="314" spans="1:12" x14ac:dyDescent="0.35">
      <c r="A314" t="s">
        <v>653</v>
      </c>
      <c r="B314">
        <v>8.25</v>
      </c>
      <c r="C314" t="s">
        <v>521</v>
      </c>
      <c r="D314" t="s">
        <v>72</v>
      </c>
      <c r="E314" t="s">
        <v>654</v>
      </c>
      <c r="F314" t="s">
        <v>13</v>
      </c>
      <c r="G314" t="s">
        <v>74</v>
      </c>
      <c r="H314" t="s">
        <v>15</v>
      </c>
      <c r="I314" t="s">
        <v>16</v>
      </c>
      <c r="J314" s="6">
        <v>46030</v>
      </c>
      <c r="K314" t="s">
        <v>75</v>
      </c>
      <c r="L314">
        <f>tblCatalogo[[#This Row],[Costo_Base]]*21</f>
        <v>173.25</v>
      </c>
    </row>
    <row r="315" spans="1:12" x14ac:dyDescent="0.35">
      <c r="A315" t="s">
        <v>655</v>
      </c>
      <c r="B315">
        <v>9.25</v>
      </c>
      <c r="C315" t="s">
        <v>523</v>
      </c>
      <c r="D315" t="s">
        <v>72</v>
      </c>
      <c r="E315" t="s">
        <v>659</v>
      </c>
      <c r="F315" t="s">
        <v>13</v>
      </c>
      <c r="G315" t="s">
        <v>74</v>
      </c>
      <c r="H315" t="s">
        <v>15</v>
      </c>
      <c r="I315" t="s">
        <v>16</v>
      </c>
      <c r="J315" s="6">
        <v>46030</v>
      </c>
      <c r="K315" t="s">
        <v>75</v>
      </c>
      <c r="L315">
        <f>tblCatalogo[[#This Row],[Costo_Base]]*21</f>
        <v>194.25</v>
      </c>
    </row>
    <row r="316" spans="1:12" x14ac:dyDescent="0.35">
      <c r="A316" t="s">
        <v>656</v>
      </c>
      <c r="B316">
        <v>9.25</v>
      </c>
      <c r="C316" t="s">
        <v>526</v>
      </c>
      <c r="D316" t="s">
        <v>72</v>
      </c>
      <c r="E316" t="s">
        <v>659</v>
      </c>
      <c r="F316" t="s">
        <v>13</v>
      </c>
      <c r="G316" t="s">
        <v>74</v>
      </c>
      <c r="H316" t="s">
        <v>15</v>
      </c>
      <c r="I316" t="s">
        <v>16</v>
      </c>
      <c r="J316" s="6">
        <v>46030</v>
      </c>
      <c r="K316" t="s">
        <v>75</v>
      </c>
      <c r="L316">
        <f>tblCatalogo[[#This Row],[Costo_Base]]*21</f>
        <v>194.25</v>
      </c>
    </row>
    <row r="317" spans="1:12" x14ac:dyDescent="0.35">
      <c r="A317" t="s">
        <v>657</v>
      </c>
      <c r="B317">
        <v>9.25</v>
      </c>
      <c r="C317" t="s">
        <v>528</v>
      </c>
      <c r="D317" t="s">
        <v>72</v>
      </c>
      <c r="E317" t="s">
        <v>659</v>
      </c>
      <c r="F317" t="s">
        <v>13</v>
      </c>
      <c r="G317" t="s">
        <v>74</v>
      </c>
      <c r="H317" t="s">
        <v>15</v>
      </c>
      <c r="I317" t="s">
        <v>16</v>
      </c>
      <c r="J317" s="6">
        <v>46030</v>
      </c>
      <c r="K317" t="s">
        <v>75</v>
      </c>
      <c r="L317">
        <f>tblCatalogo[[#This Row],[Costo_Base]]*21</f>
        <v>194.25</v>
      </c>
    </row>
    <row r="318" spans="1:12" x14ac:dyDescent="0.35">
      <c r="A318" t="s">
        <v>658</v>
      </c>
      <c r="B318">
        <v>9.25</v>
      </c>
      <c r="C318" t="s">
        <v>530</v>
      </c>
      <c r="D318" t="s">
        <v>72</v>
      </c>
      <c r="E318" t="s">
        <v>659</v>
      </c>
      <c r="F318" t="s">
        <v>13</v>
      </c>
      <c r="G318" t="s">
        <v>74</v>
      </c>
      <c r="H318" t="s">
        <v>15</v>
      </c>
      <c r="I318" t="s">
        <v>16</v>
      </c>
      <c r="J318" s="6">
        <v>46030</v>
      </c>
      <c r="K318" t="s">
        <v>75</v>
      </c>
      <c r="L318">
        <f>tblCatalogo[[#This Row],[Costo_Base]]*21</f>
        <v>194.25</v>
      </c>
    </row>
    <row r="319" spans="1:12" x14ac:dyDescent="0.35">
      <c r="A319" t="s">
        <v>660</v>
      </c>
      <c r="B319">
        <v>7</v>
      </c>
      <c r="C319" t="s">
        <v>665</v>
      </c>
      <c r="D319" t="s">
        <v>72</v>
      </c>
      <c r="E319" t="s">
        <v>664</v>
      </c>
      <c r="F319" t="s">
        <v>13</v>
      </c>
      <c r="G319" t="s">
        <v>74</v>
      </c>
      <c r="H319" t="s">
        <v>15</v>
      </c>
      <c r="I319" t="s">
        <v>16</v>
      </c>
      <c r="J319" s="6">
        <v>46030</v>
      </c>
      <c r="K319" t="s">
        <v>75</v>
      </c>
      <c r="L319">
        <f>tblCatalogo[[#This Row],[Costo_Base]]*21</f>
        <v>147</v>
      </c>
    </row>
    <row r="320" spans="1:12" x14ac:dyDescent="0.35">
      <c r="A320" t="s">
        <v>661</v>
      </c>
      <c r="B320">
        <v>7</v>
      </c>
      <c r="C320" t="s">
        <v>666</v>
      </c>
      <c r="D320" t="s">
        <v>72</v>
      </c>
      <c r="E320" t="s">
        <v>664</v>
      </c>
      <c r="F320" t="s">
        <v>13</v>
      </c>
      <c r="G320" t="s">
        <v>74</v>
      </c>
      <c r="H320" t="s">
        <v>15</v>
      </c>
      <c r="I320" t="s">
        <v>16</v>
      </c>
      <c r="J320" s="6">
        <v>46030</v>
      </c>
      <c r="K320" t="s">
        <v>75</v>
      </c>
      <c r="L320">
        <f>tblCatalogo[[#This Row],[Costo_Base]]*21</f>
        <v>147</v>
      </c>
    </row>
    <row r="321" spans="1:12" x14ac:dyDescent="0.35">
      <c r="A321" t="s">
        <v>662</v>
      </c>
      <c r="B321">
        <v>7</v>
      </c>
      <c r="C321" t="s">
        <v>667</v>
      </c>
      <c r="D321" t="s">
        <v>72</v>
      </c>
      <c r="E321" t="s">
        <v>664</v>
      </c>
      <c r="F321" t="s">
        <v>13</v>
      </c>
      <c r="G321" t="s">
        <v>74</v>
      </c>
      <c r="H321" t="s">
        <v>15</v>
      </c>
      <c r="I321" t="s">
        <v>16</v>
      </c>
      <c r="J321" s="6">
        <v>46030</v>
      </c>
      <c r="K321" t="s">
        <v>75</v>
      </c>
      <c r="L321">
        <f>tblCatalogo[[#This Row],[Costo_Base]]*21</f>
        <v>147</v>
      </c>
    </row>
    <row r="322" spans="1:12" x14ac:dyDescent="0.35">
      <c r="A322" t="s">
        <v>663</v>
      </c>
      <c r="B322">
        <v>7</v>
      </c>
      <c r="C322" t="s">
        <v>668</v>
      </c>
      <c r="D322" t="s">
        <v>72</v>
      </c>
      <c r="E322" t="s">
        <v>664</v>
      </c>
      <c r="F322" t="s">
        <v>13</v>
      </c>
      <c r="G322" t="s">
        <v>74</v>
      </c>
      <c r="H322" t="s">
        <v>15</v>
      </c>
      <c r="I322" t="s">
        <v>16</v>
      </c>
      <c r="J322" s="6">
        <v>46030</v>
      </c>
      <c r="K322" t="s">
        <v>75</v>
      </c>
      <c r="L322">
        <f>tblCatalogo[[#This Row],[Costo_Base]]*21</f>
        <v>147</v>
      </c>
    </row>
    <row r="323" spans="1:12" x14ac:dyDescent="0.35">
      <c r="A323" t="s">
        <v>669</v>
      </c>
      <c r="B323">
        <v>7.75</v>
      </c>
      <c r="C323" t="s">
        <v>496</v>
      </c>
      <c r="D323" t="s">
        <v>72</v>
      </c>
      <c r="E323" t="s">
        <v>673</v>
      </c>
      <c r="F323" t="s">
        <v>13</v>
      </c>
      <c r="G323" t="s">
        <v>74</v>
      </c>
      <c r="H323" t="s">
        <v>15</v>
      </c>
      <c r="I323" t="s">
        <v>16</v>
      </c>
      <c r="J323" s="6">
        <v>46030</v>
      </c>
      <c r="K323" t="s">
        <v>75</v>
      </c>
      <c r="L323">
        <f>tblCatalogo[[#This Row],[Costo_Base]]*21</f>
        <v>162.75</v>
      </c>
    </row>
    <row r="324" spans="1:12" x14ac:dyDescent="0.35">
      <c r="A324" t="s">
        <v>670</v>
      </c>
      <c r="B324">
        <v>7.75</v>
      </c>
      <c r="C324" t="s">
        <v>499</v>
      </c>
      <c r="D324" t="s">
        <v>72</v>
      </c>
      <c r="E324" t="s">
        <v>673</v>
      </c>
      <c r="F324" t="s">
        <v>13</v>
      </c>
      <c r="G324" t="s">
        <v>74</v>
      </c>
      <c r="H324" t="s">
        <v>15</v>
      </c>
      <c r="I324" t="s">
        <v>16</v>
      </c>
      <c r="J324" s="6">
        <v>46030</v>
      </c>
      <c r="K324" t="s">
        <v>75</v>
      </c>
      <c r="L324">
        <f>tblCatalogo[[#This Row],[Costo_Base]]*21</f>
        <v>162.75</v>
      </c>
    </row>
    <row r="325" spans="1:12" x14ac:dyDescent="0.35">
      <c r="A325" t="s">
        <v>671</v>
      </c>
      <c r="B325">
        <v>7.75</v>
      </c>
      <c r="C325" t="s">
        <v>501</v>
      </c>
      <c r="D325" t="s">
        <v>72</v>
      </c>
      <c r="E325" t="s">
        <v>673</v>
      </c>
      <c r="F325" t="s">
        <v>13</v>
      </c>
      <c r="G325" t="s">
        <v>74</v>
      </c>
      <c r="H325" t="s">
        <v>15</v>
      </c>
      <c r="I325" t="s">
        <v>16</v>
      </c>
      <c r="J325" s="6">
        <v>46030</v>
      </c>
      <c r="K325" t="s">
        <v>75</v>
      </c>
      <c r="L325">
        <f>tblCatalogo[[#This Row],[Costo_Base]]*21</f>
        <v>162.75</v>
      </c>
    </row>
    <row r="326" spans="1:12" x14ac:dyDescent="0.35">
      <c r="A326" t="s">
        <v>672</v>
      </c>
      <c r="B326">
        <v>7.75</v>
      </c>
      <c r="C326" t="s">
        <v>503</v>
      </c>
      <c r="D326" t="s">
        <v>72</v>
      </c>
      <c r="E326" t="s">
        <v>673</v>
      </c>
      <c r="F326" t="s">
        <v>13</v>
      </c>
      <c r="G326" t="s">
        <v>74</v>
      </c>
      <c r="H326" t="s">
        <v>15</v>
      </c>
      <c r="I326" t="s">
        <v>16</v>
      </c>
      <c r="J326" s="6">
        <v>46030</v>
      </c>
      <c r="K326" t="s">
        <v>75</v>
      </c>
      <c r="L326">
        <f>tblCatalogo[[#This Row],[Costo_Base]]*21</f>
        <v>162.75</v>
      </c>
    </row>
    <row r="327" spans="1:12" x14ac:dyDescent="0.35">
      <c r="A327" t="s">
        <v>674</v>
      </c>
      <c r="B327">
        <v>8.25</v>
      </c>
      <c r="C327" t="s">
        <v>505</v>
      </c>
      <c r="D327" t="s">
        <v>72</v>
      </c>
      <c r="E327" t="s">
        <v>678</v>
      </c>
      <c r="F327" t="s">
        <v>13</v>
      </c>
      <c r="G327" t="s">
        <v>74</v>
      </c>
      <c r="H327" t="s">
        <v>15</v>
      </c>
      <c r="I327" t="s">
        <v>16</v>
      </c>
      <c r="J327" s="6">
        <v>46030</v>
      </c>
      <c r="K327" t="s">
        <v>75</v>
      </c>
      <c r="L327">
        <f>tblCatalogo[[#This Row],[Costo_Base]]*21</f>
        <v>173.25</v>
      </c>
    </row>
    <row r="328" spans="1:12" x14ac:dyDescent="0.35">
      <c r="A328" t="s">
        <v>675</v>
      </c>
      <c r="B328">
        <v>8.25</v>
      </c>
      <c r="C328" t="s">
        <v>508</v>
      </c>
      <c r="D328" t="s">
        <v>72</v>
      </c>
      <c r="E328" t="s">
        <v>678</v>
      </c>
      <c r="F328" t="s">
        <v>13</v>
      </c>
      <c r="G328" t="s">
        <v>74</v>
      </c>
      <c r="H328" t="s">
        <v>15</v>
      </c>
      <c r="I328" t="s">
        <v>16</v>
      </c>
      <c r="J328" s="6">
        <v>46030</v>
      </c>
      <c r="K328" t="s">
        <v>75</v>
      </c>
      <c r="L328">
        <f>tblCatalogo[[#This Row],[Costo_Base]]*21</f>
        <v>173.25</v>
      </c>
    </row>
    <row r="329" spans="1:12" x14ac:dyDescent="0.35">
      <c r="A329" t="s">
        <v>676</v>
      </c>
      <c r="B329">
        <v>8.25</v>
      </c>
      <c r="C329" t="s">
        <v>510</v>
      </c>
      <c r="D329" t="s">
        <v>72</v>
      </c>
      <c r="E329" t="s">
        <v>678</v>
      </c>
      <c r="F329" t="s">
        <v>13</v>
      </c>
      <c r="G329" t="s">
        <v>74</v>
      </c>
      <c r="H329" t="s">
        <v>15</v>
      </c>
      <c r="I329" t="s">
        <v>16</v>
      </c>
      <c r="J329" s="6">
        <v>46030</v>
      </c>
      <c r="K329" t="s">
        <v>75</v>
      </c>
      <c r="L329">
        <f>tblCatalogo[[#This Row],[Costo_Base]]*21</f>
        <v>173.25</v>
      </c>
    </row>
    <row r="330" spans="1:12" x14ac:dyDescent="0.35">
      <c r="A330" t="s">
        <v>677</v>
      </c>
      <c r="B330">
        <v>8.25</v>
      </c>
      <c r="C330" t="s">
        <v>512</v>
      </c>
      <c r="D330" t="s">
        <v>72</v>
      </c>
      <c r="E330" t="s">
        <v>678</v>
      </c>
      <c r="F330" t="s">
        <v>13</v>
      </c>
      <c r="G330" t="s">
        <v>74</v>
      </c>
      <c r="H330" t="s">
        <v>15</v>
      </c>
      <c r="I330" t="s">
        <v>16</v>
      </c>
      <c r="J330" s="6">
        <v>46030</v>
      </c>
      <c r="K330" t="s">
        <v>75</v>
      </c>
      <c r="L330">
        <f>tblCatalogo[[#This Row],[Costo_Base]]*21</f>
        <v>173.25</v>
      </c>
    </row>
    <row r="331" spans="1:12" x14ac:dyDescent="0.35">
      <c r="A331" t="s">
        <v>679</v>
      </c>
      <c r="B331">
        <v>8.75</v>
      </c>
      <c r="C331" t="s">
        <v>515</v>
      </c>
      <c r="D331" t="s">
        <v>72</v>
      </c>
      <c r="E331" t="s">
        <v>683</v>
      </c>
      <c r="F331" t="s">
        <v>13</v>
      </c>
      <c r="G331" t="s">
        <v>74</v>
      </c>
      <c r="H331" t="s">
        <v>15</v>
      </c>
      <c r="I331" t="s">
        <v>16</v>
      </c>
      <c r="J331" s="6">
        <v>46030</v>
      </c>
      <c r="K331" t="s">
        <v>75</v>
      </c>
      <c r="L331">
        <f>tblCatalogo[[#This Row],[Costo_Base]]*21</f>
        <v>183.75</v>
      </c>
    </row>
    <row r="332" spans="1:12" x14ac:dyDescent="0.35">
      <c r="A332" t="s">
        <v>680</v>
      </c>
      <c r="B332">
        <v>8.75</v>
      </c>
      <c r="C332" t="s">
        <v>517</v>
      </c>
      <c r="D332" t="s">
        <v>72</v>
      </c>
      <c r="E332" t="s">
        <v>683</v>
      </c>
      <c r="F332" t="s">
        <v>13</v>
      </c>
      <c r="G332" t="s">
        <v>74</v>
      </c>
      <c r="H332" t="s">
        <v>15</v>
      </c>
      <c r="I332" t="s">
        <v>16</v>
      </c>
      <c r="J332" s="6">
        <v>46030</v>
      </c>
      <c r="K332" t="s">
        <v>75</v>
      </c>
      <c r="L332">
        <f>tblCatalogo[[#This Row],[Costo_Base]]*21</f>
        <v>183.75</v>
      </c>
    </row>
    <row r="333" spans="1:12" x14ac:dyDescent="0.35">
      <c r="A333" t="s">
        <v>681</v>
      </c>
      <c r="B333">
        <v>8.75</v>
      </c>
      <c r="C333" t="s">
        <v>519</v>
      </c>
      <c r="D333" t="s">
        <v>72</v>
      </c>
      <c r="E333" t="s">
        <v>683</v>
      </c>
      <c r="F333" t="s">
        <v>13</v>
      </c>
      <c r="G333" t="s">
        <v>74</v>
      </c>
      <c r="H333" t="s">
        <v>15</v>
      </c>
      <c r="I333" t="s">
        <v>16</v>
      </c>
      <c r="J333" s="6">
        <v>46030</v>
      </c>
      <c r="K333" t="s">
        <v>75</v>
      </c>
      <c r="L333">
        <f>tblCatalogo[[#This Row],[Costo_Base]]*21</f>
        <v>183.75</v>
      </c>
    </row>
    <row r="334" spans="1:12" x14ac:dyDescent="0.35">
      <c r="A334" t="s">
        <v>682</v>
      </c>
      <c r="B334">
        <v>8.75</v>
      </c>
      <c r="C334" t="s">
        <v>521</v>
      </c>
      <c r="D334" t="s">
        <v>72</v>
      </c>
      <c r="E334" t="s">
        <v>683</v>
      </c>
      <c r="F334" t="s">
        <v>13</v>
      </c>
      <c r="G334" t="s">
        <v>74</v>
      </c>
      <c r="H334" t="s">
        <v>15</v>
      </c>
      <c r="I334" t="s">
        <v>16</v>
      </c>
      <c r="J334" s="6">
        <v>46030</v>
      </c>
      <c r="K334" t="s">
        <v>75</v>
      </c>
      <c r="L334">
        <f>tblCatalogo[[#This Row],[Costo_Base]]*21</f>
        <v>183.75</v>
      </c>
    </row>
    <row r="335" spans="1:12" x14ac:dyDescent="0.35">
      <c r="A335" t="s">
        <v>684</v>
      </c>
      <c r="B335">
        <v>9.75</v>
      </c>
      <c r="C335" t="s">
        <v>523</v>
      </c>
      <c r="D335" t="s">
        <v>72</v>
      </c>
      <c r="E335" t="s">
        <v>688</v>
      </c>
      <c r="F335" t="s">
        <v>13</v>
      </c>
      <c r="G335" t="s">
        <v>74</v>
      </c>
      <c r="H335" t="s">
        <v>15</v>
      </c>
      <c r="I335" t="s">
        <v>16</v>
      </c>
      <c r="J335" s="6">
        <v>46030</v>
      </c>
      <c r="K335" t="s">
        <v>75</v>
      </c>
      <c r="L335">
        <f>tblCatalogo[[#This Row],[Costo_Base]]*21</f>
        <v>204.75</v>
      </c>
    </row>
    <row r="336" spans="1:12" x14ac:dyDescent="0.35">
      <c r="A336" t="s">
        <v>685</v>
      </c>
      <c r="B336">
        <v>9.75</v>
      </c>
      <c r="C336" t="s">
        <v>526</v>
      </c>
      <c r="D336" t="s">
        <v>72</v>
      </c>
      <c r="E336" t="s">
        <v>688</v>
      </c>
      <c r="F336" t="s">
        <v>13</v>
      </c>
      <c r="G336" t="s">
        <v>74</v>
      </c>
      <c r="H336" t="s">
        <v>15</v>
      </c>
      <c r="I336" t="s">
        <v>16</v>
      </c>
      <c r="J336" s="6">
        <v>46030</v>
      </c>
      <c r="K336" t="s">
        <v>75</v>
      </c>
      <c r="L336">
        <f>tblCatalogo[[#This Row],[Costo_Base]]*21</f>
        <v>204.75</v>
      </c>
    </row>
    <row r="337" spans="1:12" x14ac:dyDescent="0.35">
      <c r="A337" t="s">
        <v>686</v>
      </c>
      <c r="B337">
        <v>9.75</v>
      </c>
      <c r="C337" t="s">
        <v>528</v>
      </c>
      <c r="D337" t="s">
        <v>72</v>
      </c>
      <c r="E337" t="s">
        <v>688</v>
      </c>
      <c r="F337" t="s">
        <v>13</v>
      </c>
      <c r="G337" t="s">
        <v>74</v>
      </c>
      <c r="H337" t="s">
        <v>15</v>
      </c>
      <c r="I337" t="s">
        <v>16</v>
      </c>
      <c r="J337" s="6">
        <v>46030</v>
      </c>
      <c r="K337" t="s">
        <v>75</v>
      </c>
      <c r="L337">
        <f>tblCatalogo[[#This Row],[Costo_Base]]*21</f>
        <v>204.75</v>
      </c>
    </row>
    <row r="338" spans="1:12" x14ac:dyDescent="0.35">
      <c r="A338" t="s">
        <v>687</v>
      </c>
      <c r="B338">
        <v>9.75</v>
      </c>
      <c r="C338" t="s">
        <v>530</v>
      </c>
      <c r="D338" t="s">
        <v>72</v>
      </c>
      <c r="E338" t="s">
        <v>688</v>
      </c>
      <c r="F338" t="s">
        <v>13</v>
      </c>
      <c r="G338" t="s">
        <v>74</v>
      </c>
      <c r="H338" t="s">
        <v>15</v>
      </c>
      <c r="I338" t="s">
        <v>16</v>
      </c>
      <c r="J338" s="6">
        <v>46030</v>
      </c>
      <c r="K338" t="s">
        <v>75</v>
      </c>
      <c r="L338">
        <f>tblCatalogo[[#This Row],[Costo_Base]]*21</f>
        <v>204.75</v>
      </c>
    </row>
    <row r="339" spans="1:12" x14ac:dyDescent="0.35">
      <c r="A339" t="s">
        <v>689</v>
      </c>
      <c r="B339">
        <v>7</v>
      </c>
      <c r="C339" t="s">
        <v>487</v>
      </c>
      <c r="D339" t="s">
        <v>72</v>
      </c>
      <c r="E339" t="s">
        <v>693</v>
      </c>
      <c r="F339" t="s">
        <v>13</v>
      </c>
      <c r="G339" t="s">
        <v>74</v>
      </c>
      <c r="H339" t="s">
        <v>15</v>
      </c>
      <c r="I339" t="s">
        <v>16</v>
      </c>
      <c r="J339" s="6">
        <v>46030</v>
      </c>
      <c r="K339" t="s">
        <v>75</v>
      </c>
      <c r="L339">
        <f>tblCatalogo[[#This Row],[Costo_Base]]*21</f>
        <v>147</v>
      </c>
    </row>
    <row r="340" spans="1:12" x14ac:dyDescent="0.35">
      <c r="A340" t="s">
        <v>690</v>
      </c>
      <c r="B340">
        <v>7</v>
      </c>
      <c r="C340" t="s">
        <v>490</v>
      </c>
      <c r="D340" t="s">
        <v>72</v>
      </c>
      <c r="E340" t="s">
        <v>693</v>
      </c>
      <c r="F340" t="s">
        <v>13</v>
      </c>
      <c r="G340" t="s">
        <v>74</v>
      </c>
      <c r="H340" t="s">
        <v>15</v>
      </c>
      <c r="I340" t="s">
        <v>16</v>
      </c>
      <c r="J340" s="6">
        <v>46030</v>
      </c>
      <c r="K340" t="s">
        <v>75</v>
      </c>
      <c r="L340">
        <f>tblCatalogo[[#This Row],[Costo_Base]]*21</f>
        <v>147</v>
      </c>
    </row>
    <row r="341" spans="1:12" x14ac:dyDescent="0.35">
      <c r="A341" t="s">
        <v>691</v>
      </c>
      <c r="B341">
        <v>7</v>
      </c>
      <c r="C341" t="s">
        <v>492</v>
      </c>
      <c r="D341" t="s">
        <v>72</v>
      </c>
      <c r="E341" t="s">
        <v>693</v>
      </c>
      <c r="F341" t="s">
        <v>13</v>
      </c>
      <c r="G341" t="s">
        <v>74</v>
      </c>
      <c r="H341" t="s">
        <v>15</v>
      </c>
      <c r="I341" t="s">
        <v>16</v>
      </c>
      <c r="J341" s="6">
        <v>46030</v>
      </c>
      <c r="K341" t="s">
        <v>75</v>
      </c>
      <c r="L341">
        <f>tblCatalogo[[#This Row],[Costo_Base]]*21</f>
        <v>147</v>
      </c>
    </row>
    <row r="342" spans="1:12" x14ac:dyDescent="0.35">
      <c r="A342" t="s">
        <v>692</v>
      </c>
      <c r="B342">
        <v>7</v>
      </c>
      <c r="C342" t="s">
        <v>494</v>
      </c>
      <c r="D342" t="s">
        <v>72</v>
      </c>
      <c r="E342" t="s">
        <v>693</v>
      </c>
      <c r="F342" t="s">
        <v>13</v>
      </c>
      <c r="G342" t="s">
        <v>74</v>
      </c>
      <c r="H342" t="s">
        <v>15</v>
      </c>
      <c r="I342" t="s">
        <v>16</v>
      </c>
      <c r="J342" s="6">
        <v>46030</v>
      </c>
      <c r="K342" t="s">
        <v>75</v>
      </c>
      <c r="L342">
        <f>tblCatalogo[[#This Row],[Costo_Base]]*21</f>
        <v>147</v>
      </c>
    </row>
    <row r="343" spans="1:12" x14ac:dyDescent="0.35">
      <c r="A343" t="s">
        <v>694</v>
      </c>
      <c r="B343">
        <v>7.75</v>
      </c>
      <c r="C343" t="s">
        <v>496</v>
      </c>
      <c r="D343" t="s">
        <v>72</v>
      </c>
      <c r="E343" t="s">
        <v>698</v>
      </c>
      <c r="F343" t="s">
        <v>13</v>
      </c>
      <c r="G343" t="s">
        <v>74</v>
      </c>
      <c r="H343" t="s">
        <v>15</v>
      </c>
      <c r="I343" t="s">
        <v>16</v>
      </c>
      <c r="J343" s="6">
        <v>46030</v>
      </c>
      <c r="K343" t="s">
        <v>75</v>
      </c>
      <c r="L343">
        <f>tblCatalogo[[#This Row],[Costo_Base]]*21</f>
        <v>162.75</v>
      </c>
    </row>
    <row r="344" spans="1:12" x14ac:dyDescent="0.35">
      <c r="A344" t="s">
        <v>695</v>
      </c>
      <c r="B344">
        <v>7.75</v>
      </c>
      <c r="C344" t="s">
        <v>499</v>
      </c>
      <c r="D344" t="s">
        <v>72</v>
      </c>
      <c r="E344" t="s">
        <v>698</v>
      </c>
      <c r="F344" t="s">
        <v>13</v>
      </c>
      <c r="G344" t="s">
        <v>74</v>
      </c>
      <c r="H344" t="s">
        <v>15</v>
      </c>
      <c r="I344" t="s">
        <v>16</v>
      </c>
      <c r="J344" s="6">
        <v>46030</v>
      </c>
      <c r="K344" t="s">
        <v>75</v>
      </c>
      <c r="L344">
        <f>tblCatalogo[[#This Row],[Costo_Base]]*21</f>
        <v>162.75</v>
      </c>
    </row>
    <row r="345" spans="1:12" x14ac:dyDescent="0.35">
      <c r="A345" t="s">
        <v>696</v>
      </c>
      <c r="B345">
        <v>7.75</v>
      </c>
      <c r="C345" t="s">
        <v>501</v>
      </c>
      <c r="D345" t="s">
        <v>72</v>
      </c>
      <c r="E345" t="s">
        <v>698</v>
      </c>
      <c r="F345" t="s">
        <v>13</v>
      </c>
      <c r="G345" t="s">
        <v>74</v>
      </c>
      <c r="H345" t="s">
        <v>15</v>
      </c>
      <c r="I345" t="s">
        <v>16</v>
      </c>
      <c r="J345" s="6">
        <v>46030</v>
      </c>
      <c r="K345" t="s">
        <v>75</v>
      </c>
      <c r="L345">
        <f>tblCatalogo[[#This Row],[Costo_Base]]*21</f>
        <v>162.75</v>
      </c>
    </row>
    <row r="346" spans="1:12" x14ac:dyDescent="0.35">
      <c r="A346" t="s">
        <v>697</v>
      </c>
      <c r="B346">
        <v>7.75</v>
      </c>
      <c r="C346" t="s">
        <v>503</v>
      </c>
      <c r="D346" t="s">
        <v>72</v>
      </c>
      <c r="E346" t="s">
        <v>698</v>
      </c>
      <c r="F346" t="s">
        <v>13</v>
      </c>
      <c r="G346" t="s">
        <v>74</v>
      </c>
      <c r="H346" t="s">
        <v>15</v>
      </c>
      <c r="I346" t="s">
        <v>16</v>
      </c>
      <c r="J346" s="6">
        <v>46030</v>
      </c>
      <c r="K346" t="s">
        <v>75</v>
      </c>
      <c r="L346">
        <f>tblCatalogo[[#This Row],[Costo_Base]]*21</f>
        <v>162.75</v>
      </c>
    </row>
    <row r="347" spans="1:12" x14ac:dyDescent="0.35">
      <c r="A347" t="s">
        <v>699</v>
      </c>
      <c r="B347">
        <v>8.25</v>
      </c>
      <c r="C347" t="s">
        <v>505</v>
      </c>
      <c r="D347" t="s">
        <v>72</v>
      </c>
      <c r="E347" t="s">
        <v>703</v>
      </c>
      <c r="F347" t="s">
        <v>13</v>
      </c>
      <c r="G347" t="s">
        <v>74</v>
      </c>
      <c r="H347" t="s">
        <v>15</v>
      </c>
      <c r="I347" t="s">
        <v>16</v>
      </c>
      <c r="J347" s="6">
        <v>46030</v>
      </c>
      <c r="K347" t="s">
        <v>75</v>
      </c>
      <c r="L347">
        <f>tblCatalogo[[#This Row],[Costo_Base]]*21</f>
        <v>173.25</v>
      </c>
    </row>
    <row r="348" spans="1:12" x14ac:dyDescent="0.35">
      <c r="A348" t="s">
        <v>700</v>
      </c>
      <c r="B348">
        <v>8.25</v>
      </c>
      <c r="C348" t="s">
        <v>508</v>
      </c>
      <c r="D348" t="s">
        <v>72</v>
      </c>
      <c r="E348" t="s">
        <v>703</v>
      </c>
      <c r="F348" t="s">
        <v>13</v>
      </c>
      <c r="G348" t="s">
        <v>74</v>
      </c>
      <c r="H348" t="s">
        <v>15</v>
      </c>
      <c r="I348" t="s">
        <v>16</v>
      </c>
      <c r="J348" s="6">
        <v>46030</v>
      </c>
      <c r="K348" t="s">
        <v>75</v>
      </c>
      <c r="L348">
        <f>tblCatalogo[[#This Row],[Costo_Base]]*21</f>
        <v>173.25</v>
      </c>
    </row>
    <row r="349" spans="1:12" x14ac:dyDescent="0.35">
      <c r="A349" t="s">
        <v>701</v>
      </c>
      <c r="B349">
        <v>8.25</v>
      </c>
      <c r="C349" t="s">
        <v>510</v>
      </c>
      <c r="D349" t="s">
        <v>72</v>
      </c>
      <c r="E349" t="s">
        <v>703</v>
      </c>
      <c r="F349" t="s">
        <v>13</v>
      </c>
      <c r="G349" t="s">
        <v>74</v>
      </c>
      <c r="H349" t="s">
        <v>15</v>
      </c>
      <c r="I349" t="s">
        <v>16</v>
      </c>
      <c r="J349" s="6">
        <v>46030</v>
      </c>
      <c r="K349" t="s">
        <v>75</v>
      </c>
      <c r="L349">
        <f>tblCatalogo[[#This Row],[Costo_Base]]*21</f>
        <v>173.25</v>
      </c>
    </row>
    <row r="350" spans="1:12" x14ac:dyDescent="0.35">
      <c r="A350" t="s">
        <v>702</v>
      </c>
      <c r="B350">
        <v>8.25</v>
      </c>
      <c r="C350" t="s">
        <v>512</v>
      </c>
      <c r="D350" t="s">
        <v>72</v>
      </c>
      <c r="E350" t="s">
        <v>703</v>
      </c>
      <c r="F350" t="s">
        <v>13</v>
      </c>
      <c r="G350" t="s">
        <v>74</v>
      </c>
      <c r="H350" t="s">
        <v>15</v>
      </c>
      <c r="I350" t="s">
        <v>16</v>
      </c>
      <c r="J350" s="6">
        <v>46030</v>
      </c>
      <c r="K350" t="s">
        <v>75</v>
      </c>
      <c r="L350">
        <f>tblCatalogo[[#This Row],[Costo_Base]]*21</f>
        <v>173.25</v>
      </c>
    </row>
    <row r="351" spans="1:12" x14ac:dyDescent="0.35">
      <c r="A351" t="s">
        <v>704</v>
      </c>
      <c r="B351">
        <v>8.75</v>
      </c>
      <c r="C351" t="s">
        <v>515</v>
      </c>
      <c r="D351" t="s">
        <v>72</v>
      </c>
      <c r="E351" t="s">
        <v>708</v>
      </c>
      <c r="F351" t="s">
        <v>13</v>
      </c>
      <c r="G351" t="s">
        <v>74</v>
      </c>
      <c r="H351" t="s">
        <v>15</v>
      </c>
      <c r="I351" t="s">
        <v>16</v>
      </c>
      <c r="J351" s="6">
        <v>46030</v>
      </c>
      <c r="K351" t="s">
        <v>75</v>
      </c>
      <c r="L351">
        <f>tblCatalogo[[#This Row],[Costo_Base]]*21</f>
        <v>183.75</v>
      </c>
    </row>
    <row r="352" spans="1:12" x14ac:dyDescent="0.35">
      <c r="A352" t="s">
        <v>705</v>
      </c>
      <c r="B352">
        <v>8.75</v>
      </c>
      <c r="C352" t="s">
        <v>517</v>
      </c>
      <c r="D352" t="s">
        <v>72</v>
      </c>
      <c r="E352" t="s">
        <v>708</v>
      </c>
      <c r="F352" t="s">
        <v>13</v>
      </c>
      <c r="G352" t="s">
        <v>74</v>
      </c>
      <c r="H352" t="s">
        <v>15</v>
      </c>
      <c r="I352" t="s">
        <v>16</v>
      </c>
      <c r="J352" s="6">
        <v>46030</v>
      </c>
      <c r="K352" t="s">
        <v>75</v>
      </c>
      <c r="L352">
        <f>tblCatalogo[[#This Row],[Costo_Base]]*21</f>
        <v>183.75</v>
      </c>
    </row>
    <row r="353" spans="1:12" x14ac:dyDescent="0.35">
      <c r="A353" t="s">
        <v>706</v>
      </c>
      <c r="B353">
        <v>8.75</v>
      </c>
      <c r="C353" t="s">
        <v>519</v>
      </c>
      <c r="D353" t="s">
        <v>72</v>
      </c>
      <c r="E353" t="s">
        <v>708</v>
      </c>
      <c r="F353" t="s">
        <v>13</v>
      </c>
      <c r="G353" t="s">
        <v>74</v>
      </c>
      <c r="H353" t="s">
        <v>15</v>
      </c>
      <c r="I353" t="s">
        <v>16</v>
      </c>
      <c r="J353" s="6">
        <v>46030</v>
      </c>
      <c r="K353" t="s">
        <v>75</v>
      </c>
      <c r="L353">
        <f>tblCatalogo[[#This Row],[Costo_Base]]*21</f>
        <v>183.75</v>
      </c>
    </row>
    <row r="354" spans="1:12" x14ac:dyDescent="0.35">
      <c r="A354" t="s">
        <v>707</v>
      </c>
      <c r="B354">
        <v>8.75</v>
      </c>
      <c r="C354" t="s">
        <v>521</v>
      </c>
      <c r="D354" t="s">
        <v>72</v>
      </c>
      <c r="E354" t="s">
        <v>708</v>
      </c>
      <c r="F354" t="s">
        <v>13</v>
      </c>
      <c r="G354" t="s">
        <v>74</v>
      </c>
      <c r="H354" t="s">
        <v>15</v>
      </c>
      <c r="I354" t="s">
        <v>16</v>
      </c>
      <c r="J354" s="6">
        <v>46030</v>
      </c>
      <c r="K354" t="s">
        <v>75</v>
      </c>
      <c r="L354">
        <f>tblCatalogo[[#This Row],[Costo_Base]]*21</f>
        <v>183.75</v>
      </c>
    </row>
    <row r="355" spans="1:12" x14ac:dyDescent="0.35">
      <c r="A355" t="s">
        <v>709</v>
      </c>
      <c r="B355">
        <v>9.75</v>
      </c>
      <c r="C355" t="s">
        <v>523</v>
      </c>
      <c r="D355" t="s">
        <v>72</v>
      </c>
      <c r="E355" t="s">
        <v>713</v>
      </c>
      <c r="F355" t="s">
        <v>13</v>
      </c>
      <c r="G355" t="s">
        <v>74</v>
      </c>
      <c r="H355" t="s">
        <v>15</v>
      </c>
      <c r="I355" t="s">
        <v>16</v>
      </c>
      <c r="J355" s="6">
        <v>46030</v>
      </c>
      <c r="K355" t="s">
        <v>75</v>
      </c>
      <c r="L355">
        <f>tblCatalogo[[#This Row],[Costo_Base]]*21</f>
        <v>204.75</v>
      </c>
    </row>
    <row r="356" spans="1:12" x14ac:dyDescent="0.35">
      <c r="A356" t="s">
        <v>710</v>
      </c>
      <c r="B356">
        <v>9.75</v>
      </c>
      <c r="C356" t="s">
        <v>526</v>
      </c>
      <c r="D356" t="s">
        <v>72</v>
      </c>
      <c r="E356" t="s">
        <v>713</v>
      </c>
      <c r="F356" t="s">
        <v>13</v>
      </c>
      <c r="G356" t="s">
        <v>74</v>
      </c>
      <c r="H356" t="s">
        <v>15</v>
      </c>
      <c r="I356" t="s">
        <v>16</v>
      </c>
      <c r="J356" s="6">
        <v>46030</v>
      </c>
      <c r="K356" t="s">
        <v>75</v>
      </c>
      <c r="L356">
        <f>tblCatalogo[[#This Row],[Costo_Base]]*21</f>
        <v>204.75</v>
      </c>
    </row>
    <row r="357" spans="1:12" x14ac:dyDescent="0.35">
      <c r="A357" t="s">
        <v>711</v>
      </c>
      <c r="B357">
        <v>9.75</v>
      </c>
      <c r="C357" t="s">
        <v>528</v>
      </c>
      <c r="D357" t="s">
        <v>72</v>
      </c>
      <c r="E357" t="s">
        <v>713</v>
      </c>
      <c r="F357" t="s">
        <v>13</v>
      </c>
      <c r="G357" t="s">
        <v>74</v>
      </c>
      <c r="H357" t="s">
        <v>15</v>
      </c>
      <c r="I357" t="s">
        <v>16</v>
      </c>
      <c r="J357" s="6">
        <v>46030</v>
      </c>
      <c r="K357" t="s">
        <v>75</v>
      </c>
      <c r="L357">
        <f>tblCatalogo[[#This Row],[Costo_Base]]*21</f>
        <v>204.75</v>
      </c>
    </row>
    <row r="358" spans="1:12" x14ac:dyDescent="0.35">
      <c r="A358" t="s">
        <v>712</v>
      </c>
      <c r="B358">
        <v>9.75</v>
      </c>
      <c r="C358" t="s">
        <v>530</v>
      </c>
      <c r="D358" t="s">
        <v>72</v>
      </c>
      <c r="E358" t="s">
        <v>713</v>
      </c>
      <c r="F358" t="s">
        <v>13</v>
      </c>
      <c r="G358" t="s">
        <v>74</v>
      </c>
      <c r="H358" t="s">
        <v>15</v>
      </c>
      <c r="I358" t="s">
        <v>16</v>
      </c>
      <c r="J358" s="6">
        <v>46030</v>
      </c>
      <c r="K358" t="s">
        <v>75</v>
      </c>
      <c r="L358">
        <f>tblCatalogo[[#This Row],[Costo_Base]]*21</f>
        <v>204.75</v>
      </c>
    </row>
    <row r="359" spans="1:12" x14ac:dyDescent="0.35">
      <c r="A359" t="s">
        <v>714</v>
      </c>
      <c r="B359">
        <v>7</v>
      </c>
      <c r="C359" t="s">
        <v>734</v>
      </c>
      <c r="D359" t="s">
        <v>72</v>
      </c>
      <c r="E359" t="s">
        <v>739</v>
      </c>
      <c r="F359" t="s">
        <v>13</v>
      </c>
      <c r="G359" t="s">
        <v>74</v>
      </c>
      <c r="H359" t="s">
        <v>15</v>
      </c>
      <c r="I359" t="s">
        <v>16</v>
      </c>
      <c r="J359" s="6">
        <v>46030</v>
      </c>
      <c r="K359" t="s">
        <v>75</v>
      </c>
      <c r="L359">
        <f>tblCatalogo[[#This Row],[Costo_Base]]*21</f>
        <v>147</v>
      </c>
    </row>
    <row r="360" spans="1:12" x14ac:dyDescent="0.35">
      <c r="A360" t="s">
        <v>715</v>
      </c>
      <c r="B360">
        <v>7.75</v>
      </c>
      <c r="C360" t="s">
        <v>735</v>
      </c>
      <c r="D360" t="s">
        <v>72</v>
      </c>
      <c r="E360" t="s">
        <v>740</v>
      </c>
      <c r="F360" t="s">
        <v>13</v>
      </c>
      <c r="G360" t="s">
        <v>74</v>
      </c>
      <c r="H360" t="s">
        <v>15</v>
      </c>
      <c r="I360" t="s">
        <v>16</v>
      </c>
      <c r="J360" s="6">
        <v>46030</v>
      </c>
      <c r="K360" t="s">
        <v>75</v>
      </c>
      <c r="L360">
        <f>tblCatalogo[[#This Row],[Costo_Base]]*21</f>
        <v>162.75</v>
      </c>
    </row>
    <row r="361" spans="1:12" x14ac:dyDescent="0.35">
      <c r="A361" t="s">
        <v>716</v>
      </c>
      <c r="B361">
        <v>8.25</v>
      </c>
      <c r="C361" t="s">
        <v>736</v>
      </c>
      <c r="D361" t="s">
        <v>72</v>
      </c>
      <c r="E361" t="s">
        <v>741</v>
      </c>
      <c r="F361" t="s">
        <v>13</v>
      </c>
      <c r="G361" t="s">
        <v>74</v>
      </c>
      <c r="H361" t="s">
        <v>15</v>
      </c>
      <c r="I361" t="s">
        <v>16</v>
      </c>
      <c r="J361" s="6">
        <v>46030</v>
      </c>
      <c r="K361" t="s">
        <v>75</v>
      </c>
      <c r="L361">
        <f>tblCatalogo[[#This Row],[Costo_Base]]*21</f>
        <v>173.25</v>
      </c>
    </row>
    <row r="362" spans="1:12" x14ac:dyDescent="0.35">
      <c r="A362" t="s">
        <v>717</v>
      </c>
      <c r="B362">
        <v>8.75</v>
      </c>
      <c r="C362" t="s">
        <v>737</v>
      </c>
      <c r="D362" t="s">
        <v>72</v>
      </c>
      <c r="E362" t="s">
        <v>742</v>
      </c>
      <c r="F362" t="s">
        <v>13</v>
      </c>
      <c r="G362" t="s">
        <v>74</v>
      </c>
      <c r="H362" t="s">
        <v>15</v>
      </c>
      <c r="I362" t="s">
        <v>16</v>
      </c>
      <c r="J362" s="6">
        <v>46030</v>
      </c>
      <c r="K362" t="s">
        <v>75</v>
      </c>
      <c r="L362">
        <f>tblCatalogo[[#This Row],[Costo_Base]]*21</f>
        <v>183.75</v>
      </c>
    </row>
    <row r="363" spans="1:12" x14ac:dyDescent="0.35">
      <c r="A363" t="s">
        <v>718</v>
      </c>
      <c r="B363">
        <v>9.75</v>
      </c>
      <c r="C363" t="s">
        <v>738</v>
      </c>
      <c r="D363" t="s">
        <v>72</v>
      </c>
      <c r="E363" t="s">
        <v>743</v>
      </c>
      <c r="F363" t="s">
        <v>13</v>
      </c>
      <c r="G363" t="s">
        <v>74</v>
      </c>
      <c r="H363" t="s">
        <v>15</v>
      </c>
      <c r="I363" t="s">
        <v>16</v>
      </c>
      <c r="J363" s="6">
        <v>46030</v>
      </c>
      <c r="K363" t="s">
        <v>75</v>
      </c>
      <c r="L363">
        <f>tblCatalogo[[#This Row],[Costo_Base]]*21</f>
        <v>204.75</v>
      </c>
    </row>
    <row r="364" spans="1:12" x14ac:dyDescent="0.35">
      <c r="A364" t="s">
        <v>719</v>
      </c>
      <c r="B364">
        <v>7</v>
      </c>
      <c r="C364" t="s">
        <v>734</v>
      </c>
      <c r="D364" t="s">
        <v>72</v>
      </c>
      <c r="E364" t="s">
        <v>744</v>
      </c>
      <c r="F364" t="s">
        <v>13</v>
      </c>
      <c r="G364" t="s">
        <v>74</v>
      </c>
      <c r="H364" t="s">
        <v>15</v>
      </c>
      <c r="I364" t="s">
        <v>16</v>
      </c>
      <c r="J364" s="6">
        <v>46030</v>
      </c>
      <c r="K364" t="s">
        <v>75</v>
      </c>
      <c r="L364">
        <f>tblCatalogo[[#This Row],[Costo_Base]]*21</f>
        <v>147</v>
      </c>
    </row>
    <row r="365" spans="1:12" x14ac:dyDescent="0.35">
      <c r="A365" t="s">
        <v>720</v>
      </c>
      <c r="B365">
        <v>7.75</v>
      </c>
      <c r="C365" t="s">
        <v>735</v>
      </c>
      <c r="D365" t="s">
        <v>72</v>
      </c>
      <c r="E365" t="s">
        <v>745</v>
      </c>
      <c r="F365" t="s">
        <v>13</v>
      </c>
      <c r="G365" t="s">
        <v>74</v>
      </c>
      <c r="H365" t="s">
        <v>15</v>
      </c>
      <c r="I365" t="s">
        <v>16</v>
      </c>
      <c r="J365" s="6">
        <v>46030</v>
      </c>
      <c r="K365" t="s">
        <v>75</v>
      </c>
      <c r="L365">
        <f>tblCatalogo[[#This Row],[Costo_Base]]*21</f>
        <v>162.75</v>
      </c>
    </row>
    <row r="366" spans="1:12" x14ac:dyDescent="0.35">
      <c r="A366" t="s">
        <v>721</v>
      </c>
      <c r="B366">
        <v>8.25</v>
      </c>
      <c r="C366" t="s">
        <v>736</v>
      </c>
      <c r="D366" t="s">
        <v>72</v>
      </c>
      <c r="E366" t="s">
        <v>746</v>
      </c>
      <c r="F366" t="s">
        <v>13</v>
      </c>
      <c r="G366" t="s">
        <v>74</v>
      </c>
      <c r="H366" t="s">
        <v>15</v>
      </c>
      <c r="I366" t="s">
        <v>16</v>
      </c>
      <c r="J366" s="6">
        <v>46030</v>
      </c>
      <c r="K366" t="s">
        <v>75</v>
      </c>
      <c r="L366">
        <f>tblCatalogo[[#This Row],[Costo_Base]]*21</f>
        <v>173.25</v>
      </c>
    </row>
    <row r="367" spans="1:12" x14ac:dyDescent="0.35">
      <c r="A367" t="s">
        <v>722</v>
      </c>
      <c r="B367">
        <v>8.75</v>
      </c>
      <c r="C367" t="s">
        <v>737</v>
      </c>
      <c r="D367" t="s">
        <v>72</v>
      </c>
      <c r="E367" t="s">
        <v>747</v>
      </c>
      <c r="F367" t="s">
        <v>13</v>
      </c>
      <c r="G367" t="s">
        <v>74</v>
      </c>
      <c r="H367" t="s">
        <v>15</v>
      </c>
      <c r="I367" t="s">
        <v>16</v>
      </c>
      <c r="J367" s="6">
        <v>46030</v>
      </c>
      <c r="K367" t="s">
        <v>75</v>
      </c>
      <c r="L367">
        <f>tblCatalogo[[#This Row],[Costo_Base]]*21</f>
        <v>183.75</v>
      </c>
    </row>
    <row r="368" spans="1:12" x14ac:dyDescent="0.35">
      <c r="A368" t="s">
        <v>723</v>
      </c>
      <c r="B368">
        <v>9.75</v>
      </c>
      <c r="C368" t="s">
        <v>738</v>
      </c>
      <c r="D368" t="s">
        <v>72</v>
      </c>
      <c r="E368" t="s">
        <v>748</v>
      </c>
      <c r="F368" t="s">
        <v>13</v>
      </c>
      <c r="G368" t="s">
        <v>74</v>
      </c>
      <c r="H368" t="s">
        <v>15</v>
      </c>
      <c r="I368" t="s">
        <v>16</v>
      </c>
      <c r="J368" s="6">
        <v>46030</v>
      </c>
      <c r="K368" t="s">
        <v>75</v>
      </c>
      <c r="L368">
        <f>tblCatalogo[[#This Row],[Costo_Base]]*21</f>
        <v>204.75</v>
      </c>
    </row>
    <row r="369" spans="1:12" x14ac:dyDescent="0.35">
      <c r="A369" t="s">
        <v>724</v>
      </c>
      <c r="B369">
        <v>7.75</v>
      </c>
      <c r="C369" t="s">
        <v>734</v>
      </c>
      <c r="D369" t="s">
        <v>72</v>
      </c>
      <c r="E369" t="s">
        <v>749</v>
      </c>
      <c r="F369" t="s">
        <v>13</v>
      </c>
      <c r="G369" t="s">
        <v>74</v>
      </c>
      <c r="H369" t="s">
        <v>15</v>
      </c>
      <c r="I369" t="s">
        <v>16</v>
      </c>
      <c r="J369" s="6">
        <v>46030</v>
      </c>
      <c r="K369" t="s">
        <v>75</v>
      </c>
      <c r="L369">
        <f>tblCatalogo[[#This Row],[Costo_Base]]*21</f>
        <v>162.75</v>
      </c>
    </row>
    <row r="370" spans="1:12" x14ac:dyDescent="0.35">
      <c r="A370" t="s">
        <v>725</v>
      </c>
      <c r="B370">
        <v>8.25</v>
      </c>
      <c r="C370" t="s">
        <v>735</v>
      </c>
      <c r="D370" t="s">
        <v>72</v>
      </c>
      <c r="E370" t="s">
        <v>750</v>
      </c>
      <c r="F370" t="s">
        <v>13</v>
      </c>
      <c r="G370" t="s">
        <v>74</v>
      </c>
      <c r="H370" t="s">
        <v>15</v>
      </c>
      <c r="I370" t="s">
        <v>16</v>
      </c>
      <c r="J370" s="6">
        <v>46030</v>
      </c>
      <c r="K370" t="s">
        <v>75</v>
      </c>
      <c r="L370">
        <f>tblCatalogo[[#This Row],[Costo_Base]]*21</f>
        <v>173.25</v>
      </c>
    </row>
    <row r="371" spans="1:12" x14ac:dyDescent="0.35">
      <c r="A371" t="s">
        <v>726</v>
      </c>
      <c r="B371">
        <v>8.75</v>
      </c>
      <c r="C371" t="s">
        <v>736</v>
      </c>
      <c r="D371" t="s">
        <v>72</v>
      </c>
      <c r="E371" t="s">
        <v>751</v>
      </c>
      <c r="F371" t="s">
        <v>13</v>
      </c>
      <c r="G371" t="s">
        <v>74</v>
      </c>
      <c r="H371" t="s">
        <v>15</v>
      </c>
      <c r="I371" t="s">
        <v>16</v>
      </c>
      <c r="J371" s="6">
        <v>46030</v>
      </c>
      <c r="K371" t="s">
        <v>75</v>
      </c>
      <c r="L371">
        <f>tblCatalogo[[#This Row],[Costo_Base]]*21</f>
        <v>183.75</v>
      </c>
    </row>
    <row r="372" spans="1:12" x14ac:dyDescent="0.35">
      <c r="A372" t="s">
        <v>727</v>
      </c>
      <c r="B372">
        <v>9.25</v>
      </c>
      <c r="C372" t="s">
        <v>737</v>
      </c>
      <c r="D372" t="s">
        <v>72</v>
      </c>
      <c r="E372" t="s">
        <v>752</v>
      </c>
      <c r="F372" t="s">
        <v>13</v>
      </c>
      <c r="G372" t="s">
        <v>74</v>
      </c>
      <c r="H372" t="s">
        <v>15</v>
      </c>
      <c r="I372" t="s">
        <v>16</v>
      </c>
      <c r="J372" s="6">
        <v>46030</v>
      </c>
      <c r="K372" t="s">
        <v>75</v>
      </c>
      <c r="L372">
        <f>tblCatalogo[[#This Row],[Costo_Base]]*21</f>
        <v>194.25</v>
      </c>
    </row>
    <row r="373" spans="1:12" x14ac:dyDescent="0.35">
      <c r="A373" t="s">
        <v>728</v>
      </c>
      <c r="B373">
        <v>10.25</v>
      </c>
      <c r="C373" t="s">
        <v>738</v>
      </c>
      <c r="D373" t="s">
        <v>72</v>
      </c>
      <c r="E373" t="s">
        <v>753</v>
      </c>
      <c r="F373" t="s">
        <v>13</v>
      </c>
      <c r="G373" t="s">
        <v>74</v>
      </c>
      <c r="H373" t="s">
        <v>15</v>
      </c>
      <c r="I373" t="s">
        <v>16</v>
      </c>
      <c r="J373" s="6">
        <v>46030</v>
      </c>
      <c r="K373" t="s">
        <v>75</v>
      </c>
      <c r="L373">
        <f>tblCatalogo[[#This Row],[Costo_Base]]*21</f>
        <v>215.25</v>
      </c>
    </row>
    <row r="374" spans="1:12" x14ac:dyDescent="0.35">
      <c r="A374" t="s">
        <v>729</v>
      </c>
      <c r="B374">
        <v>7.75</v>
      </c>
      <c r="C374" t="s">
        <v>734</v>
      </c>
      <c r="D374" t="s">
        <v>72</v>
      </c>
      <c r="E374" t="s">
        <v>754</v>
      </c>
      <c r="F374" t="s">
        <v>13</v>
      </c>
      <c r="G374" t="s">
        <v>74</v>
      </c>
      <c r="H374" t="s">
        <v>15</v>
      </c>
      <c r="I374" t="s">
        <v>16</v>
      </c>
      <c r="J374" s="6">
        <v>46030</v>
      </c>
      <c r="K374" t="s">
        <v>75</v>
      </c>
      <c r="L374">
        <f>tblCatalogo[[#This Row],[Costo_Base]]*21</f>
        <v>162.75</v>
      </c>
    </row>
    <row r="375" spans="1:12" x14ac:dyDescent="0.35">
      <c r="A375" t="s">
        <v>730</v>
      </c>
      <c r="B375">
        <v>8.25</v>
      </c>
      <c r="C375" t="s">
        <v>735</v>
      </c>
      <c r="D375" t="s">
        <v>72</v>
      </c>
      <c r="E375" t="s">
        <v>755</v>
      </c>
      <c r="F375" t="s">
        <v>13</v>
      </c>
      <c r="G375" t="s">
        <v>74</v>
      </c>
      <c r="H375" t="s">
        <v>15</v>
      </c>
      <c r="I375" t="s">
        <v>16</v>
      </c>
      <c r="J375" s="6">
        <v>46030</v>
      </c>
      <c r="K375" t="s">
        <v>75</v>
      </c>
      <c r="L375">
        <f>tblCatalogo[[#This Row],[Costo_Base]]*21</f>
        <v>173.25</v>
      </c>
    </row>
    <row r="376" spans="1:12" x14ac:dyDescent="0.35">
      <c r="A376" t="s">
        <v>731</v>
      </c>
      <c r="B376">
        <v>8.75</v>
      </c>
      <c r="C376" t="s">
        <v>736</v>
      </c>
      <c r="D376" t="s">
        <v>72</v>
      </c>
      <c r="E376" t="s">
        <v>756</v>
      </c>
      <c r="F376" t="s">
        <v>13</v>
      </c>
      <c r="G376" t="s">
        <v>74</v>
      </c>
      <c r="H376" t="s">
        <v>15</v>
      </c>
      <c r="I376" t="s">
        <v>16</v>
      </c>
      <c r="J376" s="6">
        <v>46030</v>
      </c>
      <c r="K376" t="s">
        <v>75</v>
      </c>
      <c r="L376">
        <f>tblCatalogo[[#This Row],[Costo_Base]]*21</f>
        <v>183.75</v>
      </c>
    </row>
    <row r="377" spans="1:12" x14ac:dyDescent="0.35">
      <c r="A377" t="s">
        <v>732</v>
      </c>
      <c r="B377">
        <v>9.25</v>
      </c>
      <c r="C377" t="s">
        <v>737</v>
      </c>
      <c r="D377" t="s">
        <v>72</v>
      </c>
      <c r="E377" t="s">
        <v>757</v>
      </c>
      <c r="F377" t="s">
        <v>13</v>
      </c>
      <c r="G377" t="s">
        <v>74</v>
      </c>
      <c r="H377" t="s">
        <v>15</v>
      </c>
      <c r="I377" t="s">
        <v>16</v>
      </c>
      <c r="J377" s="6">
        <v>46030</v>
      </c>
      <c r="K377" t="s">
        <v>75</v>
      </c>
      <c r="L377">
        <f>tblCatalogo[[#This Row],[Costo_Base]]*21</f>
        <v>194.25</v>
      </c>
    </row>
    <row r="378" spans="1:12" x14ac:dyDescent="0.35">
      <c r="A378" t="s">
        <v>733</v>
      </c>
      <c r="B378">
        <v>10.25</v>
      </c>
      <c r="C378" t="s">
        <v>738</v>
      </c>
      <c r="D378" t="s">
        <v>72</v>
      </c>
      <c r="E378" t="s">
        <v>758</v>
      </c>
      <c r="F378" t="s">
        <v>13</v>
      </c>
      <c r="G378" t="s">
        <v>74</v>
      </c>
      <c r="H378" t="s">
        <v>15</v>
      </c>
      <c r="I378" t="s">
        <v>16</v>
      </c>
      <c r="J378" s="6">
        <v>46030</v>
      </c>
      <c r="K378" t="s">
        <v>75</v>
      </c>
      <c r="L378">
        <f>tblCatalogo[[#This Row],[Costo_Base]]*21</f>
        <v>215.25</v>
      </c>
    </row>
    <row r="379" spans="1:12" x14ac:dyDescent="0.35">
      <c r="A379" t="s">
        <v>759</v>
      </c>
      <c r="B379">
        <v>725</v>
      </c>
      <c r="C379" t="s">
        <v>778</v>
      </c>
      <c r="D379" t="s">
        <v>72</v>
      </c>
      <c r="E379" t="s">
        <v>792</v>
      </c>
      <c r="F379" t="s">
        <v>13</v>
      </c>
      <c r="G379" t="s">
        <v>74</v>
      </c>
      <c r="H379" t="s">
        <v>15</v>
      </c>
      <c r="I379" t="s">
        <v>16</v>
      </c>
      <c r="J379" s="6">
        <v>46030</v>
      </c>
      <c r="K379" t="s">
        <v>75</v>
      </c>
      <c r="L379">
        <f>tblCatalogo[[#This Row],[Costo_Base]]*21</f>
        <v>15225</v>
      </c>
    </row>
    <row r="380" spans="1:12" x14ac:dyDescent="0.35">
      <c r="A380" t="s">
        <v>760</v>
      </c>
      <c r="B380">
        <v>886</v>
      </c>
      <c r="C380" t="s">
        <v>779</v>
      </c>
      <c r="D380" t="s">
        <v>72</v>
      </c>
      <c r="E380" t="s">
        <v>793</v>
      </c>
      <c r="F380" t="s">
        <v>13</v>
      </c>
      <c r="G380" t="s">
        <v>74</v>
      </c>
      <c r="H380" t="s">
        <v>15</v>
      </c>
      <c r="I380" t="s">
        <v>16</v>
      </c>
      <c r="J380" s="6">
        <v>46030</v>
      </c>
      <c r="K380" t="s">
        <v>75</v>
      </c>
      <c r="L380">
        <f>tblCatalogo[[#This Row],[Costo_Base]]*21</f>
        <v>18606</v>
      </c>
    </row>
    <row r="381" spans="1:12" x14ac:dyDescent="0.35">
      <c r="A381" t="s">
        <v>761</v>
      </c>
      <c r="B381">
        <v>1127</v>
      </c>
      <c r="C381" t="s">
        <v>779</v>
      </c>
      <c r="D381" t="s">
        <v>72</v>
      </c>
      <c r="E381" t="s">
        <v>794</v>
      </c>
      <c r="F381" t="s">
        <v>13</v>
      </c>
      <c r="G381" t="s">
        <v>74</v>
      </c>
      <c r="H381" t="s">
        <v>15</v>
      </c>
      <c r="I381" t="s">
        <v>16</v>
      </c>
      <c r="J381" s="6">
        <v>46030</v>
      </c>
      <c r="K381" t="s">
        <v>75</v>
      </c>
      <c r="L381">
        <f>tblCatalogo[[#This Row],[Costo_Base]]*21</f>
        <v>23667</v>
      </c>
    </row>
    <row r="382" spans="1:12" x14ac:dyDescent="0.35">
      <c r="A382" t="s">
        <v>762</v>
      </c>
      <c r="B382">
        <v>600</v>
      </c>
      <c r="C382" t="s">
        <v>780</v>
      </c>
      <c r="D382" t="s">
        <v>72</v>
      </c>
      <c r="E382" t="s">
        <v>795</v>
      </c>
      <c r="F382" t="s">
        <v>13</v>
      </c>
      <c r="G382" t="s">
        <v>74</v>
      </c>
      <c r="H382" t="s">
        <v>15</v>
      </c>
      <c r="I382" t="s">
        <v>16</v>
      </c>
      <c r="J382" s="6">
        <v>46030</v>
      </c>
      <c r="K382" t="s">
        <v>75</v>
      </c>
      <c r="L382">
        <f>tblCatalogo[[#This Row],[Costo_Base]]*21</f>
        <v>12600</v>
      </c>
    </row>
    <row r="383" spans="1:12" x14ac:dyDescent="0.35">
      <c r="A383" t="s">
        <v>763</v>
      </c>
      <c r="B383">
        <v>600</v>
      </c>
      <c r="C383" t="s">
        <v>781</v>
      </c>
      <c r="D383" t="s">
        <v>72</v>
      </c>
      <c r="E383" t="s">
        <v>796</v>
      </c>
      <c r="F383" t="s">
        <v>13</v>
      </c>
      <c r="G383" t="s">
        <v>74</v>
      </c>
      <c r="H383" t="s">
        <v>15</v>
      </c>
      <c r="I383" t="s">
        <v>16</v>
      </c>
      <c r="J383" s="6">
        <v>46030</v>
      </c>
      <c r="K383" t="s">
        <v>75</v>
      </c>
      <c r="L383">
        <f>tblCatalogo[[#This Row],[Costo_Base]]*21</f>
        <v>12600</v>
      </c>
    </row>
    <row r="384" spans="1:12" x14ac:dyDescent="0.35">
      <c r="A384" t="s">
        <v>764</v>
      </c>
      <c r="B384">
        <v>650</v>
      </c>
      <c r="C384" t="s">
        <v>781</v>
      </c>
      <c r="D384" t="s">
        <v>72</v>
      </c>
      <c r="E384" t="s">
        <v>797</v>
      </c>
      <c r="F384" t="s">
        <v>13</v>
      </c>
      <c r="G384" t="s">
        <v>74</v>
      </c>
      <c r="H384" t="s">
        <v>15</v>
      </c>
      <c r="I384" t="s">
        <v>16</v>
      </c>
      <c r="J384" s="6">
        <v>46030</v>
      </c>
      <c r="K384" t="s">
        <v>75</v>
      </c>
      <c r="L384">
        <f>tblCatalogo[[#This Row],[Costo_Base]]*21</f>
        <v>13650</v>
      </c>
    </row>
    <row r="385" spans="1:12" x14ac:dyDescent="0.35">
      <c r="A385" t="s">
        <v>765</v>
      </c>
      <c r="B385">
        <v>650</v>
      </c>
      <c r="C385" t="s">
        <v>782</v>
      </c>
      <c r="D385" t="s">
        <v>72</v>
      </c>
      <c r="E385" t="s">
        <v>798</v>
      </c>
      <c r="F385" t="s">
        <v>13</v>
      </c>
      <c r="G385" t="s">
        <v>74</v>
      </c>
      <c r="H385" t="s">
        <v>15</v>
      </c>
      <c r="I385" t="s">
        <v>16</v>
      </c>
      <c r="J385" s="6">
        <v>46030</v>
      </c>
      <c r="K385" t="s">
        <v>75</v>
      </c>
      <c r="L385">
        <f>tblCatalogo[[#This Row],[Costo_Base]]*21</f>
        <v>13650</v>
      </c>
    </row>
    <row r="386" spans="1:12" x14ac:dyDescent="0.35">
      <c r="A386" t="s">
        <v>766</v>
      </c>
      <c r="B386">
        <v>110</v>
      </c>
      <c r="C386" t="s">
        <v>783</v>
      </c>
      <c r="D386" t="s">
        <v>72</v>
      </c>
      <c r="E386" t="s">
        <v>799</v>
      </c>
      <c r="F386" t="s">
        <v>13</v>
      </c>
      <c r="G386" t="s">
        <v>74</v>
      </c>
      <c r="H386" t="s">
        <v>15</v>
      </c>
      <c r="I386" t="s">
        <v>16</v>
      </c>
      <c r="J386" s="6">
        <v>46030</v>
      </c>
      <c r="K386" t="s">
        <v>75</v>
      </c>
      <c r="L386">
        <f>tblCatalogo[[#This Row],[Costo_Base]]*21</f>
        <v>2310</v>
      </c>
    </row>
    <row r="387" spans="1:12" x14ac:dyDescent="0.35">
      <c r="A387" t="s">
        <v>767</v>
      </c>
      <c r="B387">
        <v>2</v>
      </c>
      <c r="C387" t="s">
        <v>788</v>
      </c>
      <c r="D387" t="s">
        <v>72</v>
      </c>
      <c r="E387" t="s">
        <v>800</v>
      </c>
      <c r="F387" t="s">
        <v>13</v>
      </c>
      <c r="G387" t="s">
        <v>74</v>
      </c>
      <c r="H387" t="s">
        <v>15</v>
      </c>
      <c r="I387" t="s">
        <v>16</v>
      </c>
      <c r="J387" s="6">
        <v>46030</v>
      </c>
      <c r="K387" t="s">
        <v>75</v>
      </c>
      <c r="L387">
        <f>tblCatalogo[[#This Row],[Costo_Base]]*21</f>
        <v>42</v>
      </c>
    </row>
    <row r="388" spans="1:12" x14ac:dyDescent="0.35">
      <c r="A388" t="s">
        <v>768</v>
      </c>
      <c r="B388">
        <v>2</v>
      </c>
      <c r="C388" t="s">
        <v>789</v>
      </c>
      <c r="D388" t="s">
        <v>72</v>
      </c>
      <c r="E388" t="s">
        <v>800</v>
      </c>
      <c r="F388" t="s">
        <v>13</v>
      </c>
      <c r="G388" t="s">
        <v>74</v>
      </c>
      <c r="H388" t="s">
        <v>15</v>
      </c>
      <c r="I388" t="s">
        <v>16</v>
      </c>
      <c r="J388" s="6">
        <v>46030</v>
      </c>
      <c r="K388" t="s">
        <v>75</v>
      </c>
      <c r="L388">
        <f>tblCatalogo[[#This Row],[Costo_Base]]*21</f>
        <v>42</v>
      </c>
    </row>
    <row r="389" spans="1:12" x14ac:dyDescent="0.35">
      <c r="A389" t="s">
        <v>769</v>
      </c>
      <c r="B389">
        <v>18</v>
      </c>
      <c r="C389" t="s">
        <v>790</v>
      </c>
      <c r="D389" t="s">
        <v>72</v>
      </c>
      <c r="E389" t="s">
        <v>801</v>
      </c>
      <c r="F389" t="s">
        <v>13</v>
      </c>
      <c r="G389" t="s">
        <v>74</v>
      </c>
      <c r="H389" t="s">
        <v>15</v>
      </c>
      <c r="I389" t="s">
        <v>16</v>
      </c>
      <c r="J389" s="6">
        <v>46030</v>
      </c>
      <c r="K389" t="s">
        <v>75</v>
      </c>
      <c r="L389">
        <f>tblCatalogo[[#This Row],[Costo_Base]]*21</f>
        <v>378</v>
      </c>
    </row>
    <row r="390" spans="1:12" x14ac:dyDescent="0.35">
      <c r="A390" t="s">
        <v>770</v>
      </c>
      <c r="B390">
        <v>18</v>
      </c>
      <c r="C390" t="s">
        <v>791</v>
      </c>
      <c r="D390" t="s">
        <v>72</v>
      </c>
      <c r="E390" t="s">
        <v>801</v>
      </c>
      <c r="F390" t="s">
        <v>13</v>
      </c>
      <c r="G390" t="s">
        <v>74</v>
      </c>
      <c r="H390" t="s">
        <v>15</v>
      </c>
      <c r="I390" t="s">
        <v>16</v>
      </c>
      <c r="J390" s="6">
        <v>46030</v>
      </c>
      <c r="K390" t="s">
        <v>75</v>
      </c>
      <c r="L390">
        <f>tblCatalogo[[#This Row],[Costo_Base]]*21</f>
        <v>378</v>
      </c>
    </row>
    <row r="391" spans="1:12" x14ac:dyDescent="0.35">
      <c r="A391" t="s">
        <v>771</v>
      </c>
      <c r="B391">
        <v>150</v>
      </c>
      <c r="C391" t="s">
        <v>784</v>
      </c>
      <c r="D391" t="s">
        <v>72</v>
      </c>
      <c r="E391" t="s">
        <v>801</v>
      </c>
      <c r="F391" t="s">
        <v>13</v>
      </c>
      <c r="G391" t="s">
        <v>74</v>
      </c>
      <c r="H391" t="s">
        <v>15</v>
      </c>
      <c r="I391" t="s">
        <v>16</v>
      </c>
      <c r="J391" s="6">
        <v>46030</v>
      </c>
      <c r="K391" t="s">
        <v>75</v>
      </c>
      <c r="L391">
        <f>tblCatalogo[[#This Row],[Costo_Base]]*21</f>
        <v>3150</v>
      </c>
    </row>
    <row r="392" spans="1:12" x14ac:dyDescent="0.35">
      <c r="A392" t="s">
        <v>772</v>
      </c>
      <c r="B392">
        <v>175</v>
      </c>
      <c r="C392" t="s">
        <v>785</v>
      </c>
      <c r="D392" t="s">
        <v>72</v>
      </c>
      <c r="E392" t="s">
        <v>801</v>
      </c>
      <c r="F392" t="s">
        <v>13</v>
      </c>
      <c r="G392" t="s">
        <v>74</v>
      </c>
      <c r="H392" t="s">
        <v>15</v>
      </c>
      <c r="I392" t="s">
        <v>16</v>
      </c>
      <c r="J392" s="6">
        <v>46030</v>
      </c>
      <c r="K392" t="s">
        <v>75</v>
      </c>
      <c r="L392">
        <f>tblCatalogo[[#This Row],[Costo_Base]]*21</f>
        <v>3675</v>
      </c>
    </row>
    <row r="393" spans="1:12" x14ac:dyDescent="0.35">
      <c r="A393" t="s">
        <v>773</v>
      </c>
      <c r="B393">
        <v>4</v>
      </c>
      <c r="C393" t="s">
        <v>807</v>
      </c>
      <c r="D393" t="s">
        <v>72</v>
      </c>
      <c r="E393" t="s">
        <v>802</v>
      </c>
      <c r="F393" t="s">
        <v>13</v>
      </c>
      <c r="G393" t="s">
        <v>74</v>
      </c>
      <c r="H393" t="s">
        <v>15</v>
      </c>
      <c r="I393" t="s">
        <v>16</v>
      </c>
      <c r="J393" s="6">
        <v>46030</v>
      </c>
      <c r="K393" t="s">
        <v>75</v>
      </c>
      <c r="L393">
        <f>tblCatalogo[[#This Row],[Costo_Base]]*21</f>
        <v>84</v>
      </c>
    </row>
    <row r="394" spans="1:12" x14ac:dyDescent="0.35">
      <c r="A394" t="s">
        <v>774</v>
      </c>
      <c r="B394">
        <v>55</v>
      </c>
      <c r="C394" t="s">
        <v>807</v>
      </c>
      <c r="D394" t="s">
        <v>72</v>
      </c>
      <c r="E394" t="s">
        <v>803</v>
      </c>
      <c r="F394" t="s">
        <v>13</v>
      </c>
      <c r="G394" t="s">
        <v>74</v>
      </c>
      <c r="H394" t="s">
        <v>15</v>
      </c>
      <c r="I394" t="s">
        <v>16</v>
      </c>
      <c r="J394" s="6">
        <v>46030</v>
      </c>
      <c r="K394" t="s">
        <v>75</v>
      </c>
      <c r="L394">
        <f>tblCatalogo[[#This Row],[Costo_Base]]*21</f>
        <v>1155</v>
      </c>
    </row>
    <row r="395" spans="1:12" x14ac:dyDescent="0.35">
      <c r="A395" t="s">
        <v>775</v>
      </c>
      <c r="B395">
        <v>110</v>
      </c>
      <c r="C395" t="s">
        <v>786</v>
      </c>
      <c r="D395" t="s">
        <v>72</v>
      </c>
      <c r="E395" t="s">
        <v>804</v>
      </c>
      <c r="F395" t="s">
        <v>13</v>
      </c>
      <c r="G395" t="s">
        <v>74</v>
      </c>
      <c r="H395" t="s">
        <v>15</v>
      </c>
      <c r="I395" t="s">
        <v>16</v>
      </c>
      <c r="J395" s="6">
        <v>46030</v>
      </c>
      <c r="K395" t="s">
        <v>75</v>
      </c>
      <c r="L395">
        <f>tblCatalogo[[#This Row],[Costo_Base]]*21</f>
        <v>2310</v>
      </c>
    </row>
    <row r="396" spans="1:12" x14ac:dyDescent="0.35">
      <c r="A396" t="s">
        <v>776</v>
      </c>
      <c r="B396">
        <v>6</v>
      </c>
      <c r="C396" t="s">
        <v>807</v>
      </c>
      <c r="D396" t="s">
        <v>72</v>
      </c>
      <c r="E396" t="s">
        <v>805</v>
      </c>
      <c r="F396" t="s">
        <v>13</v>
      </c>
      <c r="G396" t="s">
        <v>74</v>
      </c>
      <c r="H396" t="s">
        <v>15</v>
      </c>
      <c r="I396" t="s">
        <v>16</v>
      </c>
      <c r="J396" s="6">
        <v>46030</v>
      </c>
      <c r="K396" t="s">
        <v>75</v>
      </c>
      <c r="L396">
        <f>tblCatalogo[[#This Row],[Costo_Base]]*21</f>
        <v>126</v>
      </c>
    </row>
    <row r="397" spans="1:12" x14ac:dyDescent="0.35">
      <c r="A397" t="s">
        <v>777</v>
      </c>
      <c r="B397">
        <v>13</v>
      </c>
      <c r="C397" t="s">
        <v>787</v>
      </c>
      <c r="D397" t="s">
        <v>72</v>
      </c>
      <c r="E397" t="s">
        <v>806</v>
      </c>
      <c r="F397" t="s">
        <v>13</v>
      </c>
      <c r="G397" t="s">
        <v>74</v>
      </c>
      <c r="H397" t="s">
        <v>15</v>
      </c>
      <c r="I397" t="s">
        <v>16</v>
      </c>
      <c r="J397" s="6">
        <v>46030</v>
      </c>
      <c r="K397" t="s">
        <v>75</v>
      </c>
      <c r="L397">
        <f>tblCatalogo[[#This Row],[Costo_Base]]*21</f>
        <v>273</v>
      </c>
    </row>
    <row r="398" spans="1:12" x14ac:dyDescent="0.35">
      <c r="A398" t="s">
        <v>808</v>
      </c>
      <c r="B398">
        <v>50</v>
      </c>
      <c r="C398" t="s">
        <v>813</v>
      </c>
      <c r="D398" t="s">
        <v>72</v>
      </c>
      <c r="E398" t="s">
        <v>818</v>
      </c>
      <c r="F398" t="s">
        <v>13</v>
      </c>
      <c r="G398" t="s">
        <v>74</v>
      </c>
      <c r="H398" t="s">
        <v>15</v>
      </c>
      <c r="I398" t="s">
        <v>16</v>
      </c>
      <c r="J398" s="6">
        <v>46030</v>
      </c>
      <c r="K398" t="s">
        <v>75</v>
      </c>
      <c r="L398">
        <f>tblCatalogo[[#This Row],[Costo_Base]]*21</f>
        <v>1050</v>
      </c>
    </row>
    <row r="399" spans="1:12" x14ac:dyDescent="0.35">
      <c r="A399" t="s">
        <v>809</v>
      </c>
      <c r="B399">
        <v>25</v>
      </c>
      <c r="C399" t="s">
        <v>814</v>
      </c>
      <c r="D399" t="s">
        <v>72</v>
      </c>
      <c r="E399" t="s">
        <v>819</v>
      </c>
      <c r="F399" t="s">
        <v>13</v>
      </c>
      <c r="G399" t="s">
        <v>74</v>
      </c>
      <c r="H399" t="s">
        <v>15</v>
      </c>
      <c r="I399" t="s">
        <v>16</v>
      </c>
      <c r="J399" s="6">
        <v>46030</v>
      </c>
      <c r="K399" t="s">
        <v>75</v>
      </c>
      <c r="L399">
        <f>tblCatalogo[[#This Row],[Costo_Base]]*21</f>
        <v>525</v>
      </c>
    </row>
    <row r="400" spans="1:12" x14ac:dyDescent="0.35">
      <c r="A400" t="s">
        <v>810</v>
      </c>
      <c r="B400">
        <v>30</v>
      </c>
      <c r="C400" t="s">
        <v>815</v>
      </c>
      <c r="D400" t="s">
        <v>72</v>
      </c>
      <c r="E400" t="s">
        <v>820</v>
      </c>
      <c r="F400" t="s">
        <v>13</v>
      </c>
      <c r="G400" t="s">
        <v>74</v>
      </c>
      <c r="H400" t="s">
        <v>15</v>
      </c>
      <c r="I400" t="s">
        <v>16</v>
      </c>
      <c r="J400" s="6">
        <v>46030</v>
      </c>
      <c r="K400" t="s">
        <v>75</v>
      </c>
      <c r="L400">
        <f>tblCatalogo[[#This Row],[Costo_Base]]*21</f>
        <v>630</v>
      </c>
    </row>
    <row r="401" spans="1:12" x14ac:dyDescent="0.35">
      <c r="A401" t="s">
        <v>811</v>
      </c>
      <c r="B401">
        <v>35</v>
      </c>
      <c r="C401" t="s">
        <v>816</v>
      </c>
      <c r="D401" t="s">
        <v>72</v>
      </c>
      <c r="E401" t="s">
        <v>821</v>
      </c>
      <c r="F401" t="s">
        <v>13</v>
      </c>
      <c r="G401" t="s">
        <v>74</v>
      </c>
      <c r="H401" t="s">
        <v>15</v>
      </c>
      <c r="I401" t="s">
        <v>16</v>
      </c>
      <c r="J401" s="6">
        <v>46030</v>
      </c>
      <c r="K401" t="s">
        <v>75</v>
      </c>
      <c r="L401">
        <f>tblCatalogo[[#This Row],[Costo_Base]]*21</f>
        <v>735</v>
      </c>
    </row>
    <row r="402" spans="1:12" x14ac:dyDescent="0.35">
      <c r="A402" t="s">
        <v>812</v>
      </c>
      <c r="B402">
        <v>35</v>
      </c>
      <c r="C402" t="s">
        <v>817</v>
      </c>
      <c r="D402" t="s">
        <v>72</v>
      </c>
      <c r="E402" t="s">
        <v>822</v>
      </c>
      <c r="F402" t="s">
        <v>13</v>
      </c>
      <c r="G402" t="s">
        <v>74</v>
      </c>
      <c r="H402" t="s">
        <v>15</v>
      </c>
      <c r="I402" t="s">
        <v>16</v>
      </c>
      <c r="J402" s="6">
        <v>46030</v>
      </c>
      <c r="K402" t="s">
        <v>75</v>
      </c>
      <c r="L402">
        <f>tblCatalogo[[#This Row],[Costo_Base]]*21</f>
        <v>735</v>
      </c>
    </row>
    <row r="403" spans="1:12" x14ac:dyDescent="0.35">
      <c r="A403" t="s">
        <v>823</v>
      </c>
      <c r="B403">
        <v>70</v>
      </c>
      <c r="C403" t="s">
        <v>842</v>
      </c>
      <c r="D403" t="s">
        <v>72</v>
      </c>
      <c r="E403" t="s">
        <v>860</v>
      </c>
      <c r="F403" t="s">
        <v>13</v>
      </c>
      <c r="G403" t="s">
        <v>74</v>
      </c>
      <c r="H403" t="s">
        <v>15</v>
      </c>
      <c r="I403" t="s">
        <v>16</v>
      </c>
      <c r="J403" s="6">
        <v>46030</v>
      </c>
      <c r="K403" t="s">
        <v>75</v>
      </c>
      <c r="L403">
        <f>tblCatalogo[[#This Row],[Costo_Base]]*21</f>
        <v>1470</v>
      </c>
    </row>
    <row r="404" spans="1:12" x14ac:dyDescent="0.35">
      <c r="A404" t="s">
        <v>824</v>
      </c>
      <c r="B404">
        <v>8</v>
      </c>
      <c r="C404" t="s">
        <v>843</v>
      </c>
      <c r="D404" t="s">
        <v>72</v>
      </c>
      <c r="E404" t="s">
        <v>861</v>
      </c>
      <c r="F404" t="s">
        <v>13</v>
      </c>
      <c r="G404" t="s">
        <v>74</v>
      </c>
      <c r="H404" t="s">
        <v>15</v>
      </c>
      <c r="I404" t="s">
        <v>16</v>
      </c>
      <c r="J404" s="6">
        <v>46030</v>
      </c>
      <c r="K404" t="s">
        <v>75</v>
      </c>
      <c r="L404">
        <f>tblCatalogo[[#This Row],[Costo_Base]]*21</f>
        <v>168</v>
      </c>
    </row>
    <row r="405" spans="1:12" x14ac:dyDescent="0.35">
      <c r="A405" t="s">
        <v>825</v>
      </c>
      <c r="B405">
        <v>35</v>
      </c>
      <c r="C405" t="s">
        <v>844</v>
      </c>
      <c r="D405" t="s">
        <v>72</v>
      </c>
      <c r="E405" t="s">
        <v>862</v>
      </c>
      <c r="F405" t="s">
        <v>13</v>
      </c>
      <c r="G405" t="s">
        <v>74</v>
      </c>
      <c r="H405" t="s">
        <v>15</v>
      </c>
      <c r="I405" t="s">
        <v>16</v>
      </c>
      <c r="J405" s="6">
        <v>46030</v>
      </c>
      <c r="K405" t="s">
        <v>75</v>
      </c>
      <c r="L405">
        <f>tblCatalogo[[#This Row],[Costo_Base]]*21</f>
        <v>735</v>
      </c>
    </row>
    <row r="406" spans="1:12" x14ac:dyDescent="0.35">
      <c r="A406" t="s">
        <v>826</v>
      </c>
      <c r="B406">
        <v>50</v>
      </c>
      <c r="C406" t="s">
        <v>845</v>
      </c>
      <c r="D406" t="s">
        <v>72</v>
      </c>
      <c r="E406" t="s">
        <v>863</v>
      </c>
      <c r="F406" t="s">
        <v>13</v>
      </c>
      <c r="G406" t="s">
        <v>74</v>
      </c>
      <c r="H406" t="s">
        <v>15</v>
      </c>
      <c r="I406" t="s">
        <v>16</v>
      </c>
      <c r="J406" s="6">
        <v>46030</v>
      </c>
      <c r="K406" t="s">
        <v>75</v>
      </c>
      <c r="L406">
        <f>tblCatalogo[[#This Row],[Costo_Base]]*21</f>
        <v>1050</v>
      </c>
    </row>
    <row r="407" spans="1:12" x14ac:dyDescent="0.35">
      <c r="A407" t="s">
        <v>827</v>
      </c>
      <c r="B407">
        <v>50</v>
      </c>
      <c r="C407" t="s">
        <v>846</v>
      </c>
      <c r="D407" t="s">
        <v>72</v>
      </c>
      <c r="E407" t="s">
        <v>864</v>
      </c>
      <c r="F407" t="s">
        <v>13</v>
      </c>
      <c r="G407" t="s">
        <v>74</v>
      </c>
      <c r="H407" t="s">
        <v>15</v>
      </c>
      <c r="I407" t="s">
        <v>16</v>
      </c>
      <c r="J407" s="6">
        <v>46030</v>
      </c>
      <c r="K407" t="s">
        <v>75</v>
      </c>
      <c r="L407">
        <f>tblCatalogo[[#This Row],[Costo_Base]]*21</f>
        <v>1050</v>
      </c>
    </row>
    <row r="408" spans="1:12" x14ac:dyDescent="0.35">
      <c r="A408" t="s">
        <v>828</v>
      </c>
      <c r="B408">
        <v>50</v>
      </c>
      <c r="C408" t="s">
        <v>847</v>
      </c>
      <c r="D408" t="s">
        <v>72</v>
      </c>
      <c r="E408" t="s">
        <v>865</v>
      </c>
      <c r="F408" t="s">
        <v>13</v>
      </c>
      <c r="G408" t="s">
        <v>74</v>
      </c>
      <c r="H408" t="s">
        <v>15</v>
      </c>
      <c r="I408" t="s">
        <v>16</v>
      </c>
      <c r="J408" s="6">
        <v>46030</v>
      </c>
      <c r="K408" t="s">
        <v>75</v>
      </c>
      <c r="L408">
        <f>tblCatalogo[[#This Row],[Costo_Base]]*21</f>
        <v>1050</v>
      </c>
    </row>
    <row r="409" spans="1:12" x14ac:dyDescent="0.35">
      <c r="A409" t="s">
        <v>829</v>
      </c>
      <c r="B409">
        <v>300</v>
      </c>
      <c r="C409" t="s">
        <v>848</v>
      </c>
      <c r="D409" t="s">
        <v>72</v>
      </c>
      <c r="E409" t="s">
        <v>866</v>
      </c>
      <c r="F409" t="s">
        <v>13</v>
      </c>
      <c r="G409" t="s">
        <v>74</v>
      </c>
      <c r="H409" t="s">
        <v>15</v>
      </c>
      <c r="I409" t="s">
        <v>16</v>
      </c>
      <c r="J409" s="6">
        <v>46030</v>
      </c>
      <c r="K409" t="s">
        <v>75</v>
      </c>
      <c r="L409">
        <f>tblCatalogo[[#This Row],[Costo_Base]]*21</f>
        <v>6300</v>
      </c>
    </row>
    <row r="410" spans="1:12" x14ac:dyDescent="0.35">
      <c r="A410" t="s">
        <v>830</v>
      </c>
      <c r="B410">
        <v>300</v>
      </c>
      <c r="C410" t="s">
        <v>849</v>
      </c>
      <c r="D410" t="s">
        <v>72</v>
      </c>
      <c r="E410" t="s">
        <v>867</v>
      </c>
      <c r="F410" t="s">
        <v>13</v>
      </c>
      <c r="G410" t="s">
        <v>74</v>
      </c>
      <c r="H410" t="s">
        <v>15</v>
      </c>
      <c r="I410" t="s">
        <v>16</v>
      </c>
      <c r="J410" s="6">
        <v>46030</v>
      </c>
      <c r="K410" t="s">
        <v>75</v>
      </c>
      <c r="L410">
        <f>tblCatalogo[[#This Row],[Costo_Base]]*21</f>
        <v>6300</v>
      </c>
    </row>
    <row r="411" spans="1:12" x14ac:dyDescent="0.35">
      <c r="A411" t="s">
        <v>831</v>
      </c>
      <c r="B411">
        <v>50</v>
      </c>
      <c r="C411" t="s">
        <v>850</v>
      </c>
      <c r="D411" t="s">
        <v>72</v>
      </c>
      <c r="E411" t="s">
        <v>868</v>
      </c>
      <c r="F411" t="s">
        <v>13</v>
      </c>
      <c r="G411" t="s">
        <v>74</v>
      </c>
      <c r="H411" t="s">
        <v>15</v>
      </c>
      <c r="I411" t="s">
        <v>16</v>
      </c>
      <c r="J411" s="6">
        <v>46030</v>
      </c>
      <c r="K411" t="s">
        <v>75</v>
      </c>
      <c r="L411">
        <f>tblCatalogo[[#This Row],[Costo_Base]]*21</f>
        <v>1050</v>
      </c>
    </row>
    <row r="412" spans="1:12" x14ac:dyDescent="0.35">
      <c r="A412" t="s">
        <v>832</v>
      </c>
      <c r="B412">
        <v>2</v>
      </c>
      <c r="C412" t="s">
        <v>851</v>
      </c>
      <c r="D412" t="s">
        <v>72</v>
      </c>
      <c r="E412" t="s">
        <v>869</v>
      </c>
      <c r="F412" t="s">
        <v>13</v>
      </c>
      <c r="G412" t="s">
        <v>74</v>
      </c>
      <c r="H412" t="s">
        <v>15</v>
      </c>
      <c r="I412" t="s">
        <v>16</v>
      </c>
      <c r="J412" s="6">
        <v>46030</v>
      </c>
      <c r="K412" t="s">
        <v>75</v>
      </c>
      <c r="L412">
        <f>tblCatalogo[[#This Row],[Costo_Base]]*21</f>
        <v>42</v>
      </c>
    </row>
    <row r="413" spans="1:12" x14ac:dyDescent="0.35">
      <c r="A413" t="s">
        <v>833</v>
      </c>
      <c r="B413">
        <v>800</v>
      </c>
      <c r="C413" t="s">
        <v>852</v>
      </c>
      <c r="D413" t="s">
        <v>72</v>
      </c>
      <c r="E413" t="s">
        <v>870</v>
      </c>
      <c r="F413" t="s">
        <v>13</v>
      </c>
      <c r="G413" t="s">
        <v>74</v>
      </c>
      <c r="H413" t="s">
        <v>15</v>
      </c>
      <c r="I413" t="s">
        <v>16</v>
      </c>
      <c r="J413" s="6">
        <v>46030</v>
      </c>
      <c r="K413" t="s">
        <v>75</v>
      </c>
      <c r="L413">
        <f>tblCatalogo[[#This Row],[Costo_Base]]*21</f>
        <v>16800</v>
      </c>
    </row>
    <row r="414" spans="1:12" x14ac:dyDescent="0.35">
      <c r="A414" t="s">
        <v>834</v>
      </c>
      <c r="B414">
        <v>800</v>
      </c>
      <c r="C414" t="s">
        <v>853</v>
      </c>
      <c r="D414" t="s">
        <v>72</v>
      </c>
      <c r="E414" t="s">
        <v>871</v>
      </c>
      <c r="F414" t="s">
        <v>13</v>
      </c>
      <c r="G414" t="s">
        <v>74</v>
      </c>
      <c r="H414" t="s">
        <v>15</v>
      </c>
      <c r="I414" t="s">
        <v>16</v>
      </c>
      <c r="J414" s="6">
        <v>46030</v>
      </c>
      <c r="K414" t="s">
        <v>75</v>
      </c>
      <c r="L414">
        <f>tblCatalogo[[#This Row],[Costo_Base]]*21</f>
        <v>16800</v>
      </c>
    </row>
    <row r="415" spans="1:12" x14ac:dyDescent="0.35">
      <c r="A415" t="s">
        <v>835</v>
      </c>
      <c r="B415">
        <v>20</v>
      </c>
      <c r="C415" t="s">
        <v>854</v>
      </c>
      <c r="D415" t="s">
        <v>72</v>
      </c>
      <c r="E415" t="s">
        <v>872</v>
      </c>
      <c r="F415" t="s">
        <v>13</v>
      </c>
      <c r="G415" t="s">
        <v>74</v>
      </c>
      <c r="H415" t="s">
        <v>15</v>
      </c>
      <c r="I415" t="s">
        <v>16</v>
      </c>
      <c r="J415" s="6">
        <v>46030</v>
      </c>
      <c r="K415" t="s">
        <v>75</v>
      </c>
      <c r="L415">
        <f>tblCatalogo[[#This Row],[Costo_Base]]*21</f>
        <v>420</v>
      </c>
    </row>
    <row r="416" spans="1:12" x14ac:dyDescent="0.35">
      <c r="A416" t="s">
        <v>836</v>
      </c>
      <c r="B416">
        <v>15</v>
      </c>
      <c r="C416" t="s">
        <v>854</v>
      </c>
      <c r="D416" t="s">
        <v>72</v>
      </c>
      <c r="E416" t="s">
        <v>873</v>
      </c>
      <c r="F416" t="s">
        <v>13</v>
      </c>
      <c r="G416" t="s">
        <v>74</v>
      </c>
      <c r="H416" t="s">
        <v>15</v>
      </c>
      <c r="I416" t="s">
        <v>16</v>
      </c>
      <c r="J416" s="6">
        <v>46030</v>
      </c>
      <c r="K416" t="s">
        <v>75</v>
      </c>
      <c r="L416">
        <f>tblCatalogo[[#This Row],[Costo_Base]]*21</f>
        <v>315</v>
      </c>
    </row>
    <row r="417" spans="1:12" x14ac:dyDescent="0.35">
      <c r="A417" t="s">
        <v>837</v>
      </c>
      <c r="B417">
        <v>240</v>
      </c>
      <c r="C417" t="s">
        <v>855</v>
      </c>
      <c r="D417" t="s">
        <v>72</v>
      </c>
      <c r="E417" t="s">
        <v>874</v>
      </c>
      <c r="F417" t="s">
        <v>13</v>
      </c>
      <c r="G417" t="s">
        <v>74</v>
      </c>
      <c r="H417" t="s">
        <v>15</v>
      </c>
      <c r="I417" t="s">
        <v>16</v>
      </c>
      <c r="J417" s="6">
        <v>46030</v>
      </c>
      <c r="K417" t="s">
        <v>75</v>
      </c>
      <c r="L417">
        <f>tblCatalogo[[#This Row],[Costo_Base]]*21</f>
        <v>5040</v>
      </c>
    </row>
    <row r="418" spans="1:12" x14ac:dyDescent="0.35">
      <c r="A418" t="s">
        <v>838</v>
      </c>
      <c r="B418">
        <v>150</v>
      </c>
      <c r="C418" t="s">
        <v>856</v>
      </c>
      <c r="D418" t="s">
        <v>72</v>
      </c>
      <c r="E418" t="s">
        <v>875</v>
      </c>
      <c r="F418" t="s">
        <v>13</v>
      </c>
      <c r="G418" t="s">
        <v>74</v>
      </c>
      <c r="H418" t="s">
        <v>15</v>
      </c>
      <c r="I418" t="s">
        <v>16</v>
      </c>
      <c r="J418" s="6">
        <v>46030</v>
      </c>
      <c r="K418" t="s">
        <v>75</v>
      </c>
      <c r="L418">
        <f>tblCatalogo[[#This Row],[Costo_Base]]*21</f>
        <v>3150</v>
      </c>
    </row>
    <row r="419" spans="1:12" x14ac:dyDescent="0.35">
      <c r="A419" t="s">
        <v>839</v>
      </c>
      <c r="B419">
        <v>50</v>
      </c>
      <c r="C419" t="s">
        <v>857</v>
      </c>
      <c r="D419" t="s">
        <v>72</v>
      </c>
      <c r="E419" t="s">
        <v>876</v>
      </c>
      <c r="F419" t="s">
        <v>13</v>
      </c>
      <c r="G419" t="s">
        <v>74</v>
      </c>
      <c r="H419" t="s">
        <v>15</v>
      </c>
      <c r="I419" t="s">
        <v>16</v>
      </c>
      <c r="J419" s="6">
        <v>46030</v>
      </c>
      <c r="K419" t="s">
        <v>75</v>
      </c>
      <c r="L419">
        <f>tblCatalogo[[#This Row],[Costo_Base]]*21</f>
        <v>1050</v>
      </c>
    </row>
    <row r="420" spans="1:12" x14ac:dyDescent="0.35">
      <c r="A420" t="s">
        <v>840</v>
      </c>
      <c r="B420">
        <v>25</v>
      </c>
      <c r="C420" t="s">
        <v>858</v>
      </c>
      <c r="D420" t="s">
        <v>72</v>
      </c>
      <c r="E420" t="s">
        <v>877</v>
      </c>
      <c r="F420" t="s">
        <v>13</v>
      </c>
      <c r="G420" t="s">
        <v>74</v>
      </c>
      <c r="H420" t="s">
        <v>15</v>
      </c>
      <c r="I420" t="s">
        <v>16</v>
      </c>
      <c r="J420" s="6">
        <v>46030</v>
      </c>
      <c r="K420" t="s">
        <v>75</v>
      </c>
      <c r="L420">
        <f>tblCatalogo[[#This Row],[Costo_Base]]*21</f>
        <v>525</v>
      </c>
    </row>
    <row r="421" spans="1:12" x14ac:dyDescent="0.35">
      <c r="A421" t="s">
        <v>841</v>
      </c>
      <c r="B421">
        <v>25</v>
      </c>
      <c r="C421" t="s">
        <v>859</v>
      </c>
      <c r="D421" t="s">
        <v>72</v>
      </c>
      <c r="E421" t="s">
        <v>878</v>
      </c>
      <c r="F421" t="s">
        <v>13</v>
      </c>
      <c r="G421" t="s">
        <v>74</v>
      </c>
      <c r="H421" t="s">
        <v>15</v>
      </c>
      <c r="I421" t="s">
        <v>16</v>
      </c>
      <c r="J421" s="6">
        <v>46030</v>
      </c>
      <c r="K421" t="s">
        <v>75</v>
      </c>
      <c r="L421">
        <f>tblCatalogo[[#This Row],[Costo_Base]]*21</f>
        <v>525</v>
      </c>
    </row>
    <row r="422" spans="1:12" x14ac:dyDescent="0.35">
      <c r="A422" t="s">
        <v>879</v>
      </c>
      <c r="B422">
        <v>300</v>
      </c>
      <c r="C422" t="s">
        <v>881</v>
      </c>
      <c r="D422" t="s">
        <v>72</v>
      </c>
      <c r="E422" t="s">
        <v>883</v>
      </c>
      <c r="F422" t="s">
        <v>13</v>
      </c>
      <c r="G422" t="s">
        <v>74</v>
      </c>
      <c r="H422" t="s">
        <v>15</v>
      </c>
      <c r="I422" t="s">
        <v>16</v>
      </c>
      <c r="J422" s="6">
        <v>46030</v>
      </c>
      <c r="K422" t="s">
        <v>75</v>
      </c>
      <c r="L422">
        <f>tblCatalogo[[#This Row],[Costo_Base]]*21</f>
        <v>6300</v>
      </c>
    </row>
    <row r="423" spans="1:12" x14ac:dyDescent="0.35">
      <c r="A423" t="s">
        <v>880</v>
      </c>
      <c r="B423">
        <v>300</v>
      </c>
      <c r="C423" t="s">
        <v>882</v>
      </c>
      <c r="D423" t="s">
        <v>72</v>
      </c>
      <c r="E423" t="s">
        <v>884</v>
      </c>
      <c r="F423" t="s">
        <v>13</v>
      </c>
      <c r="G423" t="s">
        <v>74</v>
      </c>
      <c r="H423" t="s">
        <v>15</v>
      </c>
      <c r="I423" t="s">
        <v>16</v>
      </c>
      <c r="J423" s="6">
        <v>46030</v>
      </c>
      <c r="K423" t="s">
        <v>75</v>
      </c>
      <c r="L423">
        <f>tblCatalogo[[#This Row],[Costo_Base]]*21</f>
        <v>6300</v>
      </c>
    </row>
    <row r="424" spans="1:12" x14ac:dyDescent="0.35">
      <c r="A424" t="s">
        <v>885</v>
      </c>
      <c r="B424">
        <v>108</v>
      </c>
      <c r="C424" t="s">
        <v>887</v>
      </c>
      <c r="D424" t="s">
        <v>72</v>
      </c>
      <c r="E424" t="s">
        <v>889</v>
      </c>
      <c r="F424" t="s">
        <v>13</v>
      </c>
      <c r="G424" t="s">
        <v>74</v>
      </c>
      <c r="H424" t="s">
        <v>15</v>
      </c>
      <c r="I424" t="s">
        <v>16</v>
      </c>
      <c r="J424" s="6">
        <v>46030</v>
      </c>
      <c r="K424" t="s">
        <v>75</v>
      </c>
      <c r="L424">
        <f>tblCatalogo[[#This Row],[Costo_Base]]*21</f>
        <v>2268</v>
      </c>
    </row>
    <row r="425" spans="1:12" x14ac:dyDescent="0.35">
      <c r="A425" t="s">
        <v>886</v>
      </c>
      <c r="B425">
        <v>150</v>
      </c>
      <c r="C425" t="s">
        <v>888</v>
      </c>
      <c r="D425" t="s">
        <v>72</v>
      </c>
      <c r="E425" t="s">
        <v>889</v>
      </c>
      <c r="F425" t="s">
        <v>13</v>
      </c>
      <c r="G425" t="s">
        <v>74</v>
      </c>
      <c r="H425" t="s">
        <v>15</v>
      </c>
      <c r="I425" t="s">
        <v>16</v>
      </c>
      <c r="J425" s="6">
        <v>46030</v>
      </c>
      <c r="K425" t="s">
        <v>75</v>
      </c>
      <c r="L425">
        <f>tblCatalogo[[#This Row],[Costo_Base]]*21</f>
        <v>3150</v>
      </c>
    </row>
    <row r="426" spans="1:12" x14ac:dyDescent="0.35">
      <c r="A426" t="s">
        <v>890</v>
      </c>
      <c r="B426">
        <v>50</v>
      </c>
      <c r="C426" t="s">
        <v>891</v>
      </c>
      <c r="D426" t="s">
        <v>72</v>
      </c>
      <c r="E426" t="s">
        <v>892</v>
      </c>
      <c r="F426" t="s">
        <v>13</v>
      </c>
      <c r="G426" t="s">
        <v>74</v>
      </c>
      <c r="H426" t="s">
        <v>15</v>
      </c>
      <c r="I426" t="s">
        <v>16</v>
      </c>
      <c r="J426" s="6">
        <v>46030</v>
      </c>
      <c r="K426" t="s">
        <v>75</v>
      </c>
      <c r="L426">
        <f>tblCatalogo[[#This Row],[Costo_Base]]*21</f>
        <v>1050</v>
      </c>
    </row>
    <row r="427" spans="1:12" x14ac:dyDescent="0.35">
      <c r="A427" t="s">
        <v>893</v>
      </c>
      <c r="B427">
        <v>30</v>
      </c>
      <c r="C427" t="s">
        <v>894</v>
      </c>
      <c r="D427" t="s">
        <v>72</v>
      </c>
      <c r="E427" t="s">
        <v>799</v>
      </c>
      <c r="F427" t="s">
        <v>13</v>
      </c>
      <c r="G427" t="s">
        <v>74</v>
      </c>
      <c r="H427" t="s">
        <v>15</v>
      </c>
      <c r="I427" t="s">
        <v>16</v>
      </c>
      <c r="J427" s="6">
        <v>46030</v>
      </c>
      <c r="K427" t="s">
        <v>75</v>
      </c>
      <c r="L427">
        <f>tblCatalogo[[#This Row],[Costo_Base]]*21</f>
        <v>630</v>
      </c>
    </row>
    <row r="428" spans="1:12" x14ac:dyDescent="0.35">
      <c r="A428" t="s">
        <v>895</v>
      </c>
      <c r="B428">
        <v>300</v>
      </c>
      <c r="C428" t="s">
        <v>896</v>
      </c>
      <c r="D428" t="s">
        <v>72</v>
      </c>
      <c r="E428" t="s">
        <v>897</v>
      </c>
      <c r="F428" t="s">
        <v>13</v>
      </c>
      <c r="G428" t="s">
        <v>74</v>
      </c>
      <c r="H428" t="s">
        <v>15</v>
      </c>
      <c r="I428" t="s">
        <v>16</v>
      </c>
      <c r="J428" s="6">
        <v>46030</v>
      </c>
      <c r="K428" t="s">
        <v>75</v>
      </c>
      <c r="L428">
        <f>tblCatalogo[[#This Row],[Costo_Base]]*21</f>
        <v>6300</v>
      </c>
    </row>
  </sheetData>
  <phoneticPr fontId="5" type="noConversion"/>
  <conditionalFormatting sqref="A2:A428">
    <cfRule type="duplicateValues" dxfId="0" priority="18"/>
  </conditionalFormatting>
  <dataValidations disablePrompts="1" count="3">
    <dataValidation type="list" sqref="F429:F2092" xr:uid="{00000000-0002-0000-0000-000000000000}">
      <formula1>"Importado,Nacional"</formula1>
    </dataValidation>
    <dataValidation type="list" sqref="F429:F2092 I429:J2092" xr:uid="{00000000-0002-0000-0000-000001000000}">
      <formula1>"MXN,USD,EUR,GBP"</formula1>
    </dataValidation>
    <dataValidation type="list" sqref="K429:K2092" xr:uid="{00000000-0002-0000-0000-000002000000}">
      <formula1>"Sí,No"</formula1>
    </dataValidation>
  </dataValidations>
  <pageMargins left="0.75" right="0.75" top="1" bottom="1" header="0.5" footer="0.5"/>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workbookViewId="0">
      <pane ySplit="1" topLeftCell="A2" activePane="bottomLeft" state="frozen"/>
      <selection pane="bottomLeft" activeCell="C3" sqref="C3"/>
    </sheetView>
  </sheetViews>
  <sheetFormatPr baseColWidth="10" defaultColWidth="8.7265625" defaultRowHeight="14.5" x14ac:dyDescent="0.35"/>
  <cols>
    <col min="1" max="3" width="14" customWidth="1"/>
    <col min="4" max="4" width="15" customWidth="1"/>
    <col min="6" max="7" width="40" customWidth="1"/>
    <col min="9" max="9" width="40" customWidth="1"/>
    <col min="12" max="12" width="30" customWidth="1"/>
  </cols>
  <sheetData>
    <row r="1" spans="1:6" x14ac:dyDescent="0.35">
      <c r="A1" t="s">
        <v>156</v>
      </c>
      <c r="B1" t="s">
        <v>157</v>
      </c>
      <c r="C1" t="s">
        <v>158</v>
      </c>
      <c r="D1" t="s">
        <v>1</v>
      </c>
      <c r="F1" t="s">
        <v>159</v>
      </c>
    </row>
    <row r="2" spans="1:6" x14ac:dyDescent="0.35">
      <c r="A2" t="s">
        <v>160</v>
      </c>
      <c r="B2" t="s">
        <v>161</v>
      </c>
      <c r="C2">
        <v>0.05</v>
      </c>
      <c r="D2" t="s">
        <v>162</v>
      </c>
      <c r="F2" t="s">
        <v>163</v>
      </c>
    </row>
    <row r="3" spans="1:6" x14ac:dyDescent="0.35">
      <c r="A3" t="s">
        <v>164</v>
      </c>
      <c r="B3" t="s">
        <v>161</v>
      </c>
      <c r="C3">
        <v>0.1</v>
      </c>
      <c r="D3" t="s">
        <v>165</v>
      </c>
    </row>
    <row r="4" spans="1:6" x14ac:dyDescent="0.35">
      <c r="A4" t="s">
        <v>166</v>
      </c>
      <c r="B4" t="s">
        <v>161</v>
      </c>
      <c r="C4">
        <v>0.05</v>
      </c>
      <c r="D4" t="s">
        <v>165</v>
      </c>
    </row>
    <row r="5" spans="1:6" x14ac:dyDescent="0.35">
      <c r="A5" t="s">
        <v>899</v>
      </c>
      <c r="B5" t="s">
        <v>161</v>
      </c>
      <c r="C5" s="10">
        <v>4.4999999999999997E-3</v>
      </c>
      <c r="D5" t="s">
        <v>167</v>
      </c>
    </row>
    <row r="6" spans="1:6" x14ac:dyDescent="0.35">
      <c r="A6" t="s">
        <v>186</v>
      </c>
      <c r="B6" t="s">
        <v>161</v>
      </c>
      <c r="C6">
        <v>6.0000000000000001E-3</v>
      </c>
    </row>
    <row r="7" spans="1:6" x14ac:dyDescent="0.35">
      <c r="A7" t="s">
        <v>477</v>
      </c>
      <c r="B7" t="s">
        <v>161</v>
      </c>
      <c r="C7">
        <v>0.1</v>
      </c>
    </row>
    <row r="8" spans="1:6" x14ac:dyDescent="0.35">
      <c r="A8" t="s">
        <v>898</v>
      </c>
      <c r="B8" t="s">
        <v>161</v>
      </c>
      <c r="C8">
        <v>8.0000000000000002E-3</v>
      </c>
    </row>
    <row r="26" spans="3:3" x14ac:dyDescent="0.35">
      <c r="C26" s="9"/>
    </row>
    <row r="27" spans="3:3" x14ac:dyDescent="0.35">
      <c r="C27" s="9"/>
    </row>
    <row r="28" spans="3:3" x14ac:dyDescent="0.35">
      <c r="C28" s="9"/>
    </row>
  </sheetData>
  <dataValidations count="1">
    <dataValidation type="list" sqref="B2:B50" xr:uid="{00000000-0002-0000-0200-000000000000}">
      <formula1>"%,Fijo_MXN"</formula1>
    </dataValidation>
  </dataValidations>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activeCell="D20" sqref="D20"/>
    </sheetView>
  </sheetViews>
  <sheetFormatPr baseColWidth="10" defaultColWidth="8.7265625" defaultRowHeight="14.5" x14ac:dyDescent="0.35"/>
  <cols>
    <col min="1" max="1" width="14" customWidth="1"/>
    <col min="2" max="2" width="14" style="2" customWidth="1"/>
    <col min="3" max="3" width="16" customWidth="1"/>
    <col min="4" max="4" width="14" customWidth="1"/>
  </cols>
  <sheetData>
    <row r="1" spans="1:4" x14ac:dyDescent="0.35">
      <c r="A1" t="s">
        <v>154</v>
      </c>
      <c r="B1" t="s">
        <v>168</v>
      </c>
      <c r="C1" t="s">
        <v>169</v>
      </c>
      <c r="D1" t="s">
        <v>170</v>
      </c>
    </row>
    <row r="2" spans="1:4" x14ac:dyDescent="0.35">
      <c r="A2" t="s">
        <v>171</v>
      </c>
      <c r="B2">
        <v>1</v>
      </c>
      <c r="C2" t="s">
        <v>172</v>
      </c>
      <c r="D2" s="6">
        <v>46021</v>
      </c>
    </row>
    <row r="3" spans="1:4" x14ac:dyDescent="0.35">
      <c r="A3" t="s">
        <v>16</v>
      </c>
      <c r="B3">
        <v>21</v>
      </c>
      <c r="C3" t="s">
        <v>173</v>
      </c>
      <c r="D3" s="6">
        <v>46021</v>
      </c>
    </row>
    <row r="4" spans="1:4" x14ac:dyDescent="0.35">
      <c r="A4" t="s">
        <v>174</v>
      </c>
      <c r="B4">
        <v>22</v>
      </c>
      <c r="C4" t="s">
        <v>175</v>
      </c>
      <c r="D4" s="6">
        <v>46021</v>
      </c>
    </row>
    <row r="5" spans="1:4" x14ac:dyDescent="0.35">
      <c r="A5" t="s">
        <v>176</v>
      </c>
      <c r="B5">
        <v>25.5</v>
      </c>
      <c r="C5" t="s">
        <v>175</v>
      </c>
      <c r="D5" s="6">
        <v>46021</v>
      </c>
    </row>
    <row r="6" spans="1:4" x14ac:dyDescent="0.35">
      <c r="B6"/>
    </row>
    <row r="7" spans="1:4" x14ac:dyDescent="0.35">
      <c r="B7"/>
    </row>
    <row r="8" spans="1:4" x14ac:dyDescent="0.35">
      <c r="B8"/>
    </row>
    <row r="9" spans="1:4" x14ac:dyDescent="0.35">
      <c r="B9"/>
    </row>
    <row r="10" spans="1:4" x14ac:dyDescent="0.35">
      <c r="B10"/>
    </row>
    <row r="11" spans="1:4" x14ac:dyDescent="0.35">
      <c r="B11"/>
    </row>
    <row r="12" spans="1:4" x14ac:dyDescent="0.35">
      <c r="B12"/>
    </row>
    <row r="13" spans="1:4" x14ac:dyDescent="0.35">
      <c r="B13"/>
    </row>
    <row r="14" spans="1:4" x14ac:dyDescent="0.35">
      <c r="B14"/>
    </row>
    <row r="15" spans="1:4" x14ac:dyDescent="0.35">
      <c r="B15"/>
    </row>
    <row r="16" spans="1:4" x14ac:dyDescent="0.35">
      <c r="B16"/>
    </row>
    <row r="17" spans="2:2" x14ac:dyDescent="0.35">
      <c r="B17"/>
    </row>
    <row r="18" spans="2:2" x14ac:dyDescent="0.35">
      <c r="B18"/>
    </row>
    <row r="19" spans="2:2" x14ac:dyDescent="0.35">
      <c r="B19"/>
    </row>
    <row r="20" spans="2:2" x14ac:dyDescent="0.35">
      <c r="B20"/>
    </row>
  </sheetData>
  <dataValidations count="1">
    <dataValidation type="list" sqref="A2:A50 F2:F2000 C2:C2000" xr:uid="{00000000-0002-0000-0300-000000000000}">
      <formula1>"MXN,USD,EUR,GBP"</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00"/>
  <sheetViews>
    <sheetView zoomScaleNormal="100" workbookViewId="0">
      <pane ySplit="1" topLeftCell="A2" activePane="bottomLeft" state="frozen"/>
      <selection pane="bottomLeft" activeCell="A2" sqref="A2"/>
    </sheetView>
  </sheetViews>
  <sheetFormatPr baseColWidth="10" defaultColWidth="8.7265625" defaultRowHeight="14.5" x14ac:dyDescent="0.35"/>
  <cols>
    <col min="1" max="6" width="14" customWidth="1"/>
    <col min="7" max="7" width="18" customWidth="1"/>
    <col min="8" max="12" width="14" customWidth="1"/>
    <col min="13" max="13" width="21" customWidth="1"/>
    <col min="14" max="14" width="19" customWidth="1"/>
    <col min="15" max="15" width="9.81640625" bestFit="1" customWidth="1"/>
  </cols>
  <sheetData>
    <row r="1" spans="1:15" x14ac:dyDescent="0.35">
      <c r="A1" s="1" t="s">
        <v>0</v>
      </c>
      <c r="B1" s="1" t="s">
        <v>177</v>
      </c>
      <c r="C1" s="1" t="s">
        <v>4</v>
      </c>
      <c r="D1" s="1" t="s">
        <v>154</v>
      </c>
      <c r="E1" s="1" t="s">
        <v>153</v>
      </c>
      <c r="F1" s="1" t="s">
        <v>168</v>
      </c>
      <c r="G1" s="1" t="s">
        <v>178</v>
      </c>
      <c r="H1" s="1" t="s">
        <v>179</v>
      </c>
      <c r="I1" s="1" t="s">
        <v>180</v>
      </c>
      <c r="J1" s="1" t="s">
        <v>181</v>
      </c>
      <c r="K1" s="1" t="s">
        <v>478</v>
      </c>
      <c r="L1" s="1" t="s">
        <v>898</v>
      </c>
      <c r="M1" s="1" t="s">
        <v>899</v>
      </c>
      <c r="N1" s="1" t="s">
        <v>182</v>
      </c>
      <c r="O1" s="1" t="s">
        <v>477</v>
      </c>
    </row>
    <row r="2" spans="1:15" x14ac:dyDescent="0.35">
      <c r="A2" s="4" t="s">
        <v>301</v>
      </c>
      <c r="B2" s="4" t="s">
        <v>160</v>
      </c>
      <c r="C2" t="str">
        <f>_xlfn.XLOOKUP(A2,CATALOGO_PRODUCTOS!A:A,CATALOGO_PRODUCTOS!F:F,"",0)</f>
        <v>Importado</v>
      </c>
      <c r="D2" t="str">
        <f>_xlfn.XLOOKUP(A2,CATALOGO_PRODUCTOS!A:A,CATALOGO_PRODUCTOS!I:I,"",0)</f>
        <v>USD</v>
      </c>
      <c r="E2" s="2">
        <f>_xlfn.XLOOKUP(A2,CATALOGO_PRODUCTOS!A:A,CATALOGO_PRODUCTOS!B:B,0,0)</f>
        <v>2.35E-2</v>
      </c>
      <c r="F2" s="2">
        <f>_xlfn.XLOOKUP(D2,TIPOS_CAMBIO!A:A,TIPOS_CAMBIO!B:B,"",0)</f>
        <v>21</v>
      </c>
      <c r="G2" s="7">
        <f>$E2*$F2</f>
        <v>0.49349999999999999</v>
      </c>
      <c r="H2" s="8">
        <f>_xlfn.XLOOKUP($B$2,PARAMETROS_IMPORTACION!A:A,PARAMETROS_IMPORTACION!C:C,0,0)</f>
        <v>0.05</v>
      </c>
      <c r="I2" s="8">
        <f>_xlfn.XLOOKUP("Seguro",PARAMETROS_IMPORTACION!A:A,PARAMETROS_IMPORTACION!C:C,0,0)</f>
        <v>6.0000000000000001E-3</v>
      </c>
      <c r="J2" s="8">
        <f>_xlfn.XLOOKUP("Arancel",PARAMETROS_IMPORTACION!A:A,PARAMETROS_IMPORTACION!C:C,0,0)</f>
        <v>0.05</v>
      </c>
      <c r="K2" s="8">
        <f>_xlfn.XLOOKUP("Mark_up",PARAMETROS_IMPORTACION!A:A,PARAMETROS_IMPORTACION!C:C,0,0)</f>
        <v>0.1</v>
      </c>
      <c r="L2" s="8">
        <f>_xlfn.XLOOKUP("DTA",PARAMETROS_IMPORTACION!A:A,PARAMETROS_IMPORTACION!C:C,0,0)</f>
        <v>8.0000000000000002E-3</v>
      </c>
      <c r="M2" s="11">
        <f>_xlfn.XLOOKUP("Honorarios_Aduanales",PARAMETROS_IMPORTACION!A:A,PARAMETROS_IMPORTACION!C:C,0,0)</f>
        <v>4.4999999999999997E-3</v>
      </c>
      <c r="N2" s="2">
        <f>IF($C2="Importado",$G2*(1+$H2+I2+$J2+$L2+$M2),$G2)</f>
        <v>0.55197974999999999</v>
      </c>
      <c r="O2" s="2">
        <f>N2 * (1 + K2)</f>
        <v>0.607177725</v>
      </c>
    </row>
    <row r="3" spans="1:15" x14ac:dyDescent="0.35">
      <c r="A3" t="s">
        <v>302</v>
      </c>
      <c r="B3" s="4" t="s">
        <v>160</v>
      </c>
      <c r="C3" t="str">
        <f>_xlfn.XLOOKUP(A3,CATALOGO_PRODUCTOS!A:A,CATALOGO_PRODUCTOS!F:F,"",0)</f>
        <v>Importado</v>
      </c>
      <c r="D3" t="str">
        <f>_xlfn.XLOOKUP(A3,CATALOGO_PRODUCTOS!A:A,CATALOGO_PRODUCTOS!I:I,"",0)</f>
        <v>USD</v>
      </c>
      <c r="E3" s="2">
        <f>_xlfn.XLOOKUP(A3,CATALOGO_PRODUCTOS!A:A,CATALOGO_PRODUCTOS!B:B,0,0)</f>
        <v>2.9000000000000001E-2</v>
      </c>
      <c r="F3" s="2">
        <f>_xlfn.XLOOKUP(D3,TIPOS_CAMBIO!A:A,TIPOS_CAMBIO!B:B,"",0)</f>
        <v>21</v>
      </c>
      <c r="G3" s="7">
        <f>$E3*$F3</f>
        <v>0.60899999999999999</v>
      </c>
      <c r="H3" s="8">
        <f>_xlfn.XLOOKUP($B$3,PARAMETROS_IMPORTACION!A:A,PARAMETROS_IMPORTACION!C:C,0,0)</f>
        <v>0.05</v>
      </c>
      <c r="I3" s="8">
        <f>_xlfn.XLOOKUP("Seguro",PARAMETROS_IMPORTACION!A:A,PARAMETROS_IMPORTACION!C:C,0,0)</f>
        <v>6.0000000000000001E-3</v>
      </c>
      <c r="J3" s="8">
        <f>_xlfn.XLOOKUP("Arancel",PARAMETROS_IMPORTACION!A:A,PARAMETROS_IMPORTACION!C:C,0,0)</f>
        <v>0.05</v>
      </c>
      <c r="K3" s="8">
        <f>_xlfn.XLOOKUP("Mark_up",PARAMETROS_IMPORTACION!A:A,PARAMETROS_IMPORTACION!C:C,0,0)</f>
        <v>0.1</v>
      </c>
      <c r="L3" s="8">
        <f>_xlfn.XLOOKUP("DTA",PARAMETROS_IMPORTACION!A:A,PARAMETROS_IMPORTACION!C:C,0,0)</f>
        <v>8.0000000000000002E-3</v>
      </c>
      <c r="M3" s="11">
        <f>_xlfn.XLOOKUP("Honorarios_Aduanales",PARAMETROS_IMPORTACION!A:A,PARAMETROS_IMPORTACION!C:C,0,0)</f>
        <v>4.4999999999999997E-3</v>
      </c>
      <c r="N3" s="2">
        <f>IF($C3="Importado",$G3*(1+$H3+I3+$J3+$L3+$M3),$G3)</f>
        <v>0.68116650000000001</v>
      </c>
      <c r="O3" s="2">
        <f>N3 * (1 + K3)</f>
        <v>0.74928315000000012</v>
      </c>
    </row>
    <row r="4" spans="1:15" x14ac:dyDescent="0.35">
      <c r="A4" t="s">
        <v>303</v>
      </c>
      <c r="B4" s="4" t="s">
        <v>160</v>
      </c>
      <c r="C4" t="str">
        <f>_xlfn.XLOOKUP(A4,CATALOGO_PRODUCTOS!A:A,CATALOGO_PRODUCTOS!F:F,"",0)</f>
        <v>Importado</v>
      </c>
      <c r="D4" t="str">
        <f>_xlfn.XLOOKUP(A4,CATALOGO_PRODUCTOS!A:A,CATALOGO_PRODUCTOS!I:I,"",0)</f>
        <v>USD</v>
      </c>
      <c r="E4" s="2">
        <f>_xlfn.XLOOKUP(A4,CATALOGO_PRODUCTOS!A:A,CATALOGO_PRODUCTOS!B:B,0,0)</f>
        <v>3.6999999999999998E-2</v>
      </c>
      <c r="F4" s="2">
        <f>_xlfn.XLOOKUP(D4,TIPOS_CAMBIO!A:A,TIPOS_CAMBIO!B:B,"",0)</f>
        <v>21</v>
      </c>
      <c r="G4" s="7">
        <f>$E4*$F4</f>
        <v>0.77699999999999991</v>
      </c>
      <c r="H4" s="8">
        <f>_xlfn.XLOOKUP($B$4,PARAMETROS_IMPORTACION!A:A,PARAMETROS_IMPORTACION!C:C,0,0)</f>
        <v>0.05</v>
      </c>
      <c r="I4" s="8">
        <f>_xlfn.XLOOKUP("Seguro",PARAMETROS_IMPORTACION!A:A,PARAMETROS_IMPORTACION!C:C,0,0)</f>
        <v>6.0000000000000001E-3</v>
      </c>
      <c r="J4" s="8">
        <f>_xlfn.XLOOKUP("Arancel",PARAMETROS_IMPORTACION!A:A,PARAMETROS_IMPORTACION!C:C,0,0)</f>
        <v>0.05</v>
      </c>
      <c r="K4" s="8">
        <f>_xlfn.XLOOKUP("Mark_up",PARAMETROS_IMPORTACION!A:A,PARAMETROS_IMPORTACION!C:C,0,0)</f>
        <v>0.1</v>
      </c>
      <c r="L4" s="8">
        <f>_xlfn.XLOOKUP("DTA",PARAMETROS_IMPORTACION!A:A,PARAMETROS_IMPORTACION!C:C,0,0)</f>
        <v>8.0000000000000002E-3</v>
      </c>
      <c r="M4" s="11">
        <f>_xlfn.XLOOKUP("Honorarios_Aduanales",PARAMETROS_IMPORTACION!A:A,PARAMETROS_IMPORTACION!C:C,0,0)</f>
        <v>4.4999999999999997E-3</v>
      </c>
      <c r="N4" s="2">
        <f>IF($C4="Importado",$G4*(1+$H4+I4+$J4+$L4+$M4),$G4)</f>
        <v>0.86907449999999997</v>
      </c>
      <c r="O4" s="2">
        <f>N4 * (1 + K4)</f>
        <v>0.95598195000000008</v>
      </c>
    </row>
    <row r="5" spans="1:15" x14ac:dyDescent="0.35">
      <c r="A5" s="4" t="s">
        <v>301</v>
      </c>
      <c r="B5" s="4" t="s">
        <v>164</v>
      </c>
      <c r="C5" t="str">
        <f>_xlfn.XLOOKUP(A5,CATALOGO_PRODUCTOS!A:A,CATALOGO_PRODUCTOS!F:F,"",0)</f>
        <v>Importado</v>
      </c>
      <c r="D5" t="str">
        <f>_xlfn.XLOOKUP(A5,CATALOGO_PRODUCTOS!A:A,CATALOGO_PRODUCTOS!I:I,"",0)</f>
        <v>USD</v>
      </c>
      <c r="E5" s="2">
        <f>_xlfn.XLOOKUP(A5,CATALOGO_PRODUCTOS!A:A,CATALOGO_PRODUCTOS!B:B,0,0)</f>
        <v>2.35E-2</v>
      </c>
      <c r="F5" s="2">
        <f>_xlfn.XLOOKUP(D5,TIPOS_CAMBIO!A:A,TIPOS_CAMBIO!B:B,"",0)</f>
        <v>21</v>
      </c>
      <c r="G5" s="7">
        <f t="shared" ref="G5:G7" si="0">$E5*$F5</f>
        <v>0.49349999999999999</v>
      </c>
      <c r="H5" s="8">
        <f>_xlfn.XLOOKUP($B$5,PARAMETROS_IMPORTACION!A:A,PARAMETROS_IMPORTACION!C:C,0,0)</f>
        <v>0.1</v>
      </c>
      <c r="I5" s="8">
        <f>_xlfn.XLOOKUP("Seguro",PARAMETROS_IMPORTACION!A:A,PARAMETROS_IMPORTACION!C:C,0,0)</f>
        <v>6.0000000000000001E-3</v>
      </c>
      <c r="J5" s="8">
        <f>_xlfn.XLOOKUP("Arancel",PARAMETROS_IMPORTACION!A:A,PARAMETROS_IMPORTACION!C:C,0,0)</f>
        <v>0.05</v>
      </c>
      <c r="K5" s="8">
        <f>_xlfn.XLOOKUP("Mark_up",PARAMETROS_IMPORTACION!A:A,PARAMETROS_IMPORTACION!C:C,0,0)</f>
        <v>0.1</v>
      </c>
      <c r="L5" s="8">
        <f>_xlfn.XLOOKUP("DTA",PARAMETROS_IMPORTACION!A:A,PARAMETROS_IMPORTACION!C:C,0,0)</f>
        <v>8.0000000000000002E-3</v>
      </c>
      <c r="M5" s="11">
        <f>_xlfn.XLOOKUP("Honorarios_Aduanales",PARAMETROS_IMPORTACION!A:A,PARAMETROS_IMPORTACION!C:C,0,0)</f>
        <v>4.4999999999999997E-3</v>
      </c>
      <c r="N5" s="2">
        <f t="shared" ref="N5:N7" si="1">IF($C5="Importado",$G5*(1+$H5+I5+$J5+$L5+$M5),$G5)</f>
        <v>0.57665474999999999</v>
      </c>
      <c r="O5" s="2">
        <f t="shared" ref="O5:O7" si="2">N5 * (1 + K5)</f>
        <v>0.63432022500000007</v>
      </c>
    </row>
    <row r="6" spans="1:15" x14ac:dyDescent="0.35">
      <c r="A6" t="s">
        <v>302</v>
      </c>
      <c r="B6" s="4" t="s">
        <v>164</v>
      </c>
      <c r="C6" t="str">
        <f>_xlfn.XLOOKUP(A6,CATALOGO_PRODUCTOS!A:A,CATALOGO_PRODUCTOS!F:F,"",0)</f>
        <v>Importado</v>
      </c>
      <c r="D6" t="str">
        <f>_xlfn.XLOOKUP(A6,CATALOGO_PRODUCTOS!A:A,CATALOGO_PRODUCTOS!I:I,"",0)</f>
        <v>USD</v>
      </c>
      <c r="E6" s="2">
        <f>_xlfn.XLOOKUP(A6,CATALOGO_PRODUCTOS!A:A,CATALOGO_PRODUCTOS!B:B,0,0)</f>
        <v>2.9000000000000001E-2</v>
      </c>
      <c r="F6" s="2">
        <f>_xlfn.XLOOKUP(D6,TIPOS_CAMBIO!A:A,TIPOS_CAMBIO!B:B,"",0)</f>
        <v>21</v>
      </c>
      <c r="G6" s="7">
        <f t="shared" si="0"/>
        <v>0.60899999999999999</v>
      </c>
      <c r="H6" s="8">
        <f>_xlfn.XLOOKUP($B$6,PARAMETROS_IMPORTACION!A:A,PARAMETROS_IMPORTACION!C:C,0,0)</f>
        <v>0.1</v>
      </c>
      <c r="I6" s="8">
        <f>_xlfn.XLOOKUP("Seguro",PARAMETROS_IMPORTACION!A:A,PARAMETROS_IMPORTACION!C:C,0,0)</f>
        <v>6.0000000000000001E-3</v>
      </c>
      <c r="J6" s="8">
        <f>_xlfn.XLOOKUP("Arancel",PARAMETROS_IMPORTACION!A:A,PARAMETROS_IMPORTACION!C:C,0,0)</f>
        <v>0.05</v>
      </c>
      <c r="K6" s="8">
        <f>_xlfn.XLOOKUP("Mark_up",PARAMETROS_IMPORTACION!A:A,PARAMETROS_IMPORTACION!C:C,0,0)</f>
        <v>0.1</v>
      </c>
      <c r="L6" s="8">
        <f>_xlfn.XLOOKUP("DTA",PARAMETROS_IMPORTACION!A:A,PARAMETROS_IMPORTACION!C:C,0,0)</f>
        <v>8.0000000000000002E-3</v>
      </c>
      <c r="M6" s="11">
        <f>_xlfn.XLOOKUP("Honorarios_Aduanales",PARAMETROS_IMPORTACION!A:A,PARAMETROS_IMPORTACION!C:C,0,0)</f>
        <v>4.4999999999999997E-3</v>
      </c>
      <c r="N6" s="2">
        <f t="shared" si="1"/>
        <v>0.7116165000000001</v>
      </c>
      <c r="O6" s="2">
        <f t="shared" si="2"/>
        <v>0.78277815000000017</v>
      </c>
    </row>
    <row r="7" spans="1:15" x14ac:dyDescent="0.35">
      <c r="A7" t="s">
        <v>303</v>
      </c>
      <c r="B7" s="4" t="s">
        <v>164</v>
      </c>
      <c r="C7" t="str">
        <f>_xlfn.XLOOKUP(A7,CATALOGO_PRODUCTOS!A:A,CATALOGO_PRODUCTOS!F:F,"",0)</f>
        <v>Importado</v>
      </c>
      <c r="D7" t="str">
        <f>_xlfn.XLOOKUP(A7,CATALOGO_PRODUCTOS!A:A,CATALOGO_PRODUCTOS!I:I,"",0)</f>
        <v>USD</v>
      </c>
      <c r="E7" s="2">
        <f>_xlfn.XLOOKUP(A7,CATALOGO_PRODUCTOS!A:A,CATALOGO_PRODUCTOS!B:B,0,0)</f>
        <v>3.6999999999999998E-2</v>
      </c>
      <c r="F7" s="2">
        <f>_xlfn.XLOOKUP(D7,TIPOS_CAMBIO!A:A,TIPOS_CAMBIO!B:B,"",0)</f>
        <v>21</v>
      </c>
      <c r="G7" s="7">
        <f t="shared" si="0"/>
        <v>0.77699999999999991</v>
      </c>
      <c r="H7" s="8">
        <f>_xlfn.XLOOKUP($B$7,PARAMETROS_IMPORTACION!A:A,PARAMETROS_IMPORTACION!C:C,0,0)</f>
        <v>0.1</v>
      </c>
      <c r="I7" s="8">
        <f>_xlfn.XLOOKUP("Seguro",PARAMETROS_IMPORTACION!A:A,PARAMETROS_IMPORTACION!C:C,0,0)</f>
        <v>6.0000000000000001E-3</v>
      </c>
      <c r="J7" s="8">
        <f>_xlfn.XLOOKUP("Arancel",PARAMETROS_IMPORTACION!A:A,PARAMETROS_IMPORTACION!C:C,0,0)</f>
        <v>0.05</v>
      </c>
      <c r="K7" s="8">
        <f>_xlfn.XLOOKUP("Mark_up",PARAMETROS_IMPORTACION!A:A,PARAMETROS_IMPORTACION!C:C,0,0)</f>
        <v>0.1</v>
      </c>
      <c r="L7" s="8">
        <f>_xlfn.XLOOKUP("DTA",PARAMETROS_IMPORTACION!A:A,PARAMETROS_IMPORTACION!C:C,0,0)</f>
        <v>8.0000000000000002E-3</v>
      </c>
      <c r="M7" s="11">
        <f>_xlfn.XLOOKUP("Honorarios_Aduanales",PARAMETROS_IMPORTACION!A:A,PARAMETROS_IMPORTACION!C:C,0,0)</f>
        <v>4.4999999999999997E-3</v>
      </c>
      <c r="N7" s="2">
        <f t="shared" si="1"/>
        <v>0.90792450000000002</v>
      </c>
      <c r="O7" s="2">
        <f t="shared" si="2"/>
        <v>0.99871695000000016</v>
      </c>
    </row>
    <row r="8" spans="1:15" x14ac:dyDescent="0.35">
      <c r="E8" s="2"/>
      <c r="F8" s="2"/>
      <c r="G8" s="3"/>
      <c r="H8" s="3"/>
      <c r="I8" s="3"/>
      <c r="J8" s="3"/>
      <c r="K8" s="3"/>
      <c r="L8" s="3"/>
      <c r="M8" s="2"/>
      <c r="N8" s="2"/>
    </row>
    <row r="9" spans="1:15" x14ac:dyDescent="0.35">
      <c r="E9" s="2"/>
      <c r="F9" s="2"/>
      <c r="G9" s="3"/>
      <c r="H9" s="3"/>
      <c r="I9" s="3"/>
      <c r="J9" s="3"/>
      <c r="K9" s="3"/>
      <c r="L9" s="3"/>
      <c r="M9" s="2"/>
      <c r="N9" s="2"/>
    </row>
    <row r="10" spans="1:15" x14ac:dyDescent="0.35">
      <c r="E10" s="2"/>
      <c r="F10" s="2"/>
      <c r="G10" s="3"/>
      <c r="H10" s="3"/>
      <c r="I10" s="3"/>
      <c r="J10" s="3"/>
      <c r="K10" s="3"/>
      <c r="L10" s="3"/>
      <c r="M10" s="2"/>
      <c r="N10" s="2"/>
    </row>
    <row r="11" spans="1:15" x14ac:dyDescent="0.35">
      <c r="E11" s="2"/>
      <c r="F11" s="2"/>
      <c r="G11" s="3"/>
      <c r="H11" s="3"/>
      <c r="I11" s="3"/>
      <c r="J11" s="3"/>
      <c r="K11" s="3"/>
      <c r="L11" s="3"/>
      <c r="M11" s="2"/>
      <c r="N11" s="2"/>
    </row>
    <row r="12" spans="1:15" x14ac:dyDescent="0.35">
      <c r="E12" s="2"/>
      <c r="F12" s="2"/>
      <c r="G12" s="3"/>
      <c r="H12" s="3"/>
      <c r="I12" s="3"/>
      <c r="J12" s="3"/>
      <c r="K12" s="3"/>
      <c r="L12" s="3"/>
      <c r="M12" s="2"/>
      <c r="N12" s="2"/>
    </row>
    <row r="13" spans="1:15" x14ac:dyDescent="0.35">
      <c r="E13" s="2"/>
      <c r="F13" s="2"/>
      <c r="G13" s="3"/>
      <c r="H13" s="3"/>
      <c r="I13" s="3"/>
      <c r="J13" s="3"/>
      <c r="K13" s="3"/>
      <c r="L13" s="3"/>
      <c r="M13" s="2"/>
      <c r="N13" s="2"/>
    </row>
    <row r="14" spans="1:15" x14ac:dyDescent="0.35">
      <c r="E14" s="2"/>
      <c r="F14" s="2"/>
      <c r="G14" s="3"/>
      <c r="H14" s="3"/>
      <c r="I14" s="3"/>
      <c r="J14" s="3"/>
      <c r="K14" s="3"/>
      <c r="L14" s="3"/>
      <c r="M14" s="2"/>
      <c r="N14" s="2"/>
    </row>
    <row r="15" spans="1:15" x14ac:dyDescent="0.35">
      <c r="E15" s="2"/>
      <c r="F15" s="2"/>
      <c r="G15" s="3"/>
      <c r="H15" s="3"/>
      <c r="I15" s="3"/>
      <c r="J15" s="3"/>
      <c r="K15" s="3"/>
      <c r="L15" s="3"/>
      <c r="M15" s="2"/>
      <c r="N15" s="2"/>
    </row>
    <row r="16" spans="1:15" x14ac:dyDescent="0.35">
      <c r="E16" s="2"/>
      <c r="F16" s="2"/>
      <c r="G16" s="3"/>
      <c r="H16" s="3"/>
      <c r="I16" s="3"/>
      <c r="J16" s="3"/>
      <c r="K16" s="3"/>
      <c r="L16" s="3"/>
      <c r="M16" s="2"/>
      <c r="N16" s="2"/>
    </row>
    <row r="17" spans="5:14" x14ac:dyDescent="0.35">
      <c r="E17" s="2"/>
      <c r="F17" s="2"/>
      <c r="G17" s="3"/>
      <c r="H17" s="3"/>
      <c r="I17" s="3"/>
      <c r="J17" s="3"/>
      <c r="K17" s="3"/>
      <c r="L17" s="3"/>
      <c r="M17" s="2"/>
      <c r="N17" s="2"/>
    </row>
    <row r="18" spans="5:14" x14ac:dyDescent="0.35">
      <c r="E18" s="2"/>
      <c r="F18" s="2"/>
      <c r="G18" s="3"/>
      <c r="H18" s="3"/>
      <c r="I18" s="3"/>
      <c r="J18" s="3"/>
      <c r="K18" s="3"/>
      <c r="L18" s="3"/>
      <c r="M18" s="2"/>
      <c r="N18" s="2"/>
    </row>
    <row r="19" spans="5:14" x14ac:dyDescent="0.35">
      <c r="E19" s="2"/>
      <c r="F19" s="2"/>
      <c r="G19" s="3"/>
      <c r="H19" s="3"/>
      <c r="I19" s="3"/>
      <c r="J19" s="3"/>
      <c r="K19" s="3"/>
      <c r="L19" s="3"/>
      <c r="M19" s="2"/>
      <c r="N19" s="2"/>
    </row>
    <row r="20" spans="5:14" x14ac:dyDescent="0.35">
      <c r="E20" s="2"/>
      <c r="F20" s="2"/>
      <c r="G20" s="3"/>
      <c r="H20" s="3"/>
      <c r="I20" s="3"/>
      <c r="J20" s="3"/>
      <c r="K20" s="3"/>
      <c r="L20" s="3"/>
      <c r="M20" s="2"/>
      <c r="N20" s="2"/>
    </row>
    <row r="21" spans="5:14" x14ac:dyDescent="0.35">
      <c r="E21" s="2"/>
      <c r="F21" s="2"/>
      <c r="G21" s="3"/>
      <c r="H21" s="3"/>
      <c r="I21" s="3"/>
      <c r="J21" s="3"/>
      <c r="K21" s="3"/>
      <c r="L21" s="3"/>
      <c r="M21" s="2"/>
      <c r="N21" s="2"/>
    </row>
    <row r="22" spans="5:14" x14ac:dyDescent="0.35">
      <c r="E22" s="2"/>
      <c r="F22" s="2"/>
      <c r="G22" s="3"/>
      <c r="H22" s="3"/>
      <c r="I22" s="3"/>
      <c r="J22" s="3"/>
      <c r="K22" s="3"/>
      <c r="L22" s="3"/>
      <c r="M22" s="2"/>
      <c r="N22" s="2"/>
    </row>
    <row r="23" spans="5:14" x14ac:dyDescent="0.35">
      <c r="E23" s="2"/>
      <c r="F23" s="2"/>
      <c r="G23" s="3"/>
      <c r="H23" s="3"/>
      <c r="I23" s="3"/>
      <c r="J23" s="3"/>
      <c r="K23" s="3"/>
      <c r="L23" s="3"/>
      <c r="M23" s="2"/>
      <c r="N23" s="2"/>
    </row>
    <row r="24" spans="5:14" x14ac:dyDescent="0.35">
      <c r="E24" s="2"/>
      <c r="F24" s="2"/>
      <c r="G24" s="3"/>
      <c r="H24" s="3"/>
      <c r="I24" s="3"/>
      <c r="J24" s="3"/>
      <c r="K24" s="3"/>
      <c r="L24" s="3"/>
      <c r="M24" s="2"/>
      <c r="N24" s="2"/>
    </row>
    <row r="25" spans="5:14" x14ac:dyDescent="0.35">
      <c r="E25" s="2"/>
      <c r="F25" s="2"/>
      <c r="G25" s="3"/>
      <c r="H25" s="3"/>
      <c r="I25" s="3"/>
      <c r="J25" s="3"/>
      <c r="K25" s="3"/>
      <c r="L25" s="3"/>
      <c r="M25" s="2"/>
      <c r="N25" s="2"/>
    </row>
    <row r="26" spans="5:14" x14ac:dyDescent="0.35">
      <c r="E26" s="2"/>
      <c r="F26" s="2"/>
      <c r="G26" s="3"/>
      <c r="H26" s="3"/>
      <c r="I26" s="3"/>
      <c r="J26" s="3"/>
      <c r="K26" s="3"/>
      <c r="L26" s="3"/>
      <c r="M26" s="2"/>
      <c r="N26" s="2"/>
    </row>
    <row r="27" spans="5:14" x14ac:dyDescent="0.35">
      <c r="E27" s="2"/>
      <c r="F27" s="2"/>
      <c r="G27" s="3"/>
      <c r="H27" s="3"/>
      <c r="I27" s="3"/>
      <c r="J27" s="3"/>
      <c r="K27" s="3"/>
      <c r="L27" s="3"/>
      <c r="M27" s="2"/>
      <c r="N27" s="2"/>
    </row>
    <row r="28" spans="5:14" x14ac:dyDescent="0.35">
      <c r="E28" s="2"/>
      <c r="F28" s="2"/>
      <c r="G28" s="3"/>
      <c r="H28" s="3"/>
      <c r="I28" s="3"/>
      <c r="J28" s="3"/>
      <c r="K28" s="3"/>
      <c r="L28" s="3"/>
      <c r="M28" s="2"/>
      <c r="N28" s="2"/>
    </row>
    <row r="29" spans="5:14" x14ac:dyDescent="0.35">
      <c r="E29" s="2"/>
      <c r="F29" s="2"/>
      <c r="G29" s="3"/>
      <c r="H29" s="3"/>
      <c r="I29" s="3"/>
      <c r="J29" s="3"/>
      <c r="K29" s="3"/>
      <c r="L29" s="3"/>
      <c r="M29" s="2"/>
      <c r="N29" s="2"/>
    </row>
    <row r="30" spans="5:14" x14ac:dyDescent="0.35">
      <c r="E30" s="2"/>
      <c r="F30" s="2"/>
      <c r="G30" s="3"/>
      <c r="H30" s="3"/>
      <c r="I30" s="3"/>
      <c r="J30" s="3"/>
      <c r="K30" s="3"/>
      <c r="L30" s="3"/>
      <c r="M30" s="2"/>
      <c r="N30" s="2"/>
    </row>
    <row r="31" spans="5:14" x14ac:dyDescent="0.35">
      <c r="E31" s="2"/>
      <c r="F31" s="2"/>
      <c r="G31" s="3"/>
      <c r="H31" s="3"/>
      <c r="I31" s="3"/>
      <c r="J31" s="3"/>
      <c r="K31" s="3"/>
      <c r="L31" s="3"/>
      <c r="M31" s="2"/>
      <c r="N31" s="2"/>
    </row>
    <row r="32" spans="5:14" x14ac:dyDescent="0.35">
      <c r="E32" s="2"/>
      <c r="F32" s="2"/>
      <c r="G32" s="3"/>
      <c r="H32" s="3"/>
      <c r="I32" s="3"/>
      <c r="J32" s="3"/>
      <c r="K32" s="3"/>
      <c r="L32" s="3"/>
      <c r="M32" s="2"/>
      <c r="N32" s="2"/>
    </row>
    <row r="33" spans="5:14" x14ac:dyDescent="0.35">
      <c r="E33" s="2"/>
      <c r="F33" s="2"/>
      <c r="G33" s="3"/>
      <c r="H33" s="3"/>
      <c r="I33" s="3"/>
      <c r="J33" s="3"/>
      <c r="K33" s="3"/>
      <c r="L33" s="3"/>
      <c r="M33" s="2"/>
      <c r="N33" s="2"/>
    </row>
    <row r="34" spans="5:14" x14ac:dyDescent="0.35">
      <c r="E34" s="2"/>
      <c r="F34" s="2"/>
      <c r="G34" s="3"/>
      <c r="H34" s="3"/>
      <c r="I34" s="3"/>
      <c r="J34" s="3"/>
      <c r="K34" s="3"/>
      <c r="L34" s="3"/>
      <c r="M34" s="2"/>
      <c r="N34" s="2"/>
    </row>
    <row r="35" spans="5:14" x14ac:dyDescent="0.35">
      <c r="E35" s="2"/>
      <c r="F35" s="2"/>
      <c r="G35" s="3"/>
      <c r="H35" s="3"/>
      <c r="I35" s="3"/>
      <c r="J35" s="3"/>
      <c r="K35" s="3"/>
      <c r="L35" s="3"/>
      <c r="M35" s="2"/>
      <c r="N35" s="2"/>
    </row>
    <row r="36" spans="5:14" x14ac:dyDescent="0.35">
      <c r="E36" s="2"/>
      <c r="F36" s="2"/>
      <c r="G36" s="3"/>
      <c r="H36" s="3"/>
      <c r="I36" s="3"/>
      <c r="J36" s="3"/>
      <c r="K36" s="3"/>
      <c r="L36" s="3"/>
      <c r="M36" s="2"/>
      <c r="N36" s="2"/>
    </row>
    <row r="37" spans="5:14" x14ac:dyDescent="0.35">
      <c r="E37" s="2"/>
      <c r="F37" s="2"/>
      <c r="G37" s="3"/>
      <c r="H37" s="3"/>
      <c r="I37" s="3"/>
      <c r="J37" s="3"/>
      <c r="K37" s="3"/>
      <c r="L37" s="3"/>
      <c r="M37" s="2"/>
      <c r="N37" s="2"/>
    </row>
    <row r="38" spans="5:14" x14ac:dyDescent="0.35">
      <c r="E38" s="2"/>
      <c r="F38" s="2"/>
      <c r="G38" s="3"/>
      <c r="H38" s="3"/>
      <c r="I38" s="3"/>
      <c r="J38" s="3"/>
      <c r="K38" s="3"/>
      <c r="L38" s="3"/>
      <c r="M38" s="2"/>
      <c r="N38" s="2"/>
    </row>
    <row r="39" spans="5:14" x14ac:dyDescent="0.35">
      <c r="E39" s="2"/>
      <c r="F39" s="2"/>
      <c r="G39" s="3"/>
      <c r="H39" s="3"/>
      <c r="I39" s="3"/>
      <c r="J39" s="3"/>
      <c r="K39" s="3"/>
      <c r="L39" s="3"/>
      <c r="M39" s="2"/>
      <c r="N39" s="2"/>
    </row>
    <row r="40" spans="5:14" x14ac:dyDescent="0.35">
      <c r="E40" s="2"/>
      <c r="F40" s="2"/>
      <c r="G40" s="3"/>
      <c r="H40" s="3"/>
      <c r="I40" s="3"/>
      <c r="J40" s="3"/>
      <c r="K40" s="3"/>
      <c r="L40" s="3"/>
      <c r="M40" s="2"/>
      <c r="N40" s="2"/>
    </row>
    <row r="41" spans="5:14" x14ac:dyDescent="0.35">
      <c r="E41" s="2"/>
      <c r="F41" s="2"/>
      <c r="G41" s="3"/>
      <c r="H41" s="3"/>
      <c r="I41" s="3"/>
      <c r="J41" s="3"/>
      <c r="K41" s="3"/>
      <c r="L41" s="3"/>
      <c r="M41" s="2"/>
      <c r="N41" s="2"/>
    </row>
    <row r="42" spans="5:14" x14ac:dyDescent="0.35">
      <c r="E42" s="2"/>
      <c r="F42" s="2"/>
      <c r="G42" s="3"/>
      <c r="H42" s="3"/>
      <c r="I42" s="3"/>
      <c r="J42" s="3"/>
      <c r="K42" s="3"/>
      <c r="L42" s="3"/>
      <c r="M42" s="2"/>
      <c r="N42" s="2"/>
    </row>
    <row r="43" spans="5:14" x14ac:dyDescent="0.35">
      <c r="E43" s="2"/>
      <c r="F43" s="2"/>
      <c r="G43" s="3"/>
      <c r="H43" s="3"/>
      <c r="I43" s="3"/>
      <c r="J43" s="3"/>
      <c r="K43" s="3"/>
      <c r="L43" s="3"/>
      <c r="M43" s="2"/>
      <c r="N43" s="2"/>
    </row>
    <row r="44" spans="5:14" x14ac:dyDescent="0.35">
      <c r="E44" s="2"/>
      <c r="F44" s="2"/>
      <c r="G44" s="3"/>
      <c r="H44" s="3"/>
      <c r="I44" s="3"/>
      <c r="J44" s="3"/>
      <c r="K44" s="3"/>
      <c r="L44" s="3"/>
      <c r="M44" s="2"/>
      <c r="N44" s="2"/>
    </row>
    <row r="45" spans="5:14" x14ac:dyDescent="0.35">
      <c r="E45" s="2"/>
      <c r="F45" s="2"/>
      <c r="G45" s="3"/>
      <c r="H45" s="3"/>
      <c r="I45" s="3"/>
      <c r="J45" s="3"/>
      <c r="K45" s="3"/>
      <c r="L45" s="3"/>
      <c r="M45" s="2"/>
      <c r="N45" s="2"/>
    </row>
    <row r="46" spans="5:14" x14ac:dyDescent="0.35">
      <c r="E46" s="2"/>
      <c r="F46" s="2"/>
      <c r="G46" s="3"/>
      <c r="H46" s="3"/>
      <c r="I46" s="3"/>
      <c r="J46" s="3"/>
      <c r="K46" s="3"/>
      <c r="L46" s="3"/>
      <c r="M46" s="2"/>
      <c r="N46" s="2"/>
    </row>
    <row r="47" spans="5:14" x14ac:dyDescent="0.35">
      <c r="E47" s="2"/>
      <c r="F47" s="2"/>
      <c r="G47" s="3"/>
      <c r="H47" s="3"/>
      <c r="I47" s="3"/>
      <c r="J47" s="3"/>
      <c r="K47" s="3"/>
      <c r="L47" s="3"/>
      <c r="M47" s="2"/>
      <c r="N47" s="2"/>
    </row>
    <row r="48" spans="5:14" x14ac:dyDescent="0.35">
      <c r="E48" s="2"/>
      <c r="F48" s="2"/>
      <c r="G48" s="3"/>
      <c r="H48" s="3"/>
      <c r="I48" s="3"/>
      <c r="J48" s="3"/>
      <c r="K48" s="3"/>
      <c r="L48" s="3"/>
      <c r="M48" s="2"/>
      <c r="N48" s="2"/>
    </row>
    <row r="49" spans="5:14" x14ac:dyDescent="0.35">
      <c r="E49" s="2"/>
      <c r="F49" s="2"/>
      <c r="G49" s="3"/>
      <c r="H49" s="3"/>
      <c r="I49" s="3"/>
      <c r="J49" s="3"/>
      <c r="K49" s="3"/>
      <c r="L49" s="3"/>
      <c r="M49" s="2"/>
      <c r="N49" s="2"/>
    </row>
    <row r="50" spans="5:14" x14ac:dyDescent="0.35">
      <c r="E50" s="2"/>
      <c r="F50" s="2"/>
      <c r="G50" s="3"/>
      <c r="H50" s="3"/>
      <c r="I50" s="3"/>
      <c r="J50" s="3"/>
      <c r="K50" s="3"/>
      <c r="L50" s="3"/>
      <c r="M50" s="2"/>
      <c r="N50" s="2"/>
    </row>
    <row r="51" spans="5:14" x14ac:dyDescent="0.35">
      <c r="E51" s="2"/>
      <c r="F51" s="2"/>
      <c r="G51" s="3"/>
      <c r="H51" s="3"/>
      <c r="I51" s="3"/>
      <c r="J51" s="3"/>
      <c r="K51" s="3"/>
      <c r="L51" s="3"/>
      <c r="M51" s="2"/>
      <c r="N51" s="2"/>
    </row>
    <row r="52" spans="5:14" x14ac:dyDescent="0.35">
      <c r="E52" s="2"/>
      <c r="F52" s="2"/>
      <c r="G52" s="3"/>
      <c r="H52" s="3"/>
      <c r="I52" s="3"/>
      <c r="J52" s="3"/>
      <c r="K52" s="3"/>
      <c r="L52" s="3"/>
      <c r="M52" s="2"/>
      <c r="N52" s="2"/>
    </row>
    <row r="53" spans="5:14" x14ac:dyDescent="0.35">
      <c r="E53" s="2"/>
      <c r="F53" s="2"/>
      <c r="G53" s="3"/>
      <c r="H53" s="3"/>
      <c r="I53" s="3"/>
      <c r="J53" s="3"/>
      <c r="K53" s="3"/>
      <c r="L53" s="3"/>
      <c r="M53" s="2"/>
      <c r="N53" s="2"/>
    </row>
    <row r="54" spans="5:14" x14ac:dyDescent="0.35">
      <c r="E54" s="2"/>
      <c r="F54" s="2"/>
      <c r="G54" s="3"/>
      <c r="H54" s="3"/>
      <c r="I54" s="3"/>
      <c r="J54" s="3"/>
      <c r="K54" s="3"/>
      <c r="L54" s="3"/>
      <c r="M54" s="2"/>
      <c r="N54" s="2"/>
    </row>
    <row r="55" spans="5:14" x14ac:dyDescent="0.35">
      <c r="E55" s="2"/>
      <c r="F55" s="2"/>
      <c r="G55" s="3"/>
      <c r="H55" s="3"/>
      <c r="I55" s="3"/>
      <c r="J55" s="3"/>
      <c r="K55" s="3"/>
      <c r="L55" s="3"/>
      <c r="M55" s="2"/>
      <c r="N55" s="2"/>
    </row>
    <row r="56" spans="5:14" x14ac:dyDescent="0.35">
      <c r="E56" s="2"/>
      <c r="F56" s="2"/>
      <c r="G56" s="3"/>
      <c r="H56" s="3"/>
      <c r="I56" s="3"/>
      <c r="J56" s="3"/>
      <c r="K56" s="3"/>
      <c r="L56" s="3"/>
      <c r="M56" s="2"/>
      <c r="N56" s="2"/>
    </row>
    <row r="57" spans="5:14" x14ac:dyDescent="0.35">
      <c r="E57" s="2"/>
      <c r="F57" s="2"/>
      <c r="G57" s="3"/>
      <c r="H57" s="3"/>
      <c r="I57" s="3"/>
      <c r="J57" s="3"/>
      <c r="K57" s="3"/>
      <c r="L57" s="3"/>
      <c r="M57" s="2"/>
      <c r="N57" s="2"/>
    </row>
    <row r="58" spans="5:14" x14ac:dyDescent="0.35">
      <c r="E58" s="2"/>
      <c r="F58" s="2"/>
      <c r="G58" s="3"/>
      <c r="H58" s="3"/>
      <c r="I58" s="3"/>
      <c r="J58" s="3"/>
      <c r="K58" s="3"/>
      <c r="L58" s="3"/>
      <c r="M58" s="2"/>
      <c r="N58" s="2"/>
    </row>
    <row r="59" spans="5:14" x14ac:dyDescent="0.35">
      <c r="E59" s="2"/>
      <c r="F59" s="2"/>
      <c r="G59" s="3"/>
      <c r="H59" s="3"/>
      <c r="I59" s="3"/>
      <c r="J59" s="3"/>
      <c r="K59" s="3"/>
      <c r="L59" s="3"/>
      <c r="M59" s="2"/>
      <c r="N59" s="2"/>
    </row>
    <row r="60" spans="5:14" x14ac:dyDescent="0.35">
      <c r="E60" s="2"/>
      <c r="F60" s="2"/>
      <c r="G60" s="3"/>
      <c r="H60" s="3"/>
      <c r="I60" s="3"/>
      <c r="J60" s="3"/>
      <c r="K60" s="3"/>
      <c r="L60" s="3"/>
      <c r="M60" s="2"/>
      <c r="N60" s="2"/>
    </row>
    <row r="61" spans="5:14" x14ac:dyDescent="0.35">
      <c r="E61" s="2"/>
      <c r="F61" s="2"/>
      <c r="G61" s="3"/>
      <c r="H61" s="3"/>
      <c r="I61" s="3"/>
      <c r="J61" s="3"/>
      <c r="K61" s="3"/>
      <c r="L61" s="3"/>
      <c r="M61" s="2"/>
      <c r="N61" s="2"/>
    </row>
    <row r="62" spans="5:14" x14ac:dyDescent="0.35">
      <c r="E62" s="2"/>
      <c r="F62" s="2"/>
      <c r="G62" s="3"/>
      <c r="H62" s="3"/>
      <c r="I62" s="3"/>
      <c r="J62" s="3"/>
      <c r="K62" s="3"/>
      <c r="L62" s="3"/>
      <c r="M62" s="2"/>
      <c r="N62" s="2"/>
    </row>
    <row r="63" spans="5:14" x14ac:dyDescent="0.35">
      <c r="E63" s="2"/>
      <c r="F63" s="2"/>
      <c r="G63" s="3"/>
      <c r="H63" s="3"/>
      <c r="I63" s="3"/>
      <c r="J63" s="3"/>
      <c r="K63" s="3"/>
      <c r="L63" s="3"/>
      <c r="M63" s="2"/>
      <c r="N63" s="2"/>
    </row>
    <row r="64" spans="5:14" x14ac:dyDescent="0.35">
      <c r="E64" s="2"/>
      <c r="F64" s="2"/>
      <c r="G64" s="3"/>
      <c r="H64" s="3"/>
      <c r="I64" s="3"/>
      <c r="J64" s="3"/>
      <c r="K64" s="3"/>
      <c r="L64" s="3"/>
      <c r="M64" s="2"/>
      <c r="N64" s="2"/>
    </row>
    <row r="65" spans="5:14" x14ac:dyDescent="0.35">
      <c r="E65" s="2"/>
      <c r="F65" s="2"/>
      <c r="G65" s="3"/>
      <c r="H65" s="3"/>
      <c r="I65" s="3"/>
      <c r="J65" s="3"/>
      <c r="K65" s="3"/>
      <c r="L65" s="3"/>
      <c r="M65" s="2"/>
      <c r="N65" s="2"/>
    </row>
    <row r="66" spans="5:14" x14ac:dyDescent="0.35">
      <c r="E66" s="2"/>
      <c r="F66" s="2"/>
      <c r="G66" s="3"/>
      <c r="H66" s="3"/>
      <c r="I66" s="3"/>
      <c r="J66" s="3"/>
      <c r="K66" s="3"/>
      <c r="L66" s="3"/>
      <c r="M66" s="2"/>
      <c r="N66" s="2"/>
    </row>
    <row r="67" spans="5:14" x14ac:dyDescent="0.35">
      <c r="E67" s="2"/>
      <c r="F67" s="2"/>
      <c r="G67" s="3"/>
      <c r="H67" s="3"/>
      <c r="I67" s="3"/>
      <c r="J67" s="3"/>
      <c r="K67" s="3"/>
      <c r="L67" s="3"/>
      <c r="M67" s="2"/>
      <c r="N67" s="2"/>
    </row>
    <row r="68" spans="5:14" x14ac:dyDescent="0.35">
      <c r="E68" s="2"/>
      <c r="F68" s="2"/>
      <c r="G68" s="3"/>
      <c r="H68" s="3"/>
      <c r="I68" s="3"/>
      <c r="J68" s="3"/>
      <c r="K68" s="3"/>
      <c r="L68" s="3"/>
      <c r="M68" s="2"/>
      <c r="N68" s="2"/>
    </row>
    <row r="69" spans="5:14" x14ac:dyDescent="0.35">
      <c r="E69" s="2"/>
      <c r="F69" s="2"/>
      <c r="G69" s="3"/>
      <c r="H69" s="3"/>
      <c r="I69" s="3"/>
      <c r="J69" s="3"/>
      <c r="K69" s="3"/>
      <c r="L69" s="3"/>
      <c r="M69" s="2"/>
      <c r="N69" s="2"/>
    </row>
    <row r="70" spans="5:14" x14ac:dyDescent="0.35">
      <c r="E70" s="2"/>
      <c r="F70" s="2"/>
      <c r="G70" s="3"/>
      <c r="H70" s="3"/>
      <c r="I70" s="3"/>
      <c r="J70" s="3"/>
      <c r="K70" s="3"/>
      <c r="L70" s="3"/>
      <c r="M70" s="2"/>
      <c r="N70" s="2"/>
    </row>
    <row r="71" spans="5:14" x14ac:dyDescent="0.35">
      <c r="E71" s="2"/>
      <c r="F71" s="2"/>
      <c r="G71" s="3"/>
      <c r="H71" s="3"/>
      <c r="I71" s="3"/>
      <c r="J71" s="3"/>
      <c r="K71" s="3"/>
      <c r="L71" s="3"/>
      <c r="M71" s="2"/>
      <c r="N71" s="2"/>
    </row>
    <row r="72" spans="5:14" x14ac:dyDescent="0.35">
      <c r="E72" s="2"/>
      <c r="F72" s="2"/>
      <c r="G72" s="3"/>
      <c r="H72" s="3"/>
      <c r="I72" s="3"/>
      <c r="J72" s="3"/>
      <c r="K72" s="3"/>
      <c r="L72" s="3"/>
      <c r="M72" s="2"/>
      <c r="N72" s="2"/>
    </row>
    <row r="73" spans="5:14" x14ac:dyDescent="0.35">
      <c r="E73" s="2"/>
      <c r="F73" s="2"/>
      <c r="G73" s="3"/>
      <c r="H73" s="3"/>
      <c r="I73" s="3"/>
      <c r="J73" s="3"/>
      <c r="K73" s="3"/>
      <c r="L73" s="3"/>
      <c r="M73" s="2"/>
      <c r="N73" s="2"/>
    </row>
    <row r="74" spans="5:14" x14ac:dyDescent="0.35">
      <c r="E74" s="2"/>
      <c r="F74" s="2"/>
      <c r="G74" s="3"/>
      <c r="H74" s="3"/>
      <c r="I74" s="3"/>
      <c r="J74" s="3"/>
      <c r="K74" s="3"/>
      <c r="L74" s="3"/>
      <c r="M74" s="2"/>
      <c r="N74" s="2"/>
    </row>
    <row r="75" spans="5:14" x14ac:dyDescent="0.35">
      <c r="E75" s="2"/>
      <c r="F75" s="2"/>
      <c r="G75" s="3"/>
      <c r="H75" s="3"/>
      <c r="I75" s="3"/>
      <c r="J75" s="3"/>
      <c r="K75" s="3"/>
      <c r="L75" s="3"/>
      <c r="M75" s="2"/>
      <c r="N75" s="2"/>
    </row>
    <row r="76" spans="5:14" x14ac:dyDescent="0.35">
      <c r="E76" s="2"/>
      <c r="F76" s="2"/>
      <c r="G76" s="3"/>
      <c r="H76" s="3"/>
      <c r="I76" s="3"/>
      <c r="J76" s="3"/>
      <c r="K76" s="3"/>
      <c r="L76" s="3"/>
      <c r="M76" s="2"/>
      <c r="N76" s="2"/>
    </row>
    <row r="77" spans="5:14" x14ac:dyDescent="0.35">
      <c r="E77" s="2"/>
      <c r="F77" s="2"/>
      <c r="G77" s="3"/>
      <c r="H77" s="3"/>
      <c r="I77" s="3"/>
      <c r="J77" s="3"/>
      <c r="K77" s="3"/>
      <c r="L77" s="3"/>
      <c r="M77" s="2"/>
      <c r="N77" s="2"/>
    </row>
    <row r="78" spans="5:14" x14ac:dyDescent="0.35">
      <c r="E78" s="2"/>
      <c r="F78" s="2"/>
      <c r="G78" s="3"/>
      <c r="H78" s="3"/>
      <c r="I78" s="3"/>
      <c r="J78" s="3"/>
      <c r="K78" s="3"/>
      <c r="L78" s="3"/>
      <c r="M78" s="2"/>
      <c r="N78" s="2"/>
    </row>
    <row r="79" spans="5:14" x14ac:dyDescent="0.35">
      <c r="E79" s="2"/>
      <c r="F79" s="2"/>
      <c r="G79" s="3"/>
      <c r="H79" s="3"/>
      <c r="I79" s="3"/>
      <c r="J79" s="3"/>
      <c r="K79" s="3"/>
      <c r="L79" s="3"/>
      <c r="M79" s="2"/>
      <c r="N79" s="2"/>
    </row>
    <row r="80" spans="5:14" x14ac:dyDescent="0.35">
      <c r="E80" s="2"/>
      <c r="F80" s="2"/>
      <c r="G80" s="3"/>
      <c r="H80" s="3"/>
      <c r="I80" s="3"/>
      <c r="J80" s="3"/>
      <c r="K80" s="3"/>
      <c r="L80" s="3"/>
      <c r="M80" s="2"/>
      <c r="N80" s="2"/>
    </row>
    <row r="81" spans="5:14" x14ac:dyDescent="0.35">
      <c r="E81" s="2"/>
      <c r="F81" s="2"/>
      <c r="G81" s="3"/>
      <c r="H81" s="3"/>
      <c r="I81" s="3"/>
      <c r="J81" s="3"/>
      <c r="K81" s="3"/>
      <c r="L81" s="3"/>
      <c r="M81" s="2"/>
      <c r="N81" s="2"/>
    </row>
    <row r="82" spans="5:14" x14ac:dyDescent="0.35">
      <c r="E82" s="2"/>
      <c r="F82" s="2"/>
      <c r="G82" s="3"/>
      <c r="H82" s="3"/>
      <c r="I82" s="3"/>
      <c r="J82" s="3"/>
      <c r="K82" s="3"/>
      <c r="L82" s="3"/>
      <c r="M82" s="2"/>
      <c r="N82" s="2"/>
    </row>
    <row r="83" spans="5:14" x14ac:dyDescent="0.35">
      <c r="E83" s="2"/>
      <c r="F83" s="2"/>
      <c r="G83" s="3"/>
      <c r="H83" s="3"/>
      <c r="I83" s="3"/>
      <c r="J83" s="3"/>
      <c r="K83" s="3"/>
      <c r="L83" s="3"/>
      <c r="M83" s="2"/>
      <c r="N83" s="2"/>
    </row>
    <row r="84" spans="5:14" x14ac:dyDescent="0.35">
      <c r="E84" s="2"/>
      <c r="F84" s="2"/>
      <c r="G84" s="3"/>
      <c r="H84" s="3"/>
      <c r="I84" s="3"/>
      <c r="J84" s="3"/>
      <c r="K84" s="3"/>
      <c r="L84" s="3"/>
      <c r="M84" s="2"/>
      <c r="N84" s="2"/>
    </row>
    <row r="85" spans="5:14" x14ac:dyDescent="0.35">
      <c r="E85" s="2"/>
      <c r="F85" s="2"/>
      <c r="G85" s="3"/>
      <c r="H85" s="3"/>
      <c r="I85" s="3"/>
      <c r="J85" s="3"/>
      <c r="K85" s="3"/>
      <c r="L85" s="3"/>
      <c r="M85" s="2"/>
      <c r="N85" s="2"/>
    </row>
    <row r="86" spans="5:14" x14ac:dyDescent="0.35">
      <c r="E86" s="2"/>
      <c r="F86" s="2"/>
      <c r="G86" s="3"/>
      <c r="H86" s="3"/>
      <c r="I86" s="3"/>
      <c r="J86" s="3"/>
      <c r="K86" s="3"/>
      <c r="L86" s="3"/>
      <c r="M86" s="2"/>
      <c r="N86" s="2"/>
    </row>
    <row r="87" spans="5:14" x14ac:dyDescent="0.35">
      <c r="E87" s="2"/>
      <c r="F87" s="2"/>
      <c r="G87" s="3"/>
      <c r="H87" s="3"/>
      <c r="I87" s="3"/>
      <c r="J87" s="3"/>
      <c r="K87" s="3"/>
      <c r="L87" s="3"/>
      <c r="M87" s="2"/>
      <c r="N87" s="2"/>
    </row>
    <row r="88" spans="5:14" x14ac:dyDescent="0.35">
      <c r="E88" s="2"/>
      <c r="F88" s="2"/>
      <c r="G88" s="3"/>
      <c r="H88" s="3"/>
      <c r="I88" s="3"/>
      <c r="J88" s="3"/>
      <c r="K88" s="3"/>
      <c r="L88" s="3"/>
      <c r="M88" s="2"/>
      <c r="N88" s="2"/>
    </row>
    <row r="89" spans="5:14" x14ac:dyDescent="0.35">
      <c r="E89" s="2"/>
      <c r="F89" s="2"/>
      <c r="G89" s="3"/>
      <c r="H89" s="3"/>
      <c r="I89" s="3"/>
      <c r="J89" s="3"/>
      <c r="K89" s="3"/>
      <c r="L89" s="3"/>
      <c r="M89" s="2"/>
      <c r="N89" s="2"/>
    </row>
    <row r="90" spans="5:14" x14ac:dyDescent="0.35">
      <c r="E90" s="2"/>
      <c r="F90" s="2"/>
      <c r="G90" s="3"/>
      <c r="H90" s="3"/>
      <c r="I90" s="3"/>
      <c r="J90" s="3"/>
      <c r="K90" s="3"/>
      <c r="L90" s="3"/>
      <c r="M90" s="2"/>
      <c r="N90" s="2"/>
    </row>
    <row r="91" spans="5:14" x14ac:dyDescent="0.35">
      <c r="E91" s="2"/>
      <c r="F91" s="2"/>
      <c r="G91" s="3"/>
      <c r="H91" s="3"/>
      <c r="I91" s="3"/>
      <c r="J91" s="3"/>
      <c r="K91" s="3"/>
      <c r="L91" s="3"/>
      <c r="M91" s="2"/>
      <c r="N91" s="2"/>
    </row>
    <row r="92" spans="5:14" x14ac:dyDescent="0.35">
      <c r="E92" s="2"/>
      <c r="F92" s="2"/>
      <c r="G92" s="3"/>
      <c r="H92" s="3"/>
      <c r="I92" s="3"/>
      <c r="J92" s="3"/>
      <c r="K92" s="3"/>
      <c r="L92" s="3"/>
      <c r="M92" s="2"/>
      <c r="N92" s="2"/>
    </row>
    <row r="93" spans="5:14" x14ac:dyDescent="0.35">
      <c r="E93" s="2"/>
      <c r="F93" s="2"/>
      <c r="G93" s="3"/>
      <c r="H93" s="3"/>
      <c r="I93" s="3"/>
      <c r="J93" s="3"/>
      <c r="K93" s="3"/>
      <c r="L93" s="3"/>
      <c r="M93" s="2"/>
      <c r="N93" s="2"/>
    </row>
    <row r="94" spans="5:14" x14ac:dyDescent="0.35">
      <c r="E94" s="2"/>
      <c r="F94" s="2"/>
      <c r="G94" s="3"/>
      <c r="H94" s="3"/>
      <c r="I94" s="3"/>
      <c r="J94" s="3"/>
      <c r="K94" s="3"/>
      <c r="L94" s="3"/>
      <c r="M94" s="2"/>
      <c r="N94" s="2"/>
    </row>
    <row r="95" spans="5:14" x14ac:dyDescent="0.35">
      <c r="E95" s="2"/>
      <c r="F95" s="2"/>
      <c r="G95" s="3"/>
      <c r="H95" s="3"/>
      <c r="I95" s="3"/>
      <c r="J95" s="3"/>
      <c r="K95" s="3"/>
      <c r="L95" s="3"/>
      <c r="M95" s="2"/>
      <c r="N95" s="2"/>
    </row>
    <row r="96" spans="5:14" x14ac:dyDescent="0.35">
      <c r="E96" s="2"/>
      <c r="F96" s="2"/>
      <c r="G96" s="3"/>
      <c r="H96" s="3"/>
      <c r="I96" s="3"/>
      <c r="J96" s="3"/>
      <c r="K96" s="3"/>
      <c r="L96" s="3"/>
      <c r="M96" s="2"/>
      <c r="N96" s="2"/>
    </row>
    <row r="97" spans="5:14" x14ac:dyDescent="0.35">
      <c r="E97" s="2"/>
      <c r="F97" s="2"/>
      <c r="G97" s="3"/>
      <c r="H97" s="3"/>
      <c r="I97" s="3"/>
      <c r="J97" s="3"/>
      <c r="K97" s="3"/>
      <c r="L97" s="3"/>
      <c r="M97" s="2"/>
      <c r="N97" s="2"/>
    </row>
    <row r="98" spans="5:14" x14ac:dyDescent="0.35">
      <c r="E98" s="2"/>
      <c r="F98" s="2"/>
      <c r="G98" s="3"/>
      <c r="H98" s="3"/>
      <c r="I98" s="3"/>
      <c r="J98" s="3"/>
      <c r="K98" s="3"/>
      <c r="L98" s="3"/>
      <c r="M98" s="2"/>
      <c r="N98" s="2"/>
    </row>
    <row r="99" spans="5:14" x14ac:dyDescent="0.35">
      <c r="E99" s="2"/>
      <c r="F99" s="2"/>
      <c r="G99" s="3"/>
      <c r="H99" s="3"/>
      <c r="I99" s="3"/>
      <c r="J99" s="3"/>
      <c r="K99" s="3"/>
      <c r="L99" s="3"/>
      <c r="M99" s="2"/>
      <c r="N99" s="2"/>
    </row>
    <row r="100" spans="5:14" x14ac:dyDescent="0.35">
      <c r="E100" s="2"/>
      <c r="F100" s="2"/>
      <c r="G100" s="3"/>
      <c r="H100" s="3"/>
      <c r="I100" s="3"/>
      <c r="J100" s="3"/>
      <c r="K100" s="3"/>
      <c r="L100" s="3"/>
      <c r="M100" s="2"/>
      <c r="N100" s="2"/>
    </row>
    <row r="101" spans="5:14" x14ac:dyDescent="0.35">
      <c r="E101" s="2"/>
      <c r="F101" s="2"/>
      <c r="G101" s="3"/>
      <c r="H101" s="3"/>
      <c r="I101" s="3"/>
      <c r="J101" s="3"/>
      <c r="K101" s="3"/>
      <c r="L101" s="3"/>
      <c r="M101" s="2"/>
      <c r="N101" s="2"/>
    </row>
    <row r="102" spans="5:14" x14ac:dyDescent="0.35">
      <c r="E102" s="2"/>
      <c r="F102" s="2"/>
      <c r="G102" s="3"/>
      <c r="H102" s="3"/>
      <c r="I102" s="3"/>
      <c r="J102" s="3"/>
      <c r="K102" s="3"/>
      <c r="L102" s="3"/>
      <c r="M102" s="2"/>
      <c r="N102" s="2"/>
    </row>
    <row r="103" spans="5:14" x14ac:dyDescent="0.35">
      <c r="E103" s="2"/>
      <c r="F103" s="2"/>
      <c r="G103" s="3"/>
      <c r="H103" s="3"/>
      <c r="I103" s="3"/>
      <c r="J103" s="3"/>
      <c r="K103" s="3"/>
      <c r="L103" s="3"/>
      <c r="M103" s="2"/>
      <c r="N103" s="2"/>
    </row>
    <row r="104" spans="5:14" x14ac:dyDescent="0.35">
      <c r="E104" s="2"/>
      <c r="F104" s="2"/>
      <c r="G104" s="3"/>
      <c r="H104" s="3"/>
      <c r="I104" s="3"/>
      <c r="J104" s="3"/>
      <c r="K104" s="3"/>
      <c r="L104" s="3"/>
      <c r="M104" s="2"/>
      <c r="N104" s="2"/>
    </row>
    <row r="105" spans="5:14" x14ac:dyDescent="0.35">
      <c r="E105" s="2"/>
      <c r="F105" s="2"/>
      <c r="G105" s="3"/>
      <c r="H105" s="3"/>
      <c r="I105" s="3"/>
      <c r="J105" s="3"/>
      <c r="K105" s="3"/>
      <c r="L105" s="3"/>
      <c r="M105" s="2"/>
      <c r="N105" s="2"/>
    </row>
    <row r="106" spans="5:14" x14ac:dyDescent="0.35">
      <c r="E106" s="2"/>
      <c r="F106" s="2"/>
      <c r="G106" s="3"/>
      <c r="H106" s="3"/>
      <c r="I106" s="3"/>
      <c r="J106" s="3"/>
      <c r="K106" s="3"/>
      <c r="L106" s="3"/>
      <c r="M106" s="2"/>
      <c r="N106" s="2"/>
    </row>
    <row r="107" spans="5:14" x14ac:dyDescent="0.35">
      <c r="E107" s="2"/>
      <c r="F107" s="2"/>
      <c r="G107" s="3"/>
      <c r="H107" s="3"/>
      <c r="I107" s="3"/>
      <c r="J107" s="3"/>
      <c r="K107" s="3"/>
      <c r="L107" s="3"/>
      <c r="M107" s="2"/>
      <c r="N107" s="2"/>
    </row>
    <row r="108" spans="5:14" x14ac:dyDescent="0.35">
      <c r="E108" s="2"/>
      <c r="F108" s="2"/>
      <c r="G108" s="3"/>
      <c r="H108" s="3"/>
      <c r="I108" s="3"/>
      <c r="J108" s="3"/>
      <c r="K108" s="3"/>
      <c r="L108" s="3"/>
      <c r="M108" s="2"/>
      <c r="N108" s="2"/>
    </row>
    <row r="109" spans="5:14" x14ac:dyDescent="0.35">
      <c r="E109" s="2"/>
      <c r="F109" s="2"/>
      <c r="G109" s="3"/>
      <c r="H109" s="3"/>
      <c r="I109" s="3"/>
      <c r="J109" s="3"/>
      <c r="K109" s="3"/>
      <c r="L109" s="3"/>
      <c r="M109" s="2"/>
      <c r="N109" s="2"/>
    </row>
    <row r="110" spans="5:14" x14ac:dyDescent="0.35">
      <c r="E110" s="2"/>
      <c r="F110" s="2"/>
      <c r="G110" s="3"/>
      <c r="H110" s="3"/>
      <c r="I110" s="3"/>
      <c r="J110" s="3"/>
      <c r="K110" s="3"/>
      <c r="L110" s="3"/>
      <c r="M110" s="2"/>
      <c r="N110" s="2"/>
    </row>
    <row r="111" spans="5:14" x14ac:dyDescent="0.35">
      <c r="E111" s="2"/>
      <c r="F111" s="2"/>
      <c r="G111" s="3"/>
      <c r="H111" s="3"/>
      <c r="I111" s="3"/>
      <c r="J111" s="3"/>
      <c r="K111" s="3"/>
      <c r="L111" s="3"/>
      <c r="M111" s="2"/>
      <c r="N111" s="2"/>
    </row>
    <row r="112" spans="5:14" x14ac:dyDescent="0.35">
      <c r="E112" s="2"/>
      <c r="F112" s="2"/>
      <c r="G112" s="3"/>
      <c r="H112" s="3"/>
      <c r="I112" s="3"/>
      <c r="J112" s="3"/>
      <c r="K112" s="3"/>
      <c r="L112" s="3"/>
      <c r="M112" s="2"/>
      <c r="N112" s="2"/>
    </row>
    <row r="113" spans="5:14" x14ac:dyDescent="0.35">
      <c r="E113" s="2"/>
      <c r="F113" s="2"/>
      <c r="G113" s="3"/>
      <c r="H113" s="3"/>
      <c r="I113" s="3"/>
      <c r="J113" s="3"/>
      <c r="K113" s="3"/>
      <c r="L113" s="3"/>
      <c r="M113" s="2"/>
      <c r="N113" s="2"/>
    </row>
    <row r="114" spans="5:14" x14ac:dyDescent="0.35">
      <c r="E114" s="2"/>
      <c r="F114" s="2"/>
      <c r="G114" s="3"/>
      <c r="H114" s="3"/>
      <c r="I114" s="3"/>
      <c r="J114" s="3"/>
      <c r="K114" s="3"/>
      <c r="L114" s="3"/>
      <c r="M114" s="2"/>
      <c r="N114" s="2"/>
    </row>
    <row r="115" spans="5:14" x14ac:dyDescent="0.35">
      <c r="E115" s="2"/>
      <c r="F115" s="2"/>
      <c r="G115" s="3"/>
      <c r="H115" s="3"/>
      <c r="I115" s="3"/>
      <c r="J115" s="3"/>
      <c r="K115" s="3"/>
      <c r="L115" s="3"/>
      <c r="M115" s="2"/>
      <c r="N115" s="2"/>
    </row>
    <row r="116" spans="5:14" x14ac:dyDescent="0.35">
      <c r="E116" s="2"/>
      <c r="F116" s="2"/>
      <c r="G116" s="3"/>
      <c r="H116" s="3"/>
      <c r="I116" s="3"/>
      <c r="J116" s="3"/>
      <c r="K116" s="3"/>
      <c r="L116" s="3"/>
      <c r="M116" s="2"/>
      <c r="N116" s="2"/>
    </row>
    <row r="117" spans="5:14" x14ac:dyDescent="0.35">
      <c r="E117" s="2"/>
      <c r="F117" s="2"/>
      <c r="G117" s="3"/>
      <c r="H117" s="3"/>
      <c r="I117" s="3"/>
      <c r="J117" s="3"/>
      <c r="K117" s="3"/>
      <c r="L117" s="3"/>
      <c r="M117" s="2"/>
      <c r="N117" s="2"/>
    </row>
    <row r="118" spans="5:14" x14ac:dyDescent="0.35">
      <c r="E118" s="2"/>
      <c r="F118" s="2"/>
      <c r="G118" s="3"/>
      <c r="H118" s="3"/>
      <c r="I118" s="3"/>
      <c r="J118" s="3"/>
      <c r="K118" s="3"/>
      <c r="L118" s="3"/>
      <c r="M118" s="2"/>
      <c r="N118" s="2"/>
    </row>
    <row r="119" spans="5:14" x14ac:dyDescent="0.35">
      <c r="E119" s="2"/>
      <c r="F119" s="2"/>
      <c r="G119" s="3"/>
      <c r="H119" s="3"/>
      <c r="I119" s="3"/>
      <c r="J119" s="3"/>
      <c r="K119" s="3"/>
      <c r="L119" s="3"/>
      <c r="M119" s="2"/>
      <c r="N119" s="2"/>
    </row>
    <row r="120" spans="5:14" x14ac:dyDescent="0.35">
      <c r="E120" s="2"/>
      <c r="F120" s="2"/>
      <c r="G120" s="3"/>
      <c r="H120" s="3"/>
      <c r="I120" s="3"/>
      <c r="J120" s="3"/>
      <c r="K120" s="3"/>
      <c r="L120" s="3"/>
      <c r="M120" s="2"/>
      <c r="N120" s="2"/>
    </row>
    <row r="121" spans="5:14" x14ac:dyDescent="0.35">
      <c r="E121" s="2"/>
      <c r="F121" s="2"/>
      <c r="G121" s="3"/>
      <c r="H121" s="3"/>
      <c r="I121" s="3"/>
      <c r="J121" s="3"/>
      <c r="K121" s="3"/>
      <c r="L121" s="3"/>
      <c r="M121" s="2"/>
      <c r="N121" s="2"/>
    </row>
    <row r="122" spans="5:14" x14ac:dyDescent="0.35">
      <c r="E122" s="2"/>
      <c r="F122" s="2"/>
      <c r="G122" s="3"/>
      <c r="H122" s="3"/>
      <c r="I122" s="3"/>
      <c r="J122" s="3"/>
      <c r="K122" s="3"/>
      <c r="L122" s="3"/>
      <c r="M122" s="2"/>
      <c r="N122" s="2"/>
    </row>
    <row r="123" spans="5:14" x14ac:dyDescent="0.35">
      <c r="E123" s="2"/>
      <c r="F123" s="2"/>
      <c r="G123" s="3"/>
      <c r="H123" s="3"/>
      <c r="I123" s="3"/>
      <c r="J123" s="3"/>
      <c r="K123" s="3"/>
      <c r="L123" s="3"/>
      <c r="M123" s="2"/>
      <c r="N123" s="2"/>
    </row>
    <row r="124" spans="5:14" x14ac:dyDescent="0.35">
      <c r="E124" s="2"/>
      <c r="F124" s="2"/>
      <c r="G124" s="3"/>
      <c r="H124" s="3"/>
      <c r="I124" s="3"/>
      <c r="J124" s="3"/>
      <c r="K124" s="3"/>
      <c r="L124" s="3"/>
      <c r="M124" s="2"/>
      <c r="N124" s="2"/>
    </row>
    <row r="125" spans="5:14" x14ac:dyDescent="0.35">
      <c r="E125" s="2"/>
      <c r="F125" s="2"/>
      <c r="G125" s="3"/>
      <c r="H125" s="3"/>
      <c r="I125" s="3"/>
      <c r="J125" s="3"/>
      <c r="K125" s="3"/>
      <c r="L125" s="3"/>
      <c r="M125" s="2"/>
      <c r="N125" s="2"/>
    </row>
    <row r="126" spans="5:14" x14ac:dyDescent="0.35">
      <c r="E126" s="2"/>
      <c r="F126" s="2"/>
      <c r="G126" s="3"/>
      <c r="H126" s="3"/>
      <c r="I126" s="3"/>
      <c r="J126" s="3"/>
      <c r="K126" s="3"/>
      <c r="L126" s="3"/>
      <c r="M126" s="2"/>
      <c r="N126" s="2"/>
    </row>
    <row r="127" spans="5:14" x14ac:dyDescent="0.35">
      <c r="E127" s="2"/>
      <c r="F127" s="2"/>
      <c r="G127" s="3"/>
      <c r="H127" s="3"/>
      <c r="I127" s="3"/>
      <c r="J127" s="3"/>
      <c r="K127" s="3"/>
      <c r="L127" s="3"/>
      <c r="M127" s="2"/>
      <c r="N127" s="2"/>
    </row>
    <row r="128" spans="5:14" x14ac:dyDescent="0.35">
      <c r="E128" s="2"/>
      <c r="F128" s="2"/>
      <c r="G128" s="3"/>
      <c r="H128" s="3"/>
      <c r="I128" s="3"/>
      <c r="J128" s="3"/>
      <c r="K128" s="3"/>
      <c r="L128" s="3"/>
      <c r="M128" s="2"/>
      <c r="N128" s="2"/>
    </row>
    <row r="129" spans="5:14" x14ac:dyDescent="0.35">
      <c r="E129" s="2"/>
      <c r="F129" s="2"/>
      <c r="G129" s="3"/>
      <c r="H129" s="3"/>
      <c r="I129" s="3"/>
      <c r="J129" s="3"/>
      <c r="K129" s="3"/>
      <c r="L129" s="3"/>
      <c r="M129" s="2"/>
      <c r="N129" s="2"/>
    </row>
    <row r="130" spans="5:14" x14ac:dyDescent="0.35">
      <c r="E130" s="2"/>
      <c r="F130" s="2"/>
      <c r="G130" s="3"/>
      <c r="H130" s="3"/>
      <c r="I130" s="3"/>
      <c r="J130" s="3"/>
      <c r="K130" s="3"/>
      <c r="L130" s="3"/>
      <c r="M130" s="2"/>
      <c r="N130" s="2"/>
    </row>
    <row r="131" spans="5:14" x14ac:dyDescent="0.35">
      <c r="E131" s="2"/>
      <c r="F131" s="2"/>
      <c r="G131" s="3"/>
      <c r="H131" s="3"/>
      <c r="I131" s="3"/>
      <c r="J131" s="3"/>
      <c r="K131" s="3"/>
      <c r="L131" s="3"/>
      <c r="M131" s="2"/>
      <c r="N131" s="2"/>
    </row>
    <row r="132" spans="5:14" x14ac:dyDescent="0.35">
      <c r="E132" s="2"/>
      <c r="F132" s="2"/>
      <c r="G132" s="3"/>
      <c r="H132" s="3"/>
      <c r="I132" s="3"/>
      <c r="J132" s="3"/>
      <c r="K132" s="3"/>
      <c r="L132" s="3"/>
      <c r="M132" s="2"/>
      <c r="N132" s="2"/>
    </row>
    <row r="133" spans="5:14" x14ac:dyDescent="0.35">
      <c r="E133" s="2"/>
      <c r="F133" s="2"/>
      <c r="G133" s="3"/>
      <c r="H133" s="3"/>
      <c r="I133" s="3"/>
      <c r="J133" s="3"/>
      <c r="K133" s="3"/>
      <c r="L133" s="3"/>
      <c r="M133" s="2"/>
      <c r="N133" s="2"/>
    </row>
    <row r="134" spans="5:14" x14ac:dyDescent="0.35">
      <c r="E134" s="2"/>
      <c r="F134" s="2"/>
      <c r="G134" s="3"/>
      <c r="H134" s="3"/>
      <c r="I134" s="3"/>
      <c r="J134" s="3"/>
      <c r="K134" s="3"/>
      <c r="L134" s="3"/>
      <c r="M134" s="2"/>
      <c r="N134" s="2"/>
    </row>
    <row r="135" spans="5:14" x14ac:dyDescent="0.35">
      <c r="E135" s="2"/>
      <c r="F135" s="2"/>
      <c r="G135" s="3"/>
      <c r="H135" s="3"/>
      <c r="I135" s="3"/>
      <c r="J135" s="3"/>
      <c r="K135" s="3"/>
      <c r="L135" s="3"/>
      <c r="M135" s="2"/>
      <c r="N135" s="2"/>
    </row>
    <row r="136" spans="5:14" x14ac:dyDescent="0.35">
      <c r="E136" s="2"/>
      <c r="F136" s="2"/>
      <c r="G136" s="3"/>
      <c r="H136" s="3"/>
      <c r="I136" s="3"/>
      <c r="J136" s="3"/>
      <c r="K136" s="3"/>
      <c r="L136" s="3"/>
      <c r="M136" s="2"/>
      <c r="N136" s="2"/>
    </row>
    <row r="137" spans="5:14" x14ac:dyDescent="0.35">
      <c r="E137" s="2"/>
      <c r="F137" s="2"/>
      <c r="G137" s="3"/>
      <c r="H137" s="3"/>
      <c r="I137" s="3"/>
      <c r="J137" s="3"/>
      <c r="K137" s="3"/>
      <c r="L137" s="3"/>
      <c r="M137" s="2"/>
      <c r="N137" s="2"/>
    </row>
    <row r="138" spans="5:14" x14ac:dyDescent="0.35">
      <c r="E138" s="2"/>
      <c r="F138" s="2"/>
      <c r="G138" s="3"/>
      <c r="H138" s="3"/>
      <c r="I138" s="3"/>
      <c r="J138" s="3"/>
      <c r="K138" s="3"/>
      <c r="L138" s="3"/>
      <c r="M138" s="2"/>
      <c r="N138" s="2"/>
    </row>
    <row r="139" spans="5:14" x14ac:dyDescent="0.35">
      <c r="E139" s="2"/>
      <c r="F139" s="2"/>
      <c r="G139" s="3"/>
      <c r="H139" s="3"/>
      <c r="I139" s="3"/>
      <c r="J139" s="3"/>
      <c r="K139" s="3"/>
      <c r="L139" s="3"/>
      <c r="M139" s="2"/>
      <c r="N139" s="2"/>
    </row>
    <row r="140" spans="5:14" x14ac:dyDescent="0.35">
      <c r="E140" s="2"/>
      <c r="F140" s="2"/>
      <c r="G140" s="3"/>
      <c r="H140" s="3"/>
      <c r="I140" s="3"/>
      <c r="J140" s="3"/>
      <c r="K140" s="3"/>
      <c r="L140" s="3"/>
      <c r="M140" s="2"/>
      <c r="N140" s="2"/>
    </row>
    <row r="141" spans="5:14" x14ac:dyDescent="0.35">
      <c r="E141" s="2"/>
      <c r="F141" s="2"/>
      <c r="G141" s="3"/>
      <c r="H141" s="3"/>
      <c r="I141" s="3"/>
      <c r="J141" s="3"/>
      <c r="K141" s="3"/>
      <c r="L141" s="3"/>
      <c r="M141" s="2"/>
      <c r="N141" s="2"/>
    </row>
    <row r="142" spans="5:14" x14ac:dyDescent="0.35">
      <c r="E142" s="2"/>
      <c r="F142" s="2"/>
      <c r="G142" s="3"/>
      <c r="H142" s="3"/>
      <c r="I142" s="3"/>
      <c r="J142" s="3"/>
      <c r="K142" s="3"/>
      <c r="L142" s="3"/>
      <c r="M142" s="2"/>
      <c r="N142" s="2"/>
    </row>
    <row r="143" spans="5:14" x14ac:dyDescent="0.35">
      <c r="E143" s="2"/>
      <c r="F143" s="2"/>
      <c r="G143" s="3"/>
      <c r="H143" s="3"/>
      <c r="I143" s="3"/>
      <c r="J143" s="3"/>
      <c r="K143" s="3"/>
      <c r="L143" s="3"/>
      <c r="M143" s="2"/>
      <c r="N143" s="2"/>
    </row>
    <row r="144" spans="5:14" x14ac:dyDescent="0.35">
      <c r="E144" s="2"/>
      <c r="F144" s="2"/>
      <c r="G144" s="3"/>
      <c r="H144" s="3"/>
      <c r="I144" s="3"/>
      <c r="J144" s="3"/>
      <c r="K144" s="3"/>
      <c r="L144" s="3"/>
      <c r="M144" s="2"/>
      <c r="N144" s="2"/>
    </row>
    <row r="145" spans="5:14" x14ac:dyDescent="0.35">
      <c r="E145" s="2"/>
      <c r="F145" s="2"/>
      <c r="G145" s="3"/>
      <c r="H145" s="3"/>
      <c r="I145" s="3"/>
      <c r="J145" s="3"/>
      <c r="K145" s="3"/>
      <c r="L145" s="3"/>
      <c r="M145" s="2"/>
      <c r="N145" s="2"/>
    </row>
    <row r="146" spans="5:14" x14ac:dyDescent="0.35">
      <c r="E146" s="2"/>
      <c r="F146" s="2"/>
      <c r="G146" s="3"/>
      <c r="H146" s="3"/>
      <c r="I146" s="3"/>
      <c r="J146" s="3"/>
      <c r="K146" s="3"/>
      <c r="L146" s="3"/>
      <c r="M146" s="2"/>
      <c r="N146" s="2"/>
    </row>
    <row r="147" spans="5:14" x14ac:dyDescent="0.35">
      <c r="E147" s="2"/>
      <c r="F147" s="2"/>
      <c r="G147" s="3"/>
      <c r="H147" s="3"/>
      <c r="I147" s="3"/>
      <c r="J147" s="3"/>
      <c r="K147" s="3"/>
      <c r="L147" s="3"/>
      <c r="M147" s="2"/>
      <c r="N147" s="2"/>
    </row>
    <row r="148" spans="5:14" x14ac:dyDescent="0.35">
      <c r="E148" s="2"/>
      <c r="F148" s="2"/>
      <c r="G148" s="3"/>
      <c r="H148" s="3"/>
      <c r="I148" s="3"/>
      <c r="J148" s="3"/>
      <c r="K148" s="3"/>
      <c r="L148" s="3"/>
      <c r="M148" s="2"/>
      <c r="N148" s="2"/>
    </row>
    <row r="149" spans="5:14" x14ac:dyDescent="0.35">
      <c r="E149" s="2"/>
      <c r="F149" s="2"/>
      <c r="G149" s="3"/>
      <c r="H149" s="3"/>
      <c r="I149" s="3"/>
      <c r="J149" s="3"/>
      <c r="K149" s="3"/>
      <c r="L149" s="3"/>
      <c r="M149" s="2"/>
      <c r="N149" s="2"/>
    </row>
    <row r="150" spans="5:14" x14ac:dyDescent="0.35">
      <c r="E150" s="2"/>
      <c r="F150" s="2"/>
      <c r="G150" s="3"/>
      <c r="H150" s="3"/>
      <c r="I150" s="3"/>
      <c r="J150" s="3"/>
      <c r="K150" s="3"/>
      <c r="L150" s="3"/>
      <c r="M150" s="2"/>
      <c r="N150" s="2"/>
    </row>
    <row r="151" spans="5:14" x14ac:dyDescent="0.35">
      <c r="E151" s="2"/>
      <c r="F151" s="2"/>
      <c r="G151" s="3"/>
      <c r="H151" s="3"/>
      <c r="I151" s="3"/>
      <c r="J151" s="3"/>
      <c r="K151" s="3"/>
      <c r="L151" s="3"/>
      <c r="M151" s="2"/>
      <c r="N151" s="2"/>
    </row>
    <row r="152" spans="5:14" x14ac:dyDescent="0.35">
      <c r="E152" s="2"/>
      <c r="F152" s="2"/>
      <c r="G152" s="3"/>
      <c r="H152" s="3"/>
      <c r="I152" s="3"/>
      <c r="J152" s="3"/>
      <c r="K152" s="3"/>
      <c r="L152" s="3"/>
      <c r="M152" s="2"/>
      <c r="N152" s="2"/>
    </row>
    <row r="153" spans="5:14" x14ac:dyDescent="0.35">
      <c r="E153" s="2"/>
      <c r="F153" s="2"/>
      <c r="G153" s="3"/>
      <c r="H153" s="3"/>
      <c r="I153" s="3"/>
      <c r="J153" s="3"/>
      <c r="K153" s="3"/>
      <c r="L153" s="3"/>
      <c r="M153" s="2"/>
      <c r="N153" s="2"/>
    </row>
    <row r="154" spans="5:14" x14ac:dyDescent="0.35">
      <c r="E154" s="2"/>
      <c r="F154" s="2"/>
      <c r="G154" s="3"/>
      <c r="H154" s="3"/>
      <c r="I154" s="3"/>
      <c r="J154" s="3"/>
      <c r="K154" s="3"/>
      <c r="L154" s="3"/>
      <c r="M154" s="2"/>
      <c r="N154" s="2"/>
    </row>
    <row r="155" spans="5:14" x14ac:dyDescent="0.35">
      <c r="E155" s="2"/>
      <c r="F155" s="2"/>
      <c r="G155" s="3"/>
      <c r="H155" s="3"/>
      <c r="I155" s="3"/>
      <c r="J155" s="3"/>
      <c r="K155" s="3"/>
      <c r="L155" s="3"/>
      <c r="M155" s="2"/>
      <c r="N155" s="2"/>
    </row>
    <row r="156" spans="5:14" x14ac:dyDescent="0.35">
      <c r="E156" s="2"/>
      <c r="F156" s="2"/>
      <c r="G156" s="3"/>
      <c r="H156" s="3"/>
      <c r="I156" s="3"/>
      <c r="J156" s="3"/>
      <c r="K156" s="3"/>
      <c r="L156" s="3"/>
      <c r="M156" s="2"/>
      <c r="N156" s="2"/>
    </row>
    <row r="157" spans="5:14" x14ac:dyDescent="0.35">
      <c r="E157" s="2"/>
      <c r="F157" s="2"/>
      <c r="G157" s="3"/>
      <c r="H157" s="3"/>
      <c r="I157" s="3"/>
      <c r="J157" s="3"/>
      <c r="K157" s="3"/>
      <c r="L157" s="3"/>
      <c r="M157" s="2"/>
      <c r="N157" s="2"/>
    </row>
    <row r="158" spans="5:14" x14ac:dyDescent="0.35">
      <c r="E158" s="2"/>
      <c r="F158" s="2"/>
      <c r="G158" s="3"/>
      <c r="H158" s="3"/>
      <c r="I158" s="3"/>
      <c r="J158" s="3"/>
      <c r="K158" s="3"/>
      <c r="L158" s="3"/>
      <c r="M158" s="2"/>
      <c r="N158" s="2"/>
    </row>
    <row r="159" spans="5:14" x14ac:dyDescent="0.35">
      <c r="E159" s="2"/>
      <c r="F159" s="2"/>
      <c r="G159" s="3"/>
      <c r="H159" s="3"/>
      <c r="I159" s="3"/>
      <c r="J159" s="3"/>
      <c r="K159" s="3"/>
      <c r="L159" s="3"/>
      <c r="M159" s="2"/>
      <c r="N159" s="2"/>
    </row>
    <row r="160" spans="5:14" x14ac:dyDescent="0.35">
      <c r="E160" s="2"/>
      <c r="F160" s="2"/>
      <c r="G160" s="3"/>
      <c r="H160" s="3"/>
      <c r="I160" s="3"/>
      <c r="J160" s="3"/>
      <c r="K160" s="3"/>
      <c r="L160" s="3"/>
      <c r="M160" s="2"/>
      <c r="N160" s="2"/>
    </row>
    <row r="161" spans="5:14" x14ac:dyDescent="0.35">
      <c r="E161" s="2"/>
      <c r="F161" s="2"/>
      <c r="G161" s="3"/>
      <c r="H161" s="3"/>
      <c r="I161" s="3"/>
      <c r="J161" s="3"/>
      <c r="K161" s="3"/>
      <c r="L161" s="3"/>
      <c r="M161" s="2"/>
      <c r="N161" s="2"/>
    </row>
    <row r="162" spans="5:14" x14ac:dyDescent="0.35">
      <c r="E162" s="2"/>
      <c r="F162" s="2"/>
      <c r="G162" s="3"/>
      <c r="H162" s="3"/>
      <c r="I162" s="3"/>
      <c r="J162" s="3"/>
      <c r="K162" s="3"/>
      <c r="L162" s="3"/>
      <c r="M162" s="2"/>
      <c r="N162" s="2"/>
    </row>
    <row r="163" spans="5:14" x14ac:dyDescent="0.35">
      <c r="E163" s="2"/>
      <c r="F163" s="2"/>
      <c r="G163" s="3"/>
      <c r="H163" s="3"/>
      <c r="I163" s="3"/>
      <c r="J163" s="3"/>
      <c r="K163" s="3"/>
      <c r="L163" s="3"/>
      <c r="M163" s="2"/>
      <c r="N163" s="2"/>
    </row>
    <row r="164" spans="5:14" x14ac:dyDescent="0.35">
      <c r="E164" s="2"/>
      <c r="F164" s="2"/>
      <c r="G164" s="3"/>
      <c r="H164" s="3"/>
      <c r="I164" s="3"/>
      <c r="J164" s="3"/>
      <c r="K164" s="3"/>
      <c r="L164" s="3"/>
      <c r="M164" s="2"/>
      <c r="N164" s="2"/>
    </row>
    <row r="165" spans="5:14" x14ac:dyDescent="0.35">
      <c r="E165" s="2"/>
      <c r="F165" s="2"/>
      <c r="G165" s="3"/>
      <c r="H165" s="3"/>
      <c r="I165" s="3"/>
      <c r="J165" s="3"/>
      <c r="K165" s="3"/>
      <c r="L165" s="3"/>
      <c r="M165" s="2"/>
      <c r="N165" s="2"/>
    </row>
    <row r="166" spans="5:14" x14ac:dyDescent="0.35">
      <c r="E166" s="2"/>
      <c r="F166" s="2"/>
      <c r="G166" s="3"/>
      <c r="H166" s="3"/>
      <c r="I166" s="3"/>
      <c r="J166" s="3"/>
      <c r="K166" s="3"/>
      <c r="L166" s="3"/>
      <c r="M166" s="2"/>
      <c r="N166" s="2"/>
    </row>
    <row r="167" spans="5:14" x14ac:dyDescent="0.35">
      <c r="E167" s="2"/>
      <c r="F167" s="2"/>
      <c r="G167" s="3"/>
      <c r="H167" s="3"/>
      <c r="I167" s="3"/>
      <c r="J167" s="3"/>
      <c r="K167" s="3"/>
      <c r="L167" s="3"/>
      <c r="M167" s="2"/>
      <c r="N167" s="2"/>
    </row>
    <row r="168" spans="5:14" x14ac:dyDescent="0.35">
      <c r="E168" s="2"/>
      <c r="F168" s="2"/>
      <c r="G168" s="3"/>
      <c r="H168" s="3"/>
      <c r="I168" s="3"/>
      <c r="J168" s="3"/>
      <c r="K168" s="3"/>
      <c r="L168" s="3"/>
      <c r="M168" s="2"/>
      <c r="N168" s="2"/>
    </row>
    <row r="169" spans="5:14" x14ac:dyDescent="0.35">
      <c r="E169" s="2"/>
      <c r="F169" s="2"/>
      <c r="G169" s="3"/>
      <c r="H169" s="3"/>
      <c r="I169" s="3"/>
      <c r="J169" s="3"/>
      <c r="K169" s="3"/>
      <c r="L169" s="3"/>
      <c r="M169" s="2"/>
      <c r="N169" s="2"/>
    </row>
    <row r="170" spans="5:14" x14ac:dyDescent="0.35">
      <c r="E170" s="2"/>
      <c r="F170" s="2"/>
      <c r="G170" s="3"/>
      <c r="H170" s="3"/>
      <c r="I170" s="3"/>
      <c r="J170" s="3"/>
      <c r="K170" s="3"/>
      <c r="L170" s="3"/>
      <c r="M170" s="2"/>
      <c r="N170" s="2"/>
    </row>
    <row r="171" spans="5:14" x14ac:dyDescent="0.35">
      <c r="E171" s="2"/>
      <c r="F171" s="2"/>
      <c r="G171" s="3"/>
      <c r="H171" s="3"/>
      <c r="I171" s="3"/>
      <c r="J171" s="3"/>
      <c r="K171" s="3"/>
      <c r="L171" s="3"/>
      <c r="M171" s="2"/>
      <c r="N171" s="2"/>
    </row>
    <row r="172" spans="5:14" x14ac:dyDescent="0.35">
      <c r="E172" s="2"/>
      <c r="F172" s="2"/>
      <c r="G172" s="3"/>
      <c r="H172" s="3"/>
      <c r="I172" s="3"/>
      <c r="J172" s="3"/>
      <c r="K172" s="3"/>
      <c r="L172" s="3"/>
      <c r="M172" s="2"/>
      <c r="N172" s="2"/>
    </row>
    <row r="173" spans="5:14" x14ac:dyDescent="0.35">
      <c r="E173" s="2"/>
      <c r="F173" s="2"/>
      <c r="G173" s="3"/>
      <c r="H173" s="3"/>
      <c r="I173" s="3"/>
      <c r="J173" s="3"/>
      <c r="K173" s="3"/>
      <c r="L173" s="3"/>
      <c r="M173" s="2"/>
      <c r="N173" s="2"/>
    </row>
    <row r="174" spans="5:14" x14ac:dyDescent="0.35">
      <c r="E174" s="2"/>
      <c r="F174" s="2"/>
      <c r="G174" s="3"/>
      <c r="H174" s="3"/>
      <c r="I174" s="3"/>
      <c r="J174" s="3"/>
      <c r="K174" s="3"/>
      <c r="L174" s="3"/>
      <c r="M174" s="2"/>
      <c r="N174" s="2"/>
    </row>
    <row r="175" spans="5:14" x14ac:dyDescent="0.35">
      <c r="E175" s="2"/>
      <c r="F175" s="2"/>
      <c r="G175" s="3"/>
      <c r="H175" s="3"/>
      <c r="I175" s="3"/>
      <c r="J175" s="3"/>
      <c r="K175" s="3"/>
      <c r="L175" s="3"/>
      <c r="M175" s="2"/>
      <c r="N175" s="2"/>
    </row>
    <row r="176" spans="5:14" x14ac:dyDescent="0.35">
      <c r="E176" s="2"/>
      <c r="F176" s="2"/>
      <c r="G176" s="3"/>
      <c r="H176" s="3"/>
      <c r="I176" s="3"/>
      <c r="J176" s="3"/>
      <c r="K176" s="3"/>
      <c r="L176" s="3"/>
      <c r="M176" s="2"/>
      <c r="N176" s="2"/>
    </row>
    <row r="177" spans="5:14" x14ac:dyDescent="0.35">
      <c r="E177" s="2"/>
      <c r="F177" s="2"/>
      <c r="G177" s="3"/>
      <c r="H177" s="3"/>
      <c r="I177" s="3"/>
      <c r="J177" s="3"/>
      <c r="K177" s="3"/>
      <c r="L177" s="3"/>
      <c r="M177" s="2"/>
      <c r="N177" s="2"/>
    </row>
    <row r="178" spans="5:14" x14ac:dyDescent="0.35">
      <c r="E178" s="2"/>
      <c r="F178" s="2"/>
      <c r="G178" s="3"/>
      <c r="H178" s="3"/>
      <c r="I178" s="3"/>
      <c r="J178" s="3"/>
      <c r="K178" s="3"/>
      <c r="L178" s="3"/>
      <c r="M178" s="2"/>
      <c r="N178" s="2"/>
    </row>
    <row r="179" spans="5:14" x14ac:dyDescent="0.35">
      <c r="E179" s="2"/>
      <c r="F179" s="2"/>
      <c r="G179" s="3"/>
      <c r="H179" s="3"/>
      <c r="I179" s="3"/>
      <c r="J179" s="3"/>
      <c r="K179" s="3"/>
      <c r="L179" s="3"/>
      <c r="M179" s="2"/>
      <c r="N179" s="2"/>
    </row>
    <row r="180" spans="5:14" x14ac:dyDescent="0.35">
      <c r="E180" s="2"/>
      <c r="F180" s="2"/>
      <c r="G180" s="3"/>
      <c r="H180" s="3"/>
      <c r="I180" s="3"/>
      <c r="J180" s="3"/>
      <c r="K180" s="3"/>
      <c r="L180" s="3"/>
      <c r="M180" s="2"/>
      <c r="N180" s="2"/>
    </row>
    <row r="181" spans="5:14" x14ac:dyDescent="0.35">
      <c r="E181" s="2"/>
      <c r="F181" s="2"/>
      <c r="G181" s="3"/>
      <c r="H181" s="3"/>
      <c r="I181" s="3"/>
      <c r="J181" s="3"/>
      <c r="K181" s="3"/>
      <c r="L181" s="3"/>
      <c r="M181" s="2"/>
      <c r="N181" s="2"/>
    </row>
    <row r="182" spans="5:14" x14ac:dyDescent="0.35">
      <c r="E182" s="2"/>
      <c r="F182" s="2"/>
      <c r="G182" s="3"/>
      <c r="H182" s="3"/>
      <c r="I182" s="3"/>
      <c r="J182" s="3"/>
      <c r="K182" s="3"/>
      <c r="L182" s="3"/>
      <c r="M182" s="2"/>
      <c r="N182" s="2"/>
    </row>
    <row r="183" spans="5:14" x14ac:dyDescent="0.35">
      <c r="E183" s="2"/>
      <c r="F183" s="2"/>
      <c r="G183" s="3"/>
      <c r="H183" s="3"/>
      <c r="I183" s="3"/>
      <c r="J183" s="3"/>
      <c r="K183" s="3"/>
      <c r="L183" s="3"/>
      <c r="M183" s="2"/>
      <c r="N183" s="2"/>
    </row>
    <row r="184" spans="5:14" x14ac:dyDescent="0.35">
      <c r="E184" s="2"/>
      <c r="F184" s="2"/>
      <c r="G184" s="3"/>
      <c r="H184" s="3"/>
      <c r="I184" s="3"/>
      <c r="J184" s="3"/>
      <c r="K184" s="3"/>
      <c r="L184" s="3"/>
      <c r="M184" s="2"/>
      <c r="N184" s="2"/>
    </row>
    <row r="185" spans="5:14" x14ac:dyDescent="0.35">
      <c r="E185" s="2"/>
      <c r="F185" s="2"/>
      <c r="G185" s="3"/>
      <c r="H185" s="3"/>
      <c r="I185" s="3"/>
      <c r="J185" s="3"/>
      <c r="K185" s="3"/>
      <c r="L185" s="3"/>
      <c r="M185" s="2"/>
      <c r="N185" s="2"/>
    </row>
    <row r="186" spans="5:14" x14ac:dyDescent="0.35">
      <c r="E186" s="2"/>
      <c r="F186" s="2"/>
      <c r="G186" s="3"/>
      <c r="H186" s="3"/>
      <c r="I186" s="3"/>
      <c r="J186" s="3"/>
      <c r="K186" s="3"/>
      <c r="L186" s="3"/>
      <c r="M186" s="2"/>
      <c r="N186" s="2"/>
    </row>
    <row r="187" spans="5:14" x14ac:dyDescent="0.35">
      <c r="E187" s="2"/>
      <c r="F187" s="2"/>
      <c r="G187" s="3"/>
      <c r="H187" s="3"/>
      <c r="I187" s="3"/>
      <c r="J187" s="3"/>
      <c r="K187" s="3"/>
      <c r="L187" s="3"/>
      <c r="M187" s="2"/>
      <c r="N187" s="2"/>
    </row>
    <row r="188" spans="5:14" x14ac:dyDescent="0.35">
      <c r="E188" s="2"/>
      <c r="F188" s="2"/>
      <c r="G188" s="3"/>
      <c r="H188" s="3"/>
      <c r="I188" s="3"/>
      <c r="J188" s="3"/>
      <c r="K188" s="3"/>
      <c r="L188" s="3"/>
      <c r="M188" s="2"/>
      <c r="N188" s="2"/>
    </row>
    <row r="189" spans="5:14" x14ac:dyDescent="0.35">
      <c r="E189" s="2"/>
      <c r="F189" s="2"/>
      <c r="G189" s="3"/>
      <c r="H189" s="3"/>
      <c r="I189" s="3"/>
      <c r="J189" s="3"/>
      <c r="K189" s="3"/>
      <c r="L189" s="3"/>
      <c r="M189" s="2"/>
      <c r="N189" s="2"/>
    </row>
    <row r="190" spans="5:14" x14ac:dyDescent="0.35">
      <c r="E190" s="2"/>
      <c r="F190" s="2"/>
      <c r="G190" s="3"/>
      <c r="H190" s="3"/>
      <c r="I190" s="3"/>
      <c r="J190" s="3"/>
      <c r="K190" s="3"/>
      <c r="L190" s="3"/>
      <c r="M190" s="2"/>
      <c r="N190" s="2"/>
    </row>
    <row r="191" spans="5:14" x14ac:dyDescent="0.35">
      <c r="E191" s="2"/>
      <c r="F191" s="2"/>
      <c r="G191" s="3"/>
      <c r="H191" s="3"/>
      <c r="I191" s="3"/>
      <c r="J191" s="3"/>
      <c r="K191" s="3"/>
      <c r="L191" s="3"/>
      <c r="M191" s="2"/>
      <c r="N191" s="2"/>
    </row>
    <row r="192" spans="5:14" x14ac:dyDescent="0.35">
      <c r="E192" s="2"/>
      <c r="F192" s="2"/>
      <c r="G192" s="3"/>
      <c r="H192" s="3"/>
      <c r="I192" s="3"/>
      <c r="J192" s="3"/>
      <c r="K192" s="3"/>
      <c r="L192" s="3"/>
      <c r="M192" s="2"/>
      <c r="N192" s="2"/>
    </row>
    <row r="193" spans="5:14" x14ac:dyDescent="0.35">
      <c r="E193" s="2"/>
      <c r="F193" s="2"/>
      <c r="G193" s="3"/>
      <c r="H193" s="3"/>
      <c r="I193" s="3"/>
      <c r="J193" s="3"/>
      <c r="K193" s="3"/>
      <c r="L193" s="3"/>
      <c r="M193" s="2"/>
      <c r="N193" s="2"/>
    </row>
    <row r="194" spans="5:14" x14ac:dyDescent="0.35">
      <c r="E194" s="2"/>
      <c r="F194" s="2"/>
      <c r="G194" s="3"/>
      <c r="H194" s="3"/>
      <c r="I194" s="3"/>
      <c r="J194" s="3"/>
      <c r="K194" s="3"/>
      <c r="L194" s="3"/>
      <c r="M194" s="2"/>
      <c r="N194" s="2"/>
    </row>
    <row r="195" spans="5:14" x14ac:dyDescent="0.35">
      <c r="E195" s="2"/>
      <c r="F195" s="2"/>
      <c r="G195" s="3"/>
      <c r="H195" s="3"/>
      <c r="I195" s="3"/>
      <c r="J195" s="3"/>
      <c r="K195" s="3"/>
      <c r="L195" s="3"/>
      <c r="M195" s="2"/>
      <c r="N195" s="2"/>
    </row>
    <row r="196" spans="5:14" x14ac:dyDescent="0.35">
      <c r="E196" s="2"/>
      <c r="F196" s="2"/>
      <c r="G196" s="3"/>
      <c r="H196" s="3"/>
      <c r="I196" s="3"/>
      <c r="J196" s="3"/>
      <c r="K196" s="3"/>
      <c r="L196" s="3"/>
      <c r="M196" s="2"/>
      <c r="N196" s="2"/>
    </row>
    <row r="197" spans="5:14" x14ac:dyDescent="0.35">
      <c r="E197" s="2"/>
      <c r="F197" s="2"/>
      <c r="G197" s="3"/>
      <c r="H197" s="3"/>
      <c r="I197" s="3"/>
      <c r="J197" s="3"/>
      <c r="K197" s="3"/>
      <c r="L197" s="3"/>
      <c r="M197" s="2"/>
      <c r="N197" s="2"/>
    </row>
    <row r="198" spans="5:14" x14ac:dyDescent="0.35">
      <c r="E198" s="2"/>
      <c r="F198" s="2"/>
      <c r="G198" s="3"/>
      <c r="H198" s="3"/>
      <c r="I198" s="3"/>
      <c r="J198" s="3"/>
      <c r="K198" s="3"/>
      <c r="L198" s="3"/>
      <c r="M198" s="2"/>
      <c r="N198" s="2"/>
    </row>
    <row r="199" spans="5:14" x14ac:dyDescent="0.35">
      <c r="E199" s="2"/>
      <c r="F199" s="2"/>
      <c r="G199" s="3"/>
      <c r="H199" s="3"/>
      <c r="I199" s="3"/>
      <c r="J199" s="3"/>
      <c r="K199" s="3"/>
      <c r="L199" s="3"/>
      <c r="M199" s="2"/>
      <c r="N199" s="2"/>
    </row>
    <row r="200" spans="5:14" x14ac:dyDescent="0.35">
      <c r="E200" s="2"/>
      <c r="F200" s="2"/>
      <c r="G200" s="3"/>
      <c r="H200" s="3"/>
      <c r="I200" s="3"/>
      <c r="J200" s="3"/>
      <c r="K200" s="3"/>
      <c r="L200" s="3"/>
      <c r="M200" s="2"/>
      <c r="N200" s="2"/>
    </row>
    <row r="201" spans="5:14" x14ac:dyDescent="0.35">
      <c r="E201" s="2"/>
      <c r="F201" s="2"/>
      <c r="G201" s="3"/>
      <c r="H201" s="3"/>
      <c r="I201" s="3"/>
      <c r="J201" s="3"/>
      <c r="K201" s="3"/>
      <c r="L201" s="3"/>
      <c r="M201" s="2"/>
      <c r="N201" s="2"/>
    </row>
    <row r="202" spans="5:14" x14ac:dyDescent="0.35">
      <c r="E202" s="2"/>
      <c r="F202" s="2"/>
      <c r="G202" s="3"/>
      <c r="H202" s="3"/>
      <c r="I202" s="3"/>
      <c r="J202" s="3"/>
      <c r="K202" s="3"/>
      <c r="L202" s="3"/>
      <c r="M202" s="2"/>
      <c r="N202" s="2"/>
    </row>
    <row r="203" spans="5:14" x14ac:dyDescent="0.35">
      <c r="E203" s="2"/>
      <c r="F203" s="2"/>
      <c r="G203" s="3"/>
      <c r="H203" s="3"/>
      <c r="I203" s="3"/>
      <c r="J203" s="3"/>
      <c r="K203" s="3"/>
      <c r="L203" s="3"/>
      <c r="M203" s="2"/>
      <c r="N203" s="2"/>
    </row>
    <row r="204" spans="5:14" x14ac:dyDescent="0.35">
      <c r="E204" s="2"/>
      <c r="F204" s="2"/>
      <c r="G204" s="3"/>
      <c r="H204" s="3"/>
      <c r="I204" s="3"/>
      <c r="J204" s="3"/>
      <c r="K204" s="3"/>
      <c r="L204" s="3"/>
      <c r="M204" s="2"/>
      <c r="N204" s="2"/>
    </row>
    <row r="205" spans="5:14" x14ac:dyDescent="0.35">
      <c r="E205" s="2"/>
      <c r="F205" s="2"/>
      <c r="G205" s="3"/>
      <c r="H205" s="3"/>
      <c r="I205" s="3"/>
      <c r="J205" s="3"/>
      <c r="K205" s="3"/>
      <c r="L205" s="3"/>
      <c r="M205" s="2"/>
      <c r="N205" s="2"/>
    </row>
    <row r="206" spans="5:14" x14ac:dyDescent="0.35">
      <c r="E206" s="2"/>
      <c r="F206" s="2"/>
      <c r="G206" s="3"/>
      <c r="H206" s="3"/>
      <c r="I206" s="3"/>
      <c r="J206" s="3"/>
      <c r="K206" s="3"/>
      <c r="L206" s="3"/>
      <c r="M206" s="2"/>
      <c r="N206" s="2"/>
    </row>
    <row r="207" spans="5:14" x14ac:dyDescent="0.35">
      <c r="E207" s="2"/>
      <c r="F207" s="2"/>
      <c r="G207" s="3"/>
      <c r="H207" s="3"/>
      <c r="I207" s="3"/>
      <c r="J207" s="3"/>
      <c r="K207" s="3"/>
      <c r="L207" s="3"/>
      <c r="M207" s="2"/>
      <c r="N207" s="2"/>
    </row>
    <row r="208" spans="5:14" x14ac:dyDescent="0.35">
      <c r="E208" s="2"/>
      <c r="F208" s="2"/>
      <c r="G208" s="3"/>
      <c r="H208" s="3"/>
      <c r="I208" s="3"/>
      <c r="J208" s="3"/>
      <c r="K208" s="3"/>
      <c r="L208" s="3"/>
      <c r="M208" s="2"/>
      <c r="N208" s="2"/>
    </row>
    <row r="209" spans="5:14" x14ac:dyDescent="0.35">
      <c r="E209" s="2"/>
      <c r="F209" s="2"/>
      <c r="G209" s="3"/>
      <c r="H209" s="3"/>
      <c r="I209" s="3"/>
      <c r="J209" s="3"/>
      <c r="K209" s="3"/>
      <c r="L209" s="3"/>
      <c r="M209" s="2"/>
      <c r="N209" s="2"/>
    </row>
    <row r="210" spans="5:14" x14ac:dyDescent="0.35">
      <c r="E210" s="2"/>
      <c r="F210" s="2"/>
      <c r="G210" s="3"/>
      <c r="H210" s="3"/>
      <c r="I210" s="3"/>
      <c r="J210" s="3"/>
      <c r="K210" s="3"/>
      <c r="L210" s="3"/>
      <c r="M210" s="2"/>
      <c r="N210" s="2"/>
    </row>
    <row r="211" spans="5:14" x14ac:dyDescent="0.35">
      <c r="E211" s="2"/>
      <c r="F211" s="2"/>
      <c r="G211" s="3"/>
      <c r="H211" s="3"/>
      <c r="I211" s="3"/>
      <c r="J211" s="3"/>
      <c r="K211" s="3"/>
      <c r="L211" s="3"/>
      <c r="M211" s="2"/>
      <c r="N211" s="2"/>
    </row>
    <row r="212" spans="5:14" x14ac:dyDescent="0.35">
      <c r="E212" s="2"/>
      <c r="F212" s="2"/>
      <c r="G212" s="3"/>
      <c r="H212" s="3"/>
      <c r="I212" s="3"/>
      <c r="J212" s="3"/>
      <c r="K212" s="3"/>
      <c r="L212" s="3"/>
      <c r="M212" s="2"/>
      <c r="N212" s="2"/>
    </row>
    <row r="213" spans="5:14" x14ac:dyDescent="0.35">
      <c r="E213" s="2"/>
      <c r="F213" s="2"/>
      <c r="G213" s="3"/>
      <c r="H213" s="3"/>
      <c r="I213" s="3"/>
      <c r="J213" s="3"/>
      <c r="K213" s="3"/>
      <c r="L213" s="3"/>
      <c r="M213" s="2"/>
      <c r="N213" s="2"/>
    </row>
    <row r="214" spans="5:14" x14ac:dyDescent="0.35">
      <c r="E214" s="2"/>
      <c r="F214" s="2"/>
      <c r="G214" s="3"/>
      <c r="H214" s="3"/>
      <c r="I214" s="3"/>
      <c r="J214" s="3"/>
      <c r="K214" s="3"/>
      <c r="L214" s="3"/>
      <c r="M214" s="2"/>
      <c r="N214" s="2"/>
    </row>
    <row r="215" spans="5:14" x14ac:dyDescent="0.35">
      <c r="E215" s="2"/>
      <c r="F215" s="2"/>
      <c r="G215" s="3"/>
      <c r="H215" s="3"/>
      <c r="I215" s="3"/>
      <c r="J215" s="3"/>
      <c r="K215" s="3"/>
      <c r="L215" s="3"/>
      <c r="M215" s="2"/>
      <c r="N215" s="2"/>
    </row>
    <row r="216" spans="5:14" x14ac:dyDescent="0.35">
      <c r="E216" s="2"/>
      <c r="F216" s="2"/>
      <c r="G216" s="3"/>
      <c r="H216" s="3"/>
      <c r="I216" s="3"/>
      <c r="J216" s="3"/>
      <c r="K216" s="3"/>
      <c r="L216" s="3"/>
      <c r="M216" s="2"/>
      <c r="N216" s="2"/>
    </row>
    <row r="217" spans="5:14" x14ac:dyDescent="0.35">
      <c r="E217" s="2"/>
      <c r="F217" s="2"/>
      <c r="G217" s="3"/>
      <c r="H217" s="3"/>
      <c r="I217" s="3"/>
      <c r="J217" s="3"/>
      <c r="K217" s="3"/>
      <c r="L217" s="3"/>
      <c r="M217" s="2"/>
      <c r="N217" s="2"/>
    </row>
    <row r="218" spans="5:14" x14ac:dyDescent="0.35">
      <c r="E218" s="2"/>
      <c r="F218" s="2"/>
      <c r="G218" s="3"/>
      <c r="H218" s="3"/>
      <c r="I218" s="3"/>
      <c r="J218" s="3"/>
      <c r="K218" s="3"/>
      <c r="L218" s="3"/>
      <c r="M218" s="2"/>
      <c r="N218" s="2"/>
    </row>
    <row r="219" spans="5:14" x14ac:dyDescent="0.35">
      <c r="E219" s="2"/>
      <c r="F219" s="2"/>
      <c r="G219" s="3"/>
      <c r="H219" s="3"/>
      <c r="I219" s="3"/>
      <c r="J219" s="3"/>
      <c r="K219" s="3"/>
      <c r="L219" s="3"/>
      <c r="M219" s="2"/>
      <c r="N219" s="2"/>
    </row>
    <row r="220" spans="5:14" x14ac:dyDescent="0.35">
      <c r="E220" s="2"/>
      <c r="F220" s="2"/>
      <c r="G220" s="3"/>
      <c r="H220" s="3"/>
      <c r="I220" s="3"/>
      <c r="J220" s="3"/>
      <c r="K220" s="3"/>
      <c r="L220" s="3"/>
      <c r="M220" s="2"/>
      <c r="N220" s="2"/>
    </row>
    <row r="221" spans="5:14" x14ac:dyDescent="0.35">
      <c r="E221" s="2"/>
      <c r="F221" s="2"/>
      <c r="G221" s="3"/>
      <c r="H221" s="3"/>
      <c r="I221" s="3"/>
      <c r="J221" s="3"/>
      <c r="K221" s="3"/>
      <c r="L221" s="3"/>
      <c r="M221" s="2"/>
      <c r="N221" s="2"/>
    </row>
    <row r="222" spans="5:14" x14ac:dyDescent="0.35">
      <c r="E222" s="2"/>
      <c r="F222" s="2"/>
      <c r="G222" s="3"/>
      <c r="H222" s="3"/>
      <c r="I222" s="3"/>
      <c r="J222" s="3"/>
      <c r="K222" s="3"/>
      <c r="L222" s="3"/>
      <c r="M222" s="2"/>
      <c r="N222" s="2"/>
    </row>
    <row r="223" spans="5:14" x14ac:dyDescent="0.35">
      <c r="E223" s="2"/>
      <c r="F223" s="2"/>
      <c r="G223" s="3"/>
      <c r="H223" s="3"/>
      <c r="I223" s="3"/>
      <c r="J223" s="3"/>
      <c r="K223" s="3"/>
      <c r="L223" s="3"/>
      <c r="M223" s="2"/>
      <c r="N223" s="2"/>
    </row>
    <row r="224" spans="5:14" x14ac:dyDescent="0.35">
      <c r="E224" s="2"/>
      <c r="F224" s="2"/>
      <c r="G224" s="3"/>
      <c r="H224" s="3"/>
      <c r="I224" s="3"/>
      <c r="J224" s="3"/>
      <c r="K224" s="3"/>
      <c r="L224" s="3"/>
      <c r="M224" s="2"/>
      <c r="N224" s="2"/>
    </row>
    <row r="225" spans="5:14" x14ac:dyDescent="0.35">
      <c r="E225" s="2"/>
      <c r="F225" s="2"/>
      <c r="G225" s="3"/>
      <c r="H225" s="3"/>
      <c r="I225" s="3"/>
      <c r="J225" s="3"/>
      <c r="K225" s="3"/>
      <c r="L225" s="3"/>
      <c r="M225" s="2"/>
      <c r="N225" s="2"/>
    </row>
    <row r="226" spans="5:14" x14ac:dyDescent="0.35">
      <c r="E226" s="2"/>
      <c r="F226" s="2"/>
      <c r="G226" s="3"/>
      <c r="H226" s="3"/>
      <c r="I226" s="3"/>
      <c r="J226" s="3"/>
      <c r="K226" s="3"/>
      <c r="L226" s="3"/>
      <c r="M226" s="2"/>
      <c r="N226" s="2"/>
    </row>
    <row r="227" spans="5:14" x14ac:dyDescent="0.35">
      <c r="E227" s="2"/>
      <c r="F227" s="2"/>
      <c r="G227" s="3"/>
      <c r="H227" s="3"/>
      <c r="I227" s="3"/>
      <c r="J227" s="3"/>
      <c r="K227" s="3"/>
      <c r="L227" s="3"/>
      <c r="M227" s="2"/>
      <c r="N227" s="2"/>
    </row>
    <row r="228" spans="5:14" x14ac:dyDescent="0.35">
      <c r="E228" s="2"/>
      <c r="F228" s="2"/>
      <c r="G228" s="3"/>
      <c r="H228" s="3"/>
      <c r="I228" s="3"/>
      <c r="J228" s="3"/>
      <c r="K228" s="3"/>
      <c r="L228" s="3"/>
      <c r="M228" s="2"/>
      <c r="N228" s="2"/>
    </row>
    <row r="229" spans="5:14" x14ac:dyDescent="0.35">
      <c r="E229" s="2"/>
      <c r="F229" s="2"/>
      <c r="G229" s="3"/>
      <c r="H229" s="3"/>
      <c r="I229" s="3"/>
      <c r="J229" s="3"/>
      <c r="K229" s="3"/>
      <c r="L229" s="3"/>
      <c r="M229" s="2"/>
      <c r="N229" s="2"/>
    </row>
    <row r="230" spans="5:14" x14ac:dyDescent="0.35">
      <c r="E230" s="2"/>
      <c r="F230" s="2"/>
      <c r="G230" s="3"/>
      <c r="H230" s="3"/>
      <c r="I230" s="3"/>
      <c r="J230" s="3"/>
      <c r="K230" s="3"/>
      <c r="L230" s="3"/>
      <c r="M230" s="2"/>
      <c r="N230" s="2"/>
    </row>
    <row r="231" spans="5:14" x14ac:dyDescent="0.35">
      <c r="E231" s="2"/>
      <c r="F231" s="2"/>
      <c r="G231" s="3"/>
      <c r="H231" s="3"/>
      <c r="I231" s="3"/>
      <c r="J231" s="3"/>
      <c r="K231" s="3"/>
      <c r="L231" s="3"/>
      <c r="M231" s="2"/>
      <c r="N231" s="2"/>
    </row>
    <row r="232" spans="5:14" x14ac:dyDescent="0.35">
      <c r="E232" s="2"/>
      <c r="F232" s="2"/>
      <c r="G232" s="3"/>
      <c r="H232" s="3"/>
      <c r="I232" s="3"/>
      <c r="J232" s="3"/>
      <c r="K232" s="3"/>
      <c r="L232" s="3"/>
      <c r="M232" s="2"/>
      <c r="N232" s="2"/>
    </row>
    <row r="233" spans="5:14" x14ac:dyDescent="0.35">
      <c r="E233" s="2"/>
      <c r="F233" s="2"/>
      <c r="G233" s="3"/>
      <c r="H233" s="3"/>
      <c r="I233" s="3"/>
      <c r="J233" s="3"/>
      <c r="K233" s="3"/>
      <c r="L233" s="3"/>
      <c r="M233" s="2"/>
      <c r="N233" s="2"/>
    </row>
    <row r="234" spans="5:14" x14ac:dyDescent="0.35">
      <c r="E234" s="2"/>
      <c r="F234" s="2"/>
      <c r="G234" s="3"/>
      <c r="H234" s="3"/>
      <c r="I234" s="3"/>
      <c r="J234" s="3"/>
      <c r="K234" s="3"/>
      <c r="L234" s="3"/>
      <c r="M234" s="2"/>
      <c r="N234" s="2"/>
    </row>
    <row r="235" spans="5:14" x14ac:dyDescent="0.35">
      <c r="E235" s="2"/>
      <c r="F235" s="2"/>
      <c r="G235" s="3"/>
      <c r="H235" s="3"/>
      <c r="I235" s="3"/>
      <c r="J235" s="3"/>
      <c r="K235" s="3"/>
      <c r="L235" s="3"/>
      <c r="M235" s="2"/>
      <c r="N235" s="2"/>
    </row>
    <row r="236" spans="5:14" x14ac:dyDescent="0.35">
      <c r="E236" s="2"/>
      <c r="F236" s="2"/>
      <c r="G236" s="3"/>
      <c r="H236" s="3"/>
      <c r="I236" s="3"/>
      <c r="J236" s="3"/>
      <c r="K236" s="3"/>
      <c r="L236" s="3"/>
      <c r="M236" s="2"/>
      <c r="N236" s="2"/>
    </row>
    <row r="237" spans="5:14" x14ac:dyDescent="0.35">
      <c r="E237" s="2"/>
      <c r="F237" s="2"/>
      <c r="G237" s="3"/>
      <c r="H237" s="3"/>
      <c r="I237" s="3"/>
      <c r="J237" s="3"/>
      <c r="K237" s="3"/>
      <c r="L237" s="3"/>
      <c r="M237" s="2"/>
      <c r="N237" s="2"/>
    </row>
    <row r="238" spans="5:14" x14ac:dyDescent="0.35">
      <c r="E238" s="2"/>
      <c r="F238" s="2"/>
      <c r="G238" s="3"/>
      <c r="H238" s="3"/>
      <c r="I238" s="3"/>
      <c r="J238" s="3"/>
      <c r="K238" s="3"/>
      <c r="L238" s="3"/>
      <c r="M238" s="2"/>
      <c r="N238" s="2"/>
    </row>
    <row r="239" spans="5:14" x14ac:dyDescent="0.35">
      <c r="E239" s="2"/>
      <c r="F239" s="2"/>
      <c r="G239" s="3"/>
      <c r="H239" s="3"/>
      <c r="I239" s="3"/>
      <c r="J239" s="3"/>
      <c r="K239" s="3"/>
      <c r="L239" s="3"/>
      <c r="M239" s="2"/>
      <c r="N239" s="2"/>
    </row>
    <row r="240" spans="5:14" x14ac:dyDescent="0.35">
      <c r="E240" s="2"/>
      <c r="F240" s="2"/>
      <c r="G240" s="3"/>
      <c r="H240" s="3"/>
      <c r="I240" s="3"/>
      <c r="J240" s="3"/>
      <c r="K240" s="3"/>
      <c r="L240" s="3"/>
      <c r="M240" s="2"/>
      <c r="N240" s="2"/>
    </row>
    <row r="241" spans="5:14" x14ac:dyDescent="0.35">
      <c r="E241" s="2"/>
      <c r="F241" s="2"/>
      <c r="G241" s="3"/>
      <c r="H241" s="3"/>
      <c r="I241" s="3"/>
      <c r="J241" s="3"/>
      <c r="K241" s="3"/>
      <c r="L241" s="3"/>
      <c r="M241" s="2"/>
      <c r="N241" s="2"/>
    </row>
    <row r="242" spans="5:14" x14ac:dyDescent="0.35">
      <c r="E242" s="2"/>
      <c r="F242" s="2"/>
      <c r="G242" s="3"/>
      <c r="H242" s="3"/>
      <c r="I242" s="3"/>
      <c r="J242" s="3"/>
      <c r="K242" s="3"/>
      <c r="L242" s="3"/>
      <c r="M242" s="2"/>
      <c r="N242" s="2"/>
    </row>
    <row r="243" spans="5:14" x14ac:dyDescent="0.35">
      <c r="E243" s="2"/>
      <c r="F243" s="2"/>
      <c r="G243" s="3"/>
      <c r="H243" s="3"/>
      <c r="I243" s="3"/>
      <c r="J243" s="3"/>
      <c r="K243" s="3"/>
      <c r="L243" s="3"/>
      <c r="M243" s="2"/>
      <c r="N243" s="2"/>
    </row>
    <row r="244" spans="5:14" x14ac:dyDescent="0.35">
      <c r="E244" s="2"/>
      <c r="F244" s="2"/>
      <c r="G244" s="3"/>
      <c r="H244" s="3"/>
      <c r="I244" s="3"/>
      <c r="J244" s="3"/>
      <c r="K244" s="3"/>
      <c r="L244" s="3"/>
      <c r="M244" s="2"/>
      <c r="N244" s="2"/>
    </row>
    <row r="245" spans="5:14" x14ac:dyDescent="0.35">
      <c r="E245" s="2"/>
      <c r="F245" s="2"/>
      <c r="G245" s="3"/>
      <c r="H245" s="3"/>
      <c r="I245" s="3"/>
      <c r="J245" s="3"/>
      <c r="K245" s="3"/>
      <c r="L245" s="3"/>
      <c r="M245" s="2"/>
      <c r="N245" s="2"/>
    </row>
    <row r="246" spans="5:14" x14ac:dyDescent="0.35">
      <c r="E246" s="2"/>
      <c r="F246" s="2"/>
      <c r="G246" s="3"/>
      <c r="H246" s="3"/>
      <c r="I246" s="3"/>
      <c r="J246" s="3"/>
      <c r="K246" s="3"/>
      <c r="L246" s="3"/>
      <c r="M246" s="2"/>
      <c r="N246" s="2"/>
    </row>
    <row r="247" spans="5:14" x14ac:dyDescent="0.35">
      <c r="E247" s="2"/>
      <c r="F247" s="2"/>
      <c r="G247" s="3"/>
      <c r="H247" s="3"/>
      <c r="I247" s="3"/>
      <c r="J247" s="3"/>
      <c r="K247" s="3"/>
      <c r="L247" s="3"/>
      <c r="M247" s="2"/>
      <c r="N247" s="2"/>
    </row>
    <row r="248" spans="5:14" x14ac:dyDescent="0.35">
      <c r="E248" s="2"/>
      <c r="F248" s="2"/>
      <c r="G248" s="3"/>
      <c r="H248" s="3"/>
      <c r="I248" s="3"/>
      <c r="J248" s="3"/>
      <c r="K248" s="3"/>
      <c r="L248" s="3"/>
      <c r="M248" s="2"/>
      <c r="N248" s="2"/>
    </row>
    <row r="249" spans="5:14" x14ac:dyDescent="0.35">
      <c r="E249" s="2"/>
      <c r="F249" s="2"/>
      <c r="G249" s="3"/>
      <c r="H249" s="3"/>
      <c r="I249" s="3"/>
      <c r="J249" s="3"/>
      <c r="K249" s="3"/>
      <c r="L249" s="3"/>
      <c r="M249" s="2"/>
      <c r="N249" s="2"/>
    </row>
    <row r="250" spans="5:14" x14ac:dyDescent="0.35">
      <c r="E250" s="2"/>
      <c r="F250" s="2"/>
      <c r="G250" s="3"/>
      <c r="H250" s="3"/>
      <c r="I250" s="3"/>
      <c r="J250" s="3"/>
      <c r="K250" s="3"/>
      <c r="L250" s="3"/>
      <c r="M250" s="2"/>
      <c r="N250" s="2"/>
    </row>
    <row r="251" spans="5:14" x14ac:dyDescent="0.35">
      <c r="E251" s="2"/>
      <c r="F251" s="2"/>
      <c r="G251" s="3"/>
      <c r="H251" s="3"/>
      <c r="I251" s="3"/>
      <c r="J251" s="3"/>
      <c r="K251" s="3"/>
      <c r="L251" s="3"/>
      <c r="M251" s="2"/>
      <c r="N251" s="2"/>
    </row>
    <row r="252" spans="5:14" x14ac:dyDescent="0.35">
      <c r="E252" s="2"/>
      <c r="F252" s="2"/>
      <c r="G252" s="3"/>
      <c r="H252" s="3"/>
      <c r="I252" s="3"/>
      <c r="J252" s="3"/>
      <c r="K252" s="3"/>
      <c r="L252" s="3"/>
      <c r="M252" s="2"/>
      <c r="N252" s="2"/>
    </row>
    <row r="253" spans="5:14" x14ac:dyDescent="0.35">
      <c r="E253" s="2"/>
      <c r="F253" s="2"/>
      <c r="G253" s="3"/>
      <c r="H253" s="3"/>
      <c r="I253" s="3"/>
      <c r="J253" s="3"/>
      <c r="K253" s="3"/>
      <c r="L253" s="3"/>
      <c r="M253" s="2"/>
      <c r="N253" s="2"/>
    </row>
    <row r="254" spans="5:14" x14ac:dyDescent="0.35">
      <c r="E254" s="2"/>
      <c r="F254" s="2"/>
      <c r="G254" s="3"/>
      <c r="H254" s="3"/>
      <c r="I254" s="3"/>
      <c r="J254" s="3"/>
      <c r="K254" s="3"/>
      <c r="L254" s="3"/>
      <c r="M254" s="2"/>
      <c r="N254" s="2"/>
    </row>
    <row r="255" spans="5:14" x14ac:dyDescent="0.35">
      <c r="E255" s="2"/>
      <c r="F255" s="2"/>
      <c r="G255" s="3"/>
      <c r="H255" s="3"/>
      <c r="I255" s="3"/>
      <c r="J255" s="3"/>
      <c r="K255" s="3"/>
      <c r="L255" s="3"/>
      <c r="M255" s="2"/>
      <c r="N255" s="2"/>
    </row>
    <row r="256" spans="5:14" x14ac:dyDescent="0.35">
      <c r="E256" s="2"/>
      <c r="F256" s="2"/>
      <c r="G256" s="3"/>
      <c r="H256" s="3"/>
      <c r="I256" s="3"/>
      <c r="J256" s="3"/>
      <c r="K256" s="3"/>
      <c r="L256" s="3"/>
      <c r="M256" s="2"/>
      <c r="N256" s="2"/>
    </row>
    <row r="257" spans="5:14" x14ac:dyDescent="0.35">
      <c r="E257" s="2"/>
      <c r="F257" s="2"/>
      <c r="G257" s="3"/>
      <c r="H257" s="3"/>
      <c r="I257" s="3"/>
      <c r="J257" s="3"/>
      <c r="K257" s="3"/>
      <c r="L257" s="3"/>
      <c r="M257" s="2"/>
      <c r="N257" s="2"/>
    </row>
    <row r="258" spans="5:14" x14ac:dyDescent="0.35">
      <c r="E258" s="2"/>
      <c r="F258" s="2"/>
      <c r="G258" s="3"/>
      <c r="H258" s="3"/>
      <c r="I258" s="3"/>
      <c r="J258" s="3"/>
      <c r="K258" s="3"/>
      <c r="L258" s="3"/>
      <c r="M258" s="2"/>
      <c r="N258" s="2"/>
    </row>
    <row r="259" spans="5:14" x14ac:dyDescent="0.35">
      <c r="E259" s="2"/>
      <c r="F259" s="2"/>
      <c r="G259" s="3"/>
      <c r="H259" s="3"/>
      <c r="I259" s="3"/>
      <c r="J259" s="3"/>
      <c r="K259" s="3"/>
      <c r="L259" s="3"/>
      <c r="M259" s="2"/>
      <c r="N259" s="2"/>
    </row>
    <row r="260" spans="5:14" x14ac:dyDescent="0.35">
      <c r="E260" s="2"/>
      <c r="F260" s="2"/>
      <c r="G260" s="3"/>
      <c r="H260" s="3"/>
      <c r="I260" s="3"/>
      <c r="J260" s="3"/>
      <c r="K260" s="3"/>
      <c r="L260" s="3"/>
      <c r="M260" s="2"/>
      <c r="N260" s="2"/>
    </row>
    <row r="261" spans="5:14" x14ac:dyDescent="0.35">
      <c r="E261" s="2"/>
      <c r="F261" s="2"/>
      <c r="G261" s="3"/>
      <c r="H261" s="3"/>
      <c r="I261" s="3"/>
      <c r="J261" s="3"/>
      <c r="K261" s="3"/>
      <c r="L261" s="3"/>
      <c r="M261" s="2"/>
      <c r="N261" s="2"/>
    </row>
    <row r="262" spans="5:14" x14ac:dyDescent="0.35">
      <c r="E262" s="2"/>
      <c r="F262" s="2"/>
      <c r="G262" s="3"/>
      <c r="H262" s="3"/>
      <c r="I262" s="3"/>
      <c r="J262" s="3"/>
      <c r="K262" s="3"/>
      <c r="L262" s="3"/>
      <c r="M262" s="2"/>
      <c r="N262" s="2"/>
    </row>
    <row r="263" spans="5:14" x14ac:dyDescent="0.35">
      <c r="E263" s="2"/>
      <c r="F263" s="2"/>
      <c r="G263" s="3"/>
      <c r="H263" s="3"/>
      <c r="I263" s="3"/>
      <c r="J263" s="3"/>
      <c r="K263" s="3"/>
      <c r="L263" s="3"/>
      <c r="M263" s="2"/>
      <c r="N263" s="2"/>
    </row>
    <row r="264" spans="5:14" x14ac:dyDescent="0.35">
      <c r="E264" s="2"/>
      <c r="F264" s="2"/>
      <c r="G264" s="3"/>
      <c r="H264" s="3"/>
      <c r="I264" s="3"/>
      <c r="J264" s="3"/>
      <c r="K264" s="3"/>
      <c r="L264" s="3"/>
      <c r="M264" s="2"/>
      <c r="N264" s="2"/>
    </row>
    <row r="265" spans="5:14" x14ac:dyDescent="0.35">
      <c r="E265" s="2"/>
      <c r="F265" s="2"/>
      <c r="G265" s="3"/>
      <c r="H265" s="3"/>
      <c r="I265" s="3"/>
      <c r="J265" s="3"/>
      <c r="K265" s="3"/>
      <c r="L265" s="3"/>
      <c r="M265" s="2"/>
      <c r="N265" s="2"/>
    </row>
    <row r="266" spans="5:14" x14ac:dyDescent="0.35">
      <c r="E266" s="2"/>
      <c r="F266" s="2"/>
      <c r="G266" s="3"/>
      <c r="H266" s="3"/>
      <c r="I266" s="3"/>
      <c r="J266" s="3"/>
      <c r="K266" s="3"/>
      <c r="L266" s="3"/>
      <c r="M266" s="2"/>
      <c r="N266" s="2"/>
    </row>
    <row r="267" spans="5:14" x14ac:dyDescent="0.35">
      <c r="E267" s="2"/>
      <c r="F267" s="2"/>
      <c r="G267" s="3"/>
      <c r="H267" s="3"/>
      <c r="I267" s="3"/>
      <c r="J267" s="3"/>
      <c r="K267" s="3"/>
      <c r="L267" s="3"/>
      <c r="M267" s="2"/>
      <c r="N267" s="2"/>
    </row>
    <row r="268" spans="5:14" x14ac:dyDescent="0.35">
      <c r="E268" s="2"/>
      <c r="F268" s="2"/>
      <c r="G268" s="3"/>
      <c r="H268" s="3"/>
      <c r="I268" s="3"/>
      <c r="J268" s="3"/>
      <c r="K268" s="3"/>
      <c r="L268" s="3"/>
      <c r="M268" s="2"/>
      <c r="N268" s="2"/>
    </row>
    <row r="269" spans="5:14" x14ac:dyDescent="0.35">
      <c r="E269" s="2"/>
      <c r="F269" s="2"/>
      <c r="G269" s="3"/>
      <c r="H269" s="3"/>
      <c r="I269" s="3"/>
      <c r="J269" s="3"/>
      <c r="K269" s="3"/>
      <c r="L269" s="3"/>
      <c r="M269" s="2"/>
      <c r="N269" s="2"/>
    </row>
    <row r="270" spans="5:14" x14ac:dyDescent="0.35">
      <c r="E270" s="2"/>
      <c r="F270" s="2"/>
      <c r="G270" s="3"/>
      <c r="H270" s="3"/>
      <c r="I270" s="3"/>
      <c r="J270" s="3"/>
      <c r="K270" s="3"/>
      <c r="L270" s="3"/>
      <c r="M270" s="2"/>
      <c r="N270" s="2"/>
    </row>
    <row r="271" spans="5:14" x14ac:dyDescent="0.35">
      <c r="E271" s="2"/>
      <c r="F271" s="2"/>
      <c r="G271" s="3"/>
      <c r="H271" s="3"/>
      <c r="I271" s="3"/>
      <c r="J271" s="3"/>
      <c r="K271" s="3"/>
      <c r="L271" s="3"/>
      <c r="M271" s="2"/>
      <c r="N271" s="2"/>
    </row>
    <row r="272" spans="5:14" x14ac:dyDescent="0.35">
      <c r="E272" s="2"/>
      <c r="F272" s="2"/>
      <c r="G272" s="3"/>
      <c r="H272" s="3"/>
      <c r="I272" s="3"/>
      <c r="J272" s="3"/>
      <c r="K272" s="3"/>
      <c r="L272" s="3"/>
      <c r="M272" s="2"/>
      <c r="N272" s="2"/>
    </row>
    <row r="273" spans="5:14" x14ac:dyDescent="0.35">
      <c r="E273" s="2"/>
      <c r="F273" s="2"/>
      <c r="G273" s="3"/>
      <c r="H273" s="3"/>
      <c r="I273" s="3"/>
      <c r="J273" s="3"/>
      <c r="K273" s="3"/>
      <c r="L273" s="3"/>
      <c r="M273" s="2"/>
      <c r="N273" s="2"/>
    </row>
    <row r="274" spans="5:14" x14ac:dyDescent="0.35">
      <c r="E274" s="2"/>
      <c r="F274" s="2"/>
      <c r="G274" s="3"/>
      <c r="H274" s="3"/>
      <c r="I274" s="3"/>
      <c r="J274" s="3"/>
      <c r="K274" s="3"/>
      <c r="L274" s="3"/>
      <c r="M274" s="2"/>
      <c r="N274" s="2"/>
    </row>
    <row r="275" spans="5:14" x14ac:dyDescent="0.35">
      <c r="E275" s="2"/>
      <c r="F275" s="2"/>
      <c r="G275" s="3"/>
      <c r="H275" s="3"/>
      <c r="I275" s="3"/>
      <c r="J275" s="3"/>
      <c r="K275" s="3"/>
      <c r="L275" s="3"/>
      <c r="M275" s="2"/>
      <c r="N275" s="2"/>
    </row>
    <row r="276" spans="5:14" x14ac:dyDescent="0.35">
      <c r="E276" s="2"/>
      <c r="F276" s="2"/>
      <c r="G276" s="3"/>
      <c r="H276" s="3"/>
      <c r="I276" s="3"/>
      <c r="J276" s="3"/>
      <c r="K276" s="3"/>
      <c r="L276" s="3"/>
      <c r="M276" s="2"/>
      <c r="N276" s="2"/>
    </row>
    <row r="277" spans="5:14" x14ac:dyDescent="0.35">
      <c r="E277" s="2"/>
      <c r="F277" s="2"/>
      <c r="G277" s="3"/>
      <c r="H277" s="3"/>
      <c r="I277" s="3"/>
      <c r="J277" s="3"/>
      <c r="K277" s="3"/>
      <c r="L277" s="3"/>
      <c r="M277" s="2"/>
      <c r="N277" s="2"/>
    </row>
    <row r="278" spans="5:14" x14ac:dyDescent="0.35">
      <c r="E278" s="2"/>
      <c r="F278" s="2"/>
      <c r="G278" s="3"/>
      <c r="H278" s="3"/>
      <c r="I278" s="3"/>
      <c r="J278" s="3"/>
      <c r="K278" s="3"/>
      <c r="L278" s="3"/>
      <c r="M278" s="2"/>
      <c r="N278" s="2"/>
    </row>
    <row r="279" spans="5:14" x14ac:dyDescent="0.35">
      <c r="E279" s="2"/>
      <c r="F279" s="2"/>
      <c r="G279" s="3"/>
      <c r="H279" s="3"/>
      <c r="I279" s="3"/>
      <c r="J279" s="3"/>
      <c r="K279" s="3"/>
      <c r="L279" s="3"/>
      <c r="M279" s="2"/>
      <c r="N279" s="2"/>
    </row>
    <row r="280" spans="5:14" x14ac:dyDescent="0.35">
      <c r="E280" s="2"/>
      <c r="F280" s="2"/>
      <c r="G280" s="3"/>
      <c r="H280" s="3"/>
      <c r="I280" s="3"/>
      <c r="J280" s="3"/>
      <c r="K280" s="3"/>
      <c r="L280" s="3"/>
      <c r="M280" s="2"/>
      <c r="N280" s="2"/>
    </row>
    <row r="281" spans="5:14" x14ac:dyDescent="0.35">
      <c r="E281" s="2"/>
      <c r="F281" s="2"/>
      <c r="G281" s="3"/>
      <c r="H281" s="3"/>
      <c r="I281" s="3"/>
      <c r="J281" s="3"/>
      <c r="K281" s="3"/>
      <c r="L281" s="3"/>
      <c r="M281" s="2"/>
      <c r="N281" s="2"/>
    </row>
    <row r="282" spans="5:14" x14ac:dyDescent="0.35">
      <c r="E282" s="2"/>
      <c r="F282" s="2"/>
      <c r="G282" s="3"/>
      <c r="H282" s="3"/>
      <c r="I282" s="3"/>
      <c r="J282" s="3"/>
      <c r="K282" s="3"/>
      <c r="L282" s="3"/>
      <c r="M282" s="2"/>
      <c r="N282" s="2"/>
    </row>
    <row r="283" spans="5:14" x14ac:dyDescent="0.35">
      <c r="E283" s="2"/>
      <c r="F283" s="2"/>
      <c r="G283" s="3"/>
      <c r="H283" s="3"/>
      <c r="I283" s="3"/>
      <c r="J283" s="3"/>
      <c r="K283" s="3"/>
      <c r="L283" s="3"/>
      <c r="M283" s="2"/>
      <c r="N283" s="2"/>
    </row>
    <row r="284" spans="5:14" x14ac:dyDescent="0.35">
      <c r="E284" s="2"/>
      <c r="F284" s="2"/>
      <c r="G284" s="3"/>
      <c r="H284" s="3"/>
      <c r="I284" s="3"/>
      <c r="J284" s="3"/>
      <c r="K284" s="3"/>
      <c r="L284" s="3"/>
      <c r="M284" s="2"/>
      <c r="N284" s="2"/>
    </row>
    <row r="285" spans="5:14" x14ac:dyDescent="0.35">
      <c r="E285" s="2"/>
      <c r="F285" s="2"/>
      <c r="G285" s="3"/>
      <c r="H285" s="3"/>
      <c r="I285" s="3"/>
      <c r="J285" s="3"/>
      <c r="K285" s="3"/>
      <c r="L285" s="3"/>
      <c r="M285" s="2"/>
      <c r="N285" s="2"/>
    </row>
    <row r="286" spans="5:14" x14ac:dyDescent="0.35">
      <c r="E286" s="2"/>
      <c r="F286" s="2"/>
      <c r="G286" s="3"/>
      <c r="H286" s="3"/>
      <c r="I286" s="3"/>
      <c r="J286" s="3"/>
      <c r="K286" s="3"/>
      <c r="L286" s="3"/>
      <c r="M286" s="2"/>
      <c r="N286" s="2"/>
    </row>
    <row r="287" spans="5:14" x14ac:dyDescent="0.35">
      <c r="E287" s="2"/>
      <c r="F287" s="2"/>
      <c r="G287" s="3"/>
      <c r="H287" s="3"/>
      <c r="I287" s="3"/>
      <c r="J287" s="3"/>
      <c r="K287" s="3"/>
      <c r="L287" s="3"/>
      <c r="M287" s="2"/>
      <c r="N287" s="2"/>
    </row>
    <row r="288" spans="5:14" x14ac:dyDescent="0.35">
      <c r="E288" s="2"/>
      <c r="F288" s="2"/>
      <c r="G288" s="3"/>
      <c r="H288" s="3"/>
      <c r="I288" s="3"/>
      <c r="J288" s="3"/>
      <c r="K288" s="3"/>
      <c r="L288" s="3"/>
      <c r="M288" s="2"/>
      <c r="N288" s="2"/>
    </row>
    <row r="289" spans="5:14" x14ac:dyDescent="0.35">
      <c r="E289" s="2"/>
      <c r="F289" s="2"/>
      <c r="G289" s="3"/>
      <c r="H289" s="3"/>
      <c r="I289" s="3"/>
      <c r="J289" s="3"/>
      <c r="K289" s="3"/>
      <c r="L289" s="3"/>
      <c r="M289" s="2"/>
      <c r="N289" s="2"/>
    </row>
    <row r="290" spans="5:14" x14ac:dyDescent="0.35">
      <c r="E290" s="2"/>
      <c r="F290" s="2"/>
      <c r="G290" s="3"/>
      <c r="H290" s="3"/>
      <c r="I290" s="3"/>
      <c r="J290" s="3"/>
      <c r="K290" s="3"/>
      <c r="L290" s="3"/>
      <c r="M290" s="2"/>
      <c r="N290" s="2"/>
    </row>
    <row r="291" spans="5:14" x14ac:dyDescent="0.35">
      <c r="E291" s="2"/>
      <c r="F291" s="2"/>
      <c r="G291" s="3"/>
      <c r="H291" s="3"/>
      <c r="I291" s="3"/>
      <c r="J291" s="3"/>
      <c r="K291" s="3"/>
      <c r="L291" s="3"/>
      <c r="M291" s="2"/>
      <c r="N291" s="2"/>
    </row>
    <row r="292" spans="5:14" x14ac:dyDescent="0.35">
      <c r="E292" s="2"/>
      <c r="F292" s="2"/>
      <c r="G292" s="3"/>
      <c r="H292" s="3"/>
      <c r="I292" s="3"/>
      <c r="J292" s="3"/>
      <c r="K292" s="3"/>
      <c r="L292" s="3"/>
      <c r="M292" s="2"/>
      <c r="N292" s="2"/>
    </row>
    <row r="293" spans="5:14" x14ac:dyDescent="0.35">
      <c r="E293" s="2"/>
      <c r="F293" s="2"/>
      <c r="G293" s="3"/>
      <c r="H293" s="3"/>
      <c r="I293" s="3"/>
      <c r="J293" s="3"/>
      <c r="K293" s="3"/>
      <c r="L293" s="3"/>
      <c r="M293" s="2"/>
      <c r="N293" s="2"/>
    </row>
    <row r="294" spans="5:14" x14ac:dyDescent="0.35">
      <c r="E294" s="2"/>
      <c r="F294" s="2"/>
      <c r="G294" s="3"/>
      <c r="H294" s="3"/>
      <c r="I294" s="3"/>
      <c r="J294" s="3"/>
      <c r="K294" s="3"/>
      <c r="L294" s="3"/>
      <c r="M294" s="2"/>
      <c r="N294" s="2"/>
    </row>
    <row r="295" spans="5:14" x14ac:dyDescent="0.35">
      <c r="E295" s="2"/>
      <c r="F295" s="2"/>
      <c r="G295" s="3"/>
      <c r="H295" s="3"/>
      <c r="I295" s="3"/>
      <c r="J295" s="3"/>
      <c r="K295" s="3"/>
      <c r="L295" s="3"/>
      <c r="M295" s="2"/>
      <c r="N295" s="2"/>
    </row>
    <row r="296" spans="5:14" x14ac:dyDescent="0.35">
      <c r="E296" s="2"/>
      <c r="F296" s="2"/>
      <c r="G296" s="3"/>
      <c r="H296" s="3"/>
      <c r="I296" s="3"/>
      <c r="J296" s="3"/>
      <c r="K296" s="3"/>
      <c r="L296" s="3"/>
      <c r="M296" s="2"/>
      <c r="N296" s="2"/>
    </row>
    <row r="297" spans="5:14" x14ac:dyDescent="0.35">
      <c r="E297" s="2"/>
      <c r="F297" s="2"/>
      <c r="G297" s="3"/>
      <c r="H297" s="3"/>
      <c r="I297" s="3"/>
      <c r="J297" s="3"/>
      <c r="K297" s="3"/>
      <c r="L297" s="3"/>
      <c r="M297" s="2"/>
      <c r="N297" s="2"/>
    </row>
    <row r="298" spans="5:14" x14ac:dyDescent="0.35">
      <c r="E298" s="2"/>
      <c r="F298" s="2"/>
      <c r="G298" s="3"/>
      <c r="H298" s="3"/>
      <c r="I298" s="3"/>
      <c r="J298" s="3"/>
      <c r="K298" s="3"/>
      <c r="L298" s="3"/>
      <c r="M298" s="2"/>
      <c r="N298" s="2"/>
    </row>
    <row r="299" spans="5:14" x14ac:dyDescent="0.35">
      <c r="E299" s="2"/>
      <c r="F299" s="2"/>
      <c r="G299" s="3"/>
      <c r="H299" s="3"/>
      <c r="I299" s="3"/>
      <c r="J299" s="3"/>
      <c r="K299" s="3"/>
      <c r="L299" s="3"/>
      <c r="M299" s="2"/>
      <c r="N299" s="2"/>
    </row>
    <row r="300" spans="5:14" x14ac:dyDescent="0.35">
      <c r="E300" s="2"/>
      <c r="F300" s="2"/>
      <c r="G300" s="3"/>
      <c r="H300" s="3"/>
      <c r="I300" s="3"/>
      <c r="J300" s="3"/>
      <c r="K300" s="3"/>
      <c r="L300" s="3"/>
      <c r="M300" s="2"/>
      <c r="N300" s="2"/>
    </row>
    <row r="301" spans="5:14" x14ac:dyDescent="0.35">
      <c r="E301" s="2"/>
      <c r="F301" s="2"/>
      <c r="G301" s="3"/>
      <c r="H301" s="3"/>
      <c r="I301" s="3"/>
      <c r="J301" s="3"/>
      <c r="K301" s="3"/>
      <c r="L301" s="3"/>
      <c r="M301" s="2"/>
      <c r="N301" s="2"/>
    </row>
    <row r="302" spans="5:14" x14ac:dyDescent="0.35">
      <c r="E302" s="2"/>
      <c r="F302" s="2"/>
      <c r="G302" s="3"/>
      <c r="H302" s="3"/>
      <c r="I302" s="3"/>
      <c r="J302" s="3"/>
      <c r="K302" s="3"/>
      <c r="L302" s="3"/>
      <c r="M302" s="2"/>
      <c r="N302" s="2"/>
    </row>
    <row r="303" spans="5:14" x14ac:dyDescent="0.35">
      <c r="E303" s="2"/>
      <c r="F303" s="2"/>
      <c r="G303" s="3"/>
      <c r="H303" s="3"/>
      <c r="I303" s="3"/>
      <c r="J303" s="3"/>
      <c r="K303" s="3"/>
      <c r="L303" s="3"/>
      <c r="M303" s="2"/>
      <c r="N303" s="2"/>
    </row>
    <row r="304" spans="5:14" x14ac:dyDescent="0.35">
      <c r="E304" s="2"/>
      <c r="F304" s="2"/>
      <c r="G304" s="3"/>
      <c r="H304" s="3"/>
      <c r="I304" s="3"/>
      <c r="J304" s="3"/>
      <c r="K304" s="3"/>
      <c r="L304" s="3"/>
      <c r="M304" s="2"/>
      <c r="N304" s="2"/>
    </row>
    <row r="305" spans="5:14" x14ac:dyDescent="0.35">
      <c r="E305" s="2"/>
      <c r="F305" s="2"/>
      <c r="G305" s="3"/>
      <c r="H305" s="3"/>
      <c r="I305" s="3"/>
      <c r="J305" s="3"/>
      <c r="K305" s="3"/>
      <c r="L305" s="3"/>
      <c r="M305" s="2"/>
      <c r="N305" s="2"/>
    </row>
    <row r="306" spans="5:14" x14ac:dyDescent="0.35">
      <c r="E306" s="2"/>
      <c r="F306" s="2"/>
      <c r="G306" s="3"/>
      <c r="H306" s="3"/>
      <c r="I306" s="3"/>
      <c r="J306" s="3"/>
      <c r="K306" s="3"/>
      <c r="L306" s="3"/>
      <c r="M306" s="2"/>
      <c r="N306" s="2"/>
    </row>
    <row r="307" spans="5:14" x14ac:dyDescent="0.35">
      <c r="E307" s="2"/>
      <c r="F307" s="2"/>
      <c r="G307" s="3"/>
      <c r="H307" s="3"/>
      <c r="I307" s="3"/>
      <c r="J307" s="3"/>
      <c r="K307" s="3"/>
      <c r="L307" s="3"/>
      <c r="M307" s="2"/>
      <c r="N307" s="2"/>
    </row>
    <row r="308" spans="5:14" x14ac:dyDescent="0.35">
      <c r="E308" s="2"/>
      <c r="F308" s="2"/>
      <c r="G308" s="3"/>
      <c r="H308" s="3"/>
      <c r="I308" s="3"/>
      <c r="J308" s="3"/>
      <c r="K308" s="3"/>
      <c r="L308" s="3"/>
      <c r="M308" s="2"/>
      <c r="N308" s="2"/>
    </row>
    <row r="309" spans="5:14" x14ac:dyDescent="0.35">
      <c r="E309" s="2"/>
      <c r="F309" s="2"/>
      <c r="G309" s="3"/>
      <c r="H309" s="3"/>
      <c r="I309" s="3"/>
      <c r="J309" s="3"/>
      <c r="K309" s="3"/>
      <c r="L309" s="3"/>
      <c r="M309" s="2"/>
      <c r="N309" s="2"/>
    </row>
    <row r="310" spans="5:14" x14ac:dyDescent="0.35">
      <c r="E310" s="2"/>
      <c r="F310" s="2"/>
      <c r="G310" s="3"/>
      <c r="H310" s="3"/>
      <c r="I310" s="3"/>
      <c r="J310" s="3"/>
      <c r="K310" s="3"/>
      <c r="L310" s="3"/>
      <c r="M310" s="2"/>
      <c r="N310" s="2"/>
    </row>
    <row r="311" spans="5:14" x14ac:dyDescent="0.35">
      <c r="E311" s="2"/>
      <c r="F311" s="2"/>
      <c r="G311" s="3"/>
      <c r="H311" s="3"/>
      <c r="I311" s="3"/>
      <c r="J311" s="3"/>
      <c r="K311" s="3"/>
      <c r="L311" s="3"/>
      <c r="M311" s="2"/>
      <c r="N311" s="2"/>
    </row>
    <row r="312" spans="5:14" x14ac:dyDescent="0.35">
      <c r="E312" s="2"/>
      <c r="F312" s="2"/>
      <c r="G312" s="3"/>
      <c r="H312" s="3"/>
      <c r="I312" s="3"/>
      <c r="J312" s="3"/>
      <c r="K312" s="3"/>
      <c r="L312" s="3"/>
      <c r="M312" s="2"/>
      <c r="N312" s="2"/>
    </row>
    <row r="313" spans="5:14" x14ac:dyDescent="0.35">
      <c r="E313" s="2"/>
      <c r="F313" s="2"/>
      <c r="G313" s="3"/>
      <c r="H313" s="3"/>
      <c r="I313" s="3"/>
      <c r="J313" s="3"/>
      <c r="K313" s="3"/>
      <c r="L313" s="3"/>
      <c r="M313" s="2"/>
      <c r="N313" s="2"/>
    </row>
    <row r="314" spans="5:14" x14ac:dyDescent="0.35">
      <c r="E314" s="2"/>
      <c r="F314" s="2"/>
      <c r="G314" s="3"/>
      <c r="H314" s="3"/>
      <c r="I314" s="3"/>
      <c r="J314" s="3"/>
      <c r="K314" s="3"/>
      <c r="L314" s="3"/>
      <c r="M314" s="2"/>
      <c r="N314" s="2"/>
    </row>
    <row r="315" spans="5:14" x14ac:dyDescent="0.35">
      <c r="E315" s="2"/>
      <c r="F315" s="2"/>
      <c r="G315" s="3"/>
      <c r="H315" s="3"/>
      <c r="I315" s="3"/>
      <c r="J315" s="3"/>
      <c r="K315" s="3"/>
      <c r="L315" s="3"/>
      <c r="M315" s="2"/>
      <c r="N315" s="2"/>
    </row>
    <row r="316" spans="5:14" x14ac:dyDescent="0.35">
      <c r="E316" s="2"/>
      <c r="F316" s="2"/>
      <c r="G316" s="3"/>
      <c r="H316" s="3"/>
      <c r="I316" s="3"/>
      <c r="J316" s="3"/>
      <c r="K316" s="3"/>
      <c r="L316" s="3"/>
      <c r="M316" s="2"/>
      <c r="N316" s="2"/>
    </row>
    <row r="317" spans="5:14" x14ac:dyDescent="0.35">
      <c r="E317" s="2"/>
      <c r="F317" s="2"/>
      <c r="G317" s="3"/>
      <c r="H317" s="3"/>
      <c r="I317" s="3"/>
      <c r="J317" s="3"/>
      <c r="K317" s="3"/>
      <c r="L317" s="3"/>
      <c r="M317" s="2"/>
      <c r="N317" s="2"/>
    </row>
    <row r="318" spans="5:14" x14ac:dyDescent="0.35">
      <c r="E318" s="2"/>
      <c r="F318" s="2"/>
      <c r="G318" s="3"/>
      <c r="H318" s="3"/>
      <c r="I318" s="3"/>
      <c r="J318" s="3"/>
      <c r="K318" s="3"/>
      <c r="L318" s="3"/>
      <c r="M318" s="2"/>
      <c r="N318" s="2"/>
    </row>
    <row r="319" spans="5:14" x14ac:dyDescent="0.35">
      <c r="E319" s="2"/>
      <c r="F319" s="2"/>
      <c r="G319" s="3"/>
      <c r="H319" s="3"/>
      <c r="I319" s="3"/>
      <c r="J319" s="3"/>
      <c r="K319" s="3"/>
      <c r="L319" s="3"/>
      <c r="M319" s="2"/>
      <c r="N319" s="2"/>
    </row>
    <row r="320" spans="5:14" x14ac:dyDescent="0.35">
      <c r="E320" s="2"/>
      <c r="F320" s="2"/>
      <c r="G320" s="3"/>
      <c r="H320" s="3"/>
      <c r="I320" s="3"/>
      <c r="J320" s="3"/>
      <c r="K320" s="3"/>
      <c r="L320" s="3"/>
      <c r="M320" s="2"/>
      <c r="N320" s="2"/>
    </row>
    <row r="321" spans="5:14" x14ac:dyDescent="0.35">
      <c r="E321" s="2"/>
      <c r="F321" s="2"/>
      <c r="G321" s="3"/>
      <c r="H321" s="3"/>
      <c r="I321" s="3"/>
      <c r="J321" s="3"/>
      <c r="K321" s="3"/>
      <c r="L321" s="3"/>
      <c r="M321" s="2"/>
      <c r="N321" s="2"/>
    </row>
    <row r="322" spans="5:14" x14ac:dyDescent="0.35">
      <c r="E322" s="2"/>
      <c r="F322" s="2"/>
      <c r="G322" s="3"/>
      <c r="H322" s="3"/>
      <c r="I322" s="3"/>
      <c r="J322" s="3"/>
      <c r="K322" s="3"/>
      <c r="L322" s="3"/>
      <c r="M322" s="2"/>
      <c r="N322" s="2"/>
    </row>
    <row r="323" spans="5:14" x14ac:dyDescent="0.35">
      <c r="E323" s="2"/>
      <c r="F323" s="2"/>
      <c r="G323" s="3"/>
      <c r="H323" s="3"/>
      <c r="I323" s="3"/>
      <c r="J323" s="3"/>
      <c r="K323" s="3"/>
      <c r="L323" s="3"/>
      <c r="M323" s="2"/>
      <c r="N323" s="2"/>
    </row>
    <row r="324" spans="5:14" x14ac:dyDescent="0.35">
      <c r="E324" s="2"/>
      <c r="F324" s="2"/>
      <c r="G324" s="3"/>
      <c r="H324" s="3"/>
      <c r="I324" s="3"/>
      <c r="J324" s="3"/>
      <c r="K324" s="3"/>
      <c r="L324" s="3"/>
      <c r="M324" s="2"/>
      <c r="N324" s="2"/>
    </row>
    <row r="325" spans="5:14" x14ac:dyDescent="0.35">
      <c r="E325" s="2"/>
      <c r="F325" s="2"/>
      <c r="G325" s="3"/>
      <c r="H325" s="3"/>
      <c r="I325" s="3"/>
      <c r="J325" s="3"/>
      <c r="K325" s="3"/>
      <c r="L325" s="3"/>
      <c r="M325" s="2"/>
      <c r="N325" s="2"/>
    </row>
    <row r="326" spans="5:14" x14ac:dyDescent="0.35">
      <c r="E326" s="2"/>
      <c r="F326" s="2"/>
      <c r="G326" s="3"/>
      <c r="H326" s="3"/>
      <c r="I326" s="3"/>
      <c r="J326" s="3"/>
      <c r="K326" s="3"/>
      <c r="L326" s="3"/>
      <c r="M326" s="2"/>
      <c r="N326" s="2"/>
    </row>
    <row r="327" spans="5:14" x14ac:dyDescent="0.35">
      <c r="E327" s="2"/>
      <c r="F327" s="2"/>
      <c r="G327" s="3"/>
      <c r="H327" s="3"/>
      <c r="I327" s="3"/>
      <c r="J327" s="3"/>
      <c r="K327" s="3"/>
      <c r="L327" s="3"/>
      <c r="M327" s="2"/>
      <c r="N327" s="2"/>
    </row>
    <row r="328" spans="5:14" x14ac:dyDescent="0.35">
      <c r="E328" s="2"/>
      <c r="F328" s="2"/>
      <c r="G328" s="3"/>
      <c r="H328" s="3"/>
      <c r="I328" s="3"/>
      <c r="J328" s="3"/>
      <c r="K328" s="3"/>
      <c r="L328" s="3"/>
      <c r="M328" s="2"/>
      <c r="N328" s="2"/>
    </row>
    <row r="329" spans="5:14" x14ac:dyDescent="0.35">
      <c r="E329" s="2"/>
      <c r="F329" s="2"/>
      <c r="G329" s="3"/>
      <c r="H329" s="3"/>
      <c r="I329" s="3"/>
      <c r="J329" s="3"/>
      <c r="K329" s="3"/>
      <c r="L329" s="3"/>
      <c r="M329" s="2"/>
      <c r="N329" s="2"/>
    </row>
    <row r="330" spans="5:14" x14ac:dyDescent="0.35">
      <c r="E330" s="2"/>
      <c r="F330" s="2"/>
      <c r="G330" s="3"/>
      <c r="H330" s="3"/>
      <c r="I330" s="3"/>
      <c r="J330" s="3"/>
      <c r="K330" s="3"/>
      <c r="L330" s="3"/>
      <c r="M330" s="2"/>
      <c r="N330" s="2"/>
    </row>
    <row r="331" spans="5:14" x14ac:dyDescent="0.35">
      <c r="E331" s="2"/>
      <c r="F331" s="2"/>
      <c r="G331" s="3"/>
      <c r="H331" s="3"/>
      <c r="I331" s="3"/>
      <c r="J331" s="3"/>
      <c r="K331" s="3"/>
      <c r="L331" s="3"/>
      <c r="M331" s="2"/>
      <c r="N331" s="2"/>
    </row>
    <row r="332" spans="5:14" x14ac:dyDescent="0.35">
      <c r="E332" s="2"/>
      <c r="F332" s="2"/>
      <c r="G332" s="3"/>
      <c r="H332" s="3"/>
      <c r="I332" s="3"/>
      <c r="J332" s="3"/>
      <c r="K332" s="3"/>
      <c r="L332" s="3"/>
      <c r="M332" s="2"/>
      <c r="N332" s="2"/>
    </row>
    <row r="333" spans="5:14" x14ac:dyDescent="0.35">
      <c r="E333" s="2"/>
      <c r="F333" s="2"/>
      <c r="G333" s="3"/>
      <c r="H333" s="3"/>
      <c r="I333" s="3"/>
      <c r="J333" s="3"/>
      <c r="K333" s="3"/>
      <c r="L333" s="3"/>
      <c r="M333" s="2"/>
      <c r="N333" s="2"/>
    </row>
    <row r="334" spans="5:14" x14ac:dyDescent="0.35">
      <c r="E334" s="2"/>
      <c r="F334" s="2"/>
      <c r="G334" s="3"/>
      <c r="H334" s="3"/>
      <c r="I334" s="3"/>
      <c r="J334" s="3"/>
      <c r="K334" s="3"/>
      <c r="L334" s="3"/>
      <c r="M334" s="2"/>
      <c r="N334" s="2"/>
    </row>
    <row r="335" spans="5:14" x14ac:dyDescent="0.35">
      <c r="E335" s="2"/>
      <c r="F335" s="2"/>
      <c r="G335" s="3"/>
      <c r="H335" s="3"/>
      <c r="I335" s="3"/>
      <c r="J335" s="3"/>
      <c r="K335" s="3"/>
      <c r="L335" s="3"/>
      <c r="M335" s="2"/>
      <c r="N335" s="2"/>
    </row>
    <row r="336" spans="5:14" x14ac:dyDescent="0.35">
      <c r="E336" s="2"/>
      <c r="F336" s="2"/>
      <c r="G336" s="3"/>
      <c r="H336" s="3"/>
      <c r="I336" s="3"/>
      <c r="J336" s="3"/>
      <c r="K336" s="3"/>
      <c r="L336" s="3"/>
      <c r="M336" s="2"/>
      <c r="N336" s="2"/>
    </row>
    <row r="337" spans="5:14" x14ac:dyDescent="0.35">
      <c r="E337" s="2"/>
      <c r="F337" s="2"/>
      <c r="G337" s="3"/>
      <c r="H337" s="3"/>
      <c r="I337" s="3"/>
      <c r="J337" s="3"/>
      <c r="K337" s="3"/>
      <c r="L337" s="3"/>
      <c r="M337" s="2"/>
      <c r="N337" s="2"/>
    </row>
    <row r="338" spans="5:14" x14ac:dyDescent="0.35">
      <c r="E338" s="2"/>
      <c r="F338" s="2"/>
      <c r="G338" s="3"/>
      <c r="H338" s="3"/>
      <c r="I338" s="3"/>
      <c r="J338" s="3"/>
      <c r="K338" s="3"/>
      <c r="L338" s="3"/>
      <c r="M338" s="2"/>
      <c r="N338" s="2"/>
    </row>
    <row r="339" spans="5:14" x14ac:dyDescent="0.35">
      <c r="E339" s="2"/>
      <c r="F339" s="2"/>
      <c r="G339" s="3"/>
      <c r="H339" s="3"/>
      <c r="I339" s="3"/>
      <c r="J339" s="3"/>
      <c r="K339" s="3"/>
      <c r="L339" s="3"/>
      <c r="M339" s="2"/>
      <c r="N339" s="2"/>
    </row>
    <row r="340" spans="5:14" x14ac:dyDescent="0.35">
      <c r="E340" s="2"/>
      <c r="F340" s="2"/>
      <c r="G340" s="3"/>
      <c r="H340" s="3"/>
      <c r="I340" s="3"/>
      <c r="J340" s="3"/>
      <c r="K340" s="3"/>
      <c r="L340" s="3"/>
      <c r="M340" s="2"/>
      <c r="N340" s="2"/>
    </row>
    <row r="341" spans="5:14" x14ac:dyDescent="0.35">
      <c r="E341" s="2"/>
      <c r="F341" s="2"/>
      <c r="G341" s="3"/>
      <c r="H341" s="3"/>
      <c r="I341" s="3"/>
      <c r="J341" s="3"/>
      <c r="K341" s="3"/>
      <c r="L341" s="3"/>
      <c r="M341" s="2"/>
      <c r="N341" s="2"/>
    </row>
    <row r="342" spans="5:14" x14ac:dyDescent="0.35">
      <c r="E342" s="2"/>
      <c r="F342" s="2"/>
      <c r="G342" s="3"/>
      <c r="H342" s="3"/>
      <c r="I342" s="3"/>
      <c r="J342" s="3"/>
      <c r="K342" s="3"/>
      <c r="L342" s="3"/>
      <c r="M342" s="2"/>
      <c r="N342" s="2"/>
    </row>
    <row r="343" spans="5:14" x14ac:dyDescent="0.35">
      <c r="E343" s="2"/>
      <c r="F343" s="2"/>
      <c r="G343" s="3"/>
      <c r="H343" s="3"/>
      <c r="I343" s="3"/>
      <c r="J343" s="3"/>
      <c r="K343" s="3"/>
      <c r="L343" s="3"/>
      <c r="M343" s="2"/>
      <c r="N343" s="2"/>
    </row>
    <row r="344" spans="5:14" x14ac:dyDescent="0.35">
      <c r="E344" s="2"/>
      <c r="F344" s="2"/>
      <c r="G344" s="3"/>
      <c r="H344" s="3"/>
      <c r="I344" s="3"/>
      <c r="J344" s="3"/>
      <c r="K344" s="3"/>
      <c r="L344" s="3"/>
      <c r="M344" s="2"/>
      <c r="N344" s="2"/>
    </row>
    <row r="345" spans="5:14" x14ac:dyDescent="0.35">
      <c r="E345" s="2"/>
      <c r="F345" s="2"/>
      <c r="G345" s="3"/>
      <c r="H345" s="3"/>
      <c r="I345" s="3"/>
      <c r="J345" s="3"/>
      <c r="K345" s="3"/>
      <c r="L345" s="3"/>
      <c r="M345" s="2"/>
      <c r="N345" s="2"/>
    </row>
    <row r="346" spans="5:14" x14ac:dyDescent="0.35">
      <c r="E346" s="2"/>
      <c r="F346" s="2"/>
      <c r="G346" s="3"/>
      <c r="H346" s="3"/>
      <c r="I346" s="3"/>
      <c r="J346" s="3"/>
      <c r="K346" s="3"/>
      <c r="L346" s="3"/>
      <c r="M346" s="2"/>
      <c r="N346" s="2"/>
    </row>
    <row r="347" spans="5:14" x14ac:dyDescent="0.35">
      <c r="E347" s="2"/>
      <c r="F347" s="2"/>
      <c r="G347" s="3"/>
      <c r="H347" s="3"/>
      <c r="I347" s="3"/>
      <c r="J347" s="3"/>
      <c r="K347" s="3"/>
      <c r="L347" s="3"/>
      <c r="M347" s="2"/>
      <c r="N347" s="2"/>
    </row>
    <row r="348" spans="5:14" x14ac:dyDescent="0.35">
      <c r="E348" s="2"/>
      <c r="F348" s="2"/>
      <c r="G348" s="3"/>
      <c r="H348" s="3"/>
      <c r="I348" s="3"/>
      <c r="J348" s="3"/>
      <c r="K348" s="3"/>
      <c r="L348" s="3"/>
      <c r="M348" s="2"/>
      <c r="N348" s="2"/>
    </row>
    <row r="349" spans="5:14" x14ac:dyDescent="0.35">
      <c r="E349" s="2"/>
      <c r="F349" s="2"/>
      <c r="G349" s="3"/>
      <c r="H349" s="3"/>
      <c r="I349" s="3"/>
      <c r="J349" s="3"/>
      <c r="K349" s="3"/>
      <c r="L349" s="3"/>
      <c r="M349" s="2"/>
      <c r="N349" s="2"/>
    </row>
    <row r="350" spans="5:14" x14ac:dyDescent="0.35">
      <c r="E350" s="2"/>
      <c r="F350" s="2"/>
      <c r="G350" s="3"/>
      <c r="H350" s="3"/>
      <c r="I350" s="3"/>
      <c r="J350" s="3"/>
      <c r="K350" s="3"/>
      <c r="L350" s="3"/>
      <c r="M350" s="2"/>
      <c r="N350" s="2"/>
    </row>
    <row r="351" spans="5:14" x14ac:dyDescent="0.35">
      <c r="E351" s="2"/>
      <c r="F351" s="2"/>
      <c r="G351" s="3"/>
      <c r="H351" s="3"/>
      <c r="I351" s="3"/>
      <c r="J351" s="3"/>
      <c r="K351" s="3"/>
      <c r="L351" s="3"/>
      <c r="M351" s="2"/>
      <c r="N351" s="2"/>
    </row>
    <row r="352" spans="5:14" x14ac:dyDescent="0.35">
      <c r="E352" s="2"/>
      <c r="F352" s="2"/>
      <c r="G352" s="3"/>
      <c r="H352" s="3"/>
      <c r="I352" s="3"/>
      <c r="J352" s="3"/>
      <c r="K352" s="3"/>
      <c r="L352" s="3"/>
      <c r="M352" s="2"/>
      <c r="N352" s="2"/>
    </row>
    <row r="353" spans="5:14" x14ac:dyDescent="0.35">
      <c r="E353" s="2"/>
      <c r="F353" s="2"/>
      <c r="G353" s="3"/>
      <c r="H353" s="3"/>
      <c r="I353" s="3"/>
      <c r="J353" s="3"/>
      <c r="K353" s="3"/>
      <c r="L353" s="3"/>
      <c r="M353" s="2"/>
      <c r="N353" s="2"/>
    </row>
    <row r="354" spans="5:14" x14ac:dyDescent="0.35">
      <c r="E354" s="2"/>
      <c r="F354" s="2"/>
      <c r="G354" s="3"/>
      <c r="H354" s="3"/>
      <c r="I354" s="3"/>
      <c r="J354" s="3"/>
      <c r="K354" s="3"/>
      <c r="L354" s="3"/>
      <c r="M354" s="2"/>
      <c r="N354" s="2"/>
    </row>
    <row r="355" spans="5:14" x14ac:dyDescent="0.35">
      <c r="E355" s="2"/>
      <c r="F355" s="2"/>
      <c r="G355" s="3"/>
      <c r="H355" s="3"/>
      <c r="I355" s="3"/>
      <c r="J355" s="3"/>
      <c r="K355" s="3"/>
      <c r="L355" s="3"/>
      <c r="M355" s="2"/>
      <c r="N355" s="2"/>
    </row>
    <row r="356" spans="5:14" x14ac:dyDescent="0.35">
      <c r="E356" s="2"/>
      <c r="F356" s="2"/>
      <c r="G356" s="3"/>
      <c r="H356" s="3"/>
      <c r="I356" s="3"/>
      <c r="J356" s="3"/>
      <c r="K356" s="3"/>
      <c r="L356" s="3"/>
      <c r="M356" s="2"/>
      <c r="N356" s="2"/>
    </row>
    <row r="357" spans="5:14" x14ac:dyDescent="0.35">
      <c r="E357" s="2"/>
      <c r="F357" s="2"/>
      <c r="G357" s="3"/>
      <c r="H357" s="3"/>
      <c r="I357" s="3"/>
      <c r="J357" s="3"/>
      <c r="K357" s="3"/>
      <c r="L357" s="3"/>
      <c r="M357" s="2"/>
      <c r="N357" s="2"/>
    </row>
    <row r="358" spans="5:14" x14ac:dyDescent="0.35">
      <c r="E358" s="2"/>
      <c r="F358" s="2"/>
      <c r="G358" s="3"/>
      <c r="H358" s="3"/>
      <c r="I358" s="3"/>
      <c r="J358" s="3"/>
      <c r="K358" s="3"/>
      <c r="L358" s="3"/>
      <c r="M358" s="2"/>
      <c r="N358" s="2"/>
    </row>
    <row r="359" spans="5:14" x14ac:dyDescent="0.35">
      <c r="E359" s="2"/>
      <c r="F359" s="2"/>
      <c r="G359" s="3"/>
      <c r="H359" s="3"/>
      <c r="I359" s="3"/>
      <c r="J359" s="3"/>
      <c r="K359" s="3"/>
      <c r="L359" s="3"/>
      <c r="M359" s="2"/>
      <c r="N359" s="2"/>
    </row>
    <row r="360" spans="5:14" x14ac:dyDescent="0.35">
      <c r="E360" s="2"/>
      <c r="F360" s="2"/>
      <c r="G360" s="3"/>
      <c r="H360" s="3"/>
      <c r="I360" s="3"/>
      <c r="J360" s="3"/>
      <c r="K360" s="3"/>
      <c r="L360" s="3"/>
      <c r="M360" s="2"/>
      <c r="N360" s="2"/>
    </row>
    <row r="361" spans="5:14" x14ac:dyDescent="0.35">
      <c r="E361" s="2"/>
      <c r="F361" s="2"/>
      <c r="G361" s="3"/>
      <c r="H361" s="3"/>
      <c r="I361" s="3"/>
      <c r="J361" s="3"/>
      <c r="K361" s="3"/>
      <c r="L361" s="3"/>
      <c r="M361" s="2"/>
      <c r="N361" s="2"/>
    </row>
    <row r="362" spans="5:14" x14ac:dyDescent="0.35">
      <c r="E362" s="2"/>
      <c r="F362" s="2"/>
      <c r="G362" s="3"/>
      <c r="H362" s="3"/>
      <c r="I362" s="3"/>
      <c r="J362" s="3"/>
      <c r="K362" s="3"/>
      <c r="L362" s="3"/>
      <c r="M362" s="2"/>
      <c r="N362" s="2"/>
    </row>
    <row r="363" spans="5:14" x14ac:dyDescent="0.35">
      <c r="E363" s="2"/>
      <c r="F363" s="2"/>
      <c r="G363" s="3"/>
      <c r="H363" s="3"/>
      <c r="I363" s="3"/>
      <c r="J363" s="3"/>
      <c r="K363" s="3"/>
      <c r="L363" s="3"/>
      <c r="M363" s="2"/>
      <c r="N363" s="2"/>
    </row>
    <row r="364" spans="5:14" x14ac:dyDescent="0.35">
      <c r="E364" s="2"/>
      <c r="F364" s="2"/>
      <c r="G364" s="3"/>
      <c r="H364" s="3"/>
      <c r="I364" s="3"/>
      <c r="J364" s="3"/>
      <c r="K364" s="3"/>
      <c r="L364" s="3"/>
      <c r="M364" s="2"/>
      <c r="N364" s="2"/>
    </row>
    <row r="365" spans="5:14" x14ac:dyDescent="0.35">
      <c r="E365" s="2"/>
      <c r="F365" s="2"/>
      <c r="G365" s="3"/>
      <c r="H365" s="3"/>
      <c r="I365" s="3"/>
      <c r="J365" s="3"/>
      <c r="K365" s="3"/>
      <c r="L365" s="3"/>
      <c r="M365" s="2"/>
      <c r="N365" s="2"/>
    </row>
    <row r="366" spans="5:14" x14ac:dyDescent="0.35">
      <c r="E366" s="2"/>
      <c r="F366" s="2"/>
      <c r="G366" s="3"/>
      <c r="H366" s="3"/>
      <c r="I366" s="3"/>
      <c r="J366" s="3"/>
      <c r="K366" s="3"/>
      <c r="L366" s="3"/>
      <c r="M366" s="2"/>
      <c r="N366" s="2"/>
    </row>
    <row r="367" spans="5:14" x14ac:dyDescent="0.35">
      <c r="E367" s="2"/>
      <c r="F367" s="2"/>
      <c r="G367" s="3"/>
      <c r="H367" s="3"/>
      <c r="I367" s="3"/>
      <c r="J367" s="3"/>
      <c r="K367" s="3"/>
      <c r="L367" s="3"/>
      <c r="M367" s="2"/>
      <c r="N367" s="2"/>
    </row>
    <row r="368" spans="5:14" x14ac:dyDescent="0.35">
      <c r="E368" s="2"/>
      <c r="F368" s="2"/>
      <c r="G368" s="3"/>
      <c r="H368" s="3"/>
      <c r="I368" s="3"/>
      <c r="J368" s="3"/>
      <c r="K368" s="3"/>
      <c r="L368" s="3"/>
      <c r="M368" s="2"/>
      <c r="N368" s="2"/>
    </row>
    <row r="369" spans="5:14" x14ac:dyDescent="0.35">
      <c r="E369" s="2"/>
      <c r="F369" s="2"/>
      <c r="G369" s="3"/>
      <c r="H369" s="3"/>
      <c r="I369" s="3"/>
      <c r="J369" s="3"/>
      <c r="K369" s="3"/>
      <c r="L369" s="3"/>
      <c r="M369" s="2"/>
      <c r="N369" s="2"/>
    </row>
    <row r="370" spans="5:14" x14ac:dyDescent="0.35">
      <c r="E370" s="2"/>
      <c r="F370" s="2"/>
      <c r="G370" s="3"/>
      <c r="H370" s="3"/>
      <c r="I370" s="3"/>
      <c r="J370" s="3"/>
      <c r="K370" s="3"/>
      <c r="L370" s="3"/>
      <c r="M370" s="2"/>
      <c r="N370" s="2"/>
    </row>
    <row r="371" spans="5:14" x14ac:dyDescent="0.35">
      <c r="E371" s="2"/>
      <c r="F371" s="2"/>
      <c r="G371" s="3"/>
      <c r="H371" s="3"/>
      <c r="I371" s="3"/>
      <c r="J371" s="3"/>
      <c r="K371" s="3"/>
      <c r="L371" s="3"/>
      <c r="M371" s="2"/>
      <c r="N371" s="2"/>
    </row>
    <row r="372" spans="5:14" x14ac:dyDescent="0.35">
      <c r="E372" s="2"/>
      <c r="F372" s="2"/>
      <c r="G372" s="3"/>
      <c r="H372" s="3"/>
      <c r="I372" s="3"/>
      <c r="J372" s="3"/>
      <c r="K372" s="3"/>
      <c r="L372" s="3"/>
      <c r="M372" s="2"/>
      <c r="N372" s="2"/>
    </row>
    <row r="373" spans="5:14" x14ac:dyDescent="0.35">
      <c r="E373" s="2"/>
      <c r="F373" s="2"/>
      <c r="G373" s="3"/>
      <c r="H373" s="3"/>
      <c r="I373" s="3"/>
      <c r="J373" s="3"/>
      <c r="K373" s="3"/>
      <c r="L373" s="3"/>
      <c r="M373" s="2"/>
      <c r="N373" s="2"/>
    </row>
    <row r="374" spans="5:14" x14ac:dyDescent="0.35">
      <c r="E374" s="2"/>
      <c r="F374" s="2"/>
      <c r="G374" s="3"/>
      <c r="H374" s="3"/>
      <c r="I374" s="3"/>
      <c r="J374" s="3"/>
      <c r="K374" s="3"/>
      <c r="L374" s="3"/>
      <c r="M374" s="2"/>
      <c r="N374" s="2"/>
    </row>
    <row r="375" spans="5:14" x14ac:dyDescent="0.35">
      <c r="E375" s="2"/>
      <c r="F375" s="2"/>
      <c r="G375" s="3"/>
      <c r="H375" s="3"/>
      <c r="I375" s="3"/>
      <c r="J375" s="3"/>
      <c r="K375" s="3"/>
      <c r="L375" s="3"/>
      <c r="M375" s="2"/>
      <c r="N375" s="2"/>
    </row>
    <row r="376" spans="5:14" x14ac:dyDescent="0.35">
      <c r="E376" s="2"/>
      <c r="F376" s="2"/>
      <c r="G376" s="3"/>
      <c r="H376" s="3"/>
      <c r="I376" s="3"/>
      <c r="J376" s="3"/>
      <c r="K376" s="3"/>
      <c r="L376" s="3"/>
      <c r="M376" s="2"/>
      <c r="N376" s="2"/>
    </row>
    <row r="377" spans="5:14" x14ac:dyDescent="0.35">
      <c r="E377" s="2"/>
      <c r="F377" s="2"/>
      <c r="G377" s="3"/>
      <c r="H377" s="3"/>
      <c r="I377" s="3"/>
      <c r="J377" s="3"/>
      <c r="K377" s="3"/>
      <c r="L377" s="3"/>
      <c r="M377" s="2"/>
      <c r="N377" s="2"/>
    </row>
    <row r="378" spans="5:14" x14ac:dyDescent="0.35">
      <c r="E378" s="2"/>
      <c r="F378" s="2"/>
      <c r="G378" s="3"/>
      <c r="H378" s="3"/>
      <c r="I378" s="3"/>
      <c r="J378" s="3"/>
      <c r="K378" s="3"/>
      <c r="L378" s="3"/>
      <c r="M378" s="2"/>
      <c r="N378" s="2"/>
    </row>
    <row r="379" spans="5:14" x14ac:dyDescent="0.35">
      <c r="E379" s="2"/>
      <c r="F379" s="2"/>
      <c r="G379" s="3"/>
      <c r="H379" s="3"/>
      <c r="I379" s="3"/>
      <c r="J379" s="3"/>
      <c r="K379" s="3"/>
      <c r="L379" s="3"/>
      <c r="M379" s="2"/>
      <c r="N379" s="2"/>
    </row>
    <row r="380" spans="5:14" x14ac:dyDescent="0.35">
      <c r="E380" s="2"/>
      <c r="F380" s="2"/>
      <c r="G380" s="3"/>
      <c r="H380" s="3"/>
      <c r="I380" s="3"/>
      <c r="J380" s="3"/>
      <c r="K380" s="3"/>
      <c r="L380" s="3"/>
      <c r="M380" s="2"/>
      <c r="N380" s="2"/>
    </row>
    <row r="381" spans="5:14" x14ac:dyDescent="0.35">
      <c r="E381" s="2"/>
      <c r="F381" s="2"/>
      <c r="G381" s="3"/>
      <c r="H381" s="3"/>
      <c r="I381" s="3"/>
      <c r="J381" s="3"/>
      <c r="K381" s="3"/>
      <c r="L381" s="3"/>
      <c r="M381" s="2"/>
      <c r="N381" s="2"/>
    </row>
    <row r="382" spans="5:14" x14ac:dyDescent="0.35">
      <c r="E382" s="2"/>
      <c r="F382" s="2"/>
      <c r="G382" s="3"/>
      <c r="H382" s="3"/>
      <c r="I382" s="3"/>
      <c r="J382" s="3"/>
      <c r="K382" s="3"/>
      <c r="L382" s="3"/>
      <c r="M382" s="2"/>
      <c r="N382" s="2"/>
    </row>
    <row r="383" spans="5:14" x14ac:dyDescent="0.35">
      <c r="E383" s="2"/>
      <c r="F383" s="2"/>
      <c r="G383" s="3"/>
      <c r="H383" s="3"/>
      <c r="I383" s="3"/>
      <c r="J383" s="3"/>
      <c r="K383" s="3"/>
      <c r="L383" s="3"/>
      <c r="M383" s="2"/>
      <c r="N383" s="2"/>
    </row>
    <row r="384" spans="5:14" x14ac:dyDescent="0.35">
      <c r="E384" s="2"/>
      <c r="F384" s="2"/>
      <c r="G384" s="3"/>
      <c r="H384" s="3"/>
      <c r="I384" s="3"/>
      <c r="J384" s="3"/>
      <c r="K384" s="3"/>
      <c r="L384" s="3"/>
      <c r="M384" s="2"/>
      <c r="N384" s="2"/>
    </row>
    <row r="385" spans="5:14" x14ac:dyDescent="0.35">
      <c r="E385" s="2"/>
      <c r="F385" s="2"/>
      <c r="G385" s="3"/>
      <c r="H385" s="3"/>
      <c r="I385" s="3"/>
      <c r="J385" s="3"/>
      <c r="K385" s="3"/>
      <c r="L385" s="3"/>
      <c r="M385" s="2"/>
      <c r="N385" s="2"/>
    </row>
    <row r="386" spans="5:14" x14ac:dyDescent="0.35">
      <c r="E386" s="2"/>
      <c r="F386" s="2"/>
      <c r="G386" s="3"/>
      <c r="H386" s="3"/>
      <c r="I386" s="3"/>
      <c r="J386" s="3"/>
      <c r="K386" s="3"/>
      <c r="L386" s="3"/>
      <c r="M386" s="2"/>
      <c r="N386" s="2"/>
    </row>
    <row r="387" spans="5:14" x14ac:dyDescent="0.35">
      <c r="E387" s="2"/>
      <c r="F387" s="2"/>
      <c r="G387" s="3"/>
      <c r="H387" s="3"/>
      <c r="I387" s="3"/>
      <c r="J387" s="3"/>
      <c r="K387" s="3"/>
      <c r="L387" s="3"/>
      <c r="M387" s="2"/>
      <c r="N387" s="2"/>
    </row>
    <row r="388" spans="5:14" x14ac:dyDescent="0.35">
      <c r="E388" s="2"/>
      <c r="F388" s="2"/>
      <c r="G388" s="3"/>
      <c r="H388" s="3"/>
      <c r="I388" s="3"/>
      <c r="J388" s="3"/>
      <c r="K388" s="3"/>
      <c r="L388" s="3"/>
      <c r="M388" s="2"/>
      <c r="N388" s="2"/>
    </row>
    <row r="389" spans="5:14" x14ac:dyDescent="0.35">
      <c r="E389" s="2"/>
      <c r="F389" s="2"/>
      <c r="G389" s="3"/>
      <c r="H389" s="3"/>
      <c r="I389" s="3"/>
      <c r="J389" s="3"/>
      <c r="K389" s="3"/>
      <c r="L389" s="3"/>
      <c r="M389" s="2"/>
      <c r="N389" s="2"/>
    </row>
    <row r="390" spans="5:14" x14ac:dyDescent="0.35">
      <c r="E390" s="2"/>
      <c r="F390" s="2"/>
      <c r="G390" s="3"/>
      <c r="H390" s="3"/>
      <c r="I390" s="3"/>
      <c r="J390" s="3"/>
      <c r="K390" s="3"/>
      <c r="L390" s="3"/>
      <c r="M390" s="2"/>
      <c r="N390" s="2"/>
    </row>
    <row r="391" spans="5:14" x14ac:dyDescent="0.35">
      <c r="E391" s="2"/>
      <c r="F391" s="2"/>
      <c r="G391" s="3"/>
      <c r="H391" s="3"/>
      <c r="I391" s="3"/>
      <c r="J391" s="3"/>
      <c r="K391" s="3"/>
      <c r="L391" s="3"/>
      <c r="M391" s="2"/>
      <c r="N391" s="2"/>
    </row>
    <row r="392" spans="5:14" x14ac:dyDescent="0.35">
      <c r="E392" s="2"/>
      <c r="F392" s="2"/>
      <c r="G392" s="3"/>
      <c r="H392" s="3"/>
      <c r="I392" s="3"/>
      <c r="J392" s="3"/>
      <c r="K392" s="3"/>
      <c r="L392" s="3"/>
      <c r="M392" s="2"/>
      <c r="N392" s="2"/>
    </row>
    <row r="393" spans="5:14" x14ac:dyDescent="0.35">
      <c r="E393" s="2"/>
      <c r="F393" s="2"/>
      <c r="G393" s="3"/>
      <c r="H393" s="3"/>
      <c r="I393" s="3"/>
      <c r="J393" s="3"/>
      <c r="K393" s="3"/>
      <c r="L393" s="3"/>
      <c r="M393" s="2"/>
      <c r="N393" s="2"/>
    </row>
    <row r="394" spans="5:14" x14ac:dyDescent="0.35">
      <c r="E394" s="2"/>
      <c r="F394" s="2"/>
      <c r="G394" s="3"/>
      <c r="H394" s="3"/>
      <c r="I394" s="3"/>
      <c r="J394" s="3"/>
      <c r="K394" s="3"/>
      <c r="L394" s="3"/>
      <c r="M394" s="2"/>
      <c r="N394" s="2"/>
    </row>
    <row r="395" spans="5:14" x14ac:dyDescent="0.35">
      <c r="E395" s="2"/>
      <c r="F395" s="2"/>
      <c r="G395" s="3"/>
      <c r="H395" s="3"/>
      <c r="I395" s="3"/>
      <c r="J395" s="3"/>
      <c r="K395" s="3"/>
      <c r="L395" s="3"/>
      <c r="M395" s="2"/>
      <c r="N395" s="2"/>
    </row>
    <row r="396" spans="5:14" x14ac:dyDescent="0.35">
      <c r="E396" s="2"/>
      <c r="F396" s="2"/>
      <c r="G396" s="3"/>
      <c r="H396" s="3"/>
      <c r="I396" s="3"/>
      <c r="J396" s="3"/>
      <c r="K396" s="3"/>
      <c r="L396" s="3"/>
      <c r="M396" s="2"/>
      <c r="N396" s="2"/>
    </row>
    <row r="397" spans="5:14" x14ac:dyDescent="0.35">
      <c r="E397" s="2"/>
      <c r="F397" s="2"/>
      <c r="G397" s="3"/>
      <c r="H397" s="3"/>
      <c r="I397" s="3"/>
      <c r="J397" s="3"/>
      <c r="K397" s="3"/>
      <c r="L397" s="3"/>
      <c r="M397" s="2"/>
      <c r="N397" s="2"/>
    </row>
    <row r="398" spans="5:14" x14ac:dyDescent="0.35">
      <c r="E398" s="2"/>
      <c r="F398" s="2"/>
      <c r="G398" s="3"/>
      <c r="H398" s="3"/>
      <c r="I398" s="3"/>
      <c r="J398" s="3"/>
      <c r="K398" s="3"/>
      <c r="L398" s="3"/>
      <c r="M398" s="2"/>
      <c r="N398" s="2"/>
    </row>
    <row r="399" spans="5:14" x14ac:dyDescent="0.35">
      <c r="E399" s="2"/>
      <c r="F399" s="2"/>
      <c r="G399" s="3"/>
      <c r="H399" s="3"/>
      <c r="I399" s="3"/>
      <c r="J399" s="3"/>
      <c r="K399" s="3"/>
      <c r="L399" s="3"/>
      <c r="M399" s="2"/>
      <c r="N399" s="2"/>
    </row>
    <row r="400" spans="5:14" x14ac:dyDescent="0.35">
      <c r="E400" s="2"/>
      <c r="F400" s="2"/>
      <c r="G400" s="3"/>
      <c r="H400" s="3"/>
      <c r="I400" s="3"/>
      <c r="J400" s="3"/>
      <c r="K400" s="3"/>
      <c r="L400" s="3"/>
      <c r="M400" s="2"/>
      <c r="N400" s="2"/>
    </row>
    <row r="401" spans="5:14" x14ac:dyDescent="0.35">
      <c r="E401" s="2"/>
      <c r="F401" s="2"/>
      <c r="G401" s="3"/>
      <c r="H401" s="3"/>
      <c r="I401" s="3"/>
      <c r="J401" s="3"/>
      <c r="K401" s="3"/>
      <c r="L401" s="3"/>
      <c r="M401" s="2"/>
      <c r="N401" s="2"/>
    </row>
    <row r="402" spans="5:14" x14ac:dyDescent="0.35">
      <c r="E402" s="2"/>
      <c r="F402" s="2"/>
      <c r="G402" s="3"/>
      <c r="H402" s="3"/>
      <c r="I402" s="3"/>
      <c r="J402" s="3"/>
      <c r="K402" s="3"/>
      <c r="L402" s="3"/>
      <c r="M402" s="2"/>
      <c r="N402" s="2"/>
    </row>
    <row r="403" spans="5:14" x14ac:dyDescent="0.35">
      <c r="E403" s="2"/>
      <c r="F403" s="2"/>
      <c r="G403" s="3"/>
      <c r="H403" s="3"/>
      <c r="I403" s="3"/>
      <c r="J403" s="3"/>
      <c r="K403" s="3"/>
      <c r="L403" s="3"/>
      <c r="M403" s="2"/>
      <c r="N403" s="2"/>
    </row>
    <row r="404" spans="5:14" x14ac:dyDescent="0.35">
      <c r="E404" s="2"/>
      <c r="F404" s="2"/>
      <c r="G404" s="3"/>
      <c r="H404" s="3"/>
      <c r="I404" s="3"/>
      <c r="J404" s="3"/>
      <c r="K404" s="3"/>
      <c r="L404" s="3"/>
      <c r="M404" s="2"/>
      <c r="N404" s="2"/>
    </row>
    <row r="405" spans="5:14" x14ac:dyDescent="0.35">
      <c r="E405" s="2"/>
      <c r="F405" s="2"/>
      <c r="G405" s="3"/>
      <c r="H405" s="3"/>
      <c r="I405" s="3"/>
      <c r="J405" s="3"/>
      <c r="K405" s="3"/>
      <c r="L405" s="3"/>
      <c r="M405" s="2"/>
      <c r="N405" s="2"/>
    </row>
    <row r="406" spans="5:14" x14ac:dyDescent="0.35">
      <c r="E406" s="2"/>
      <c r="F406" s="2"/>
      <c r="G406" s="3"/>
      <c r="H406" s="3"/>
      <c r="I406" s="3"/>
      <c r="J406" s="3"/>
      <c r="K406" s="3"/>
      <c r="L406" s="3"/>
      <c r="M406" s="2"/>
      <c r="N406" s="2"/>
    </row>
    <row r="407" spans="5:14" x14ac:dyDescent="0.35">
      <c r="E407" s="2"/>
      <c r="F407" s="2"/>
      <c r="G407" s="3"/>
      <c r="H407" s="3"/>
      <c r="I407" s="3"/>
      <c r="J407" s="3"/>
      <c r="K407" s="3"/>
      <c r="L407" s="3"/>
      <c r="M407" s="2"/>
      <c r="N407" s="2"/>
    </row>
    <row r="408" spans="5:14" x14ac:dyDescent="0.35">
      <c r="E408" s="2"/>
      <c r="F408" s="2"/>
      <c r="G408" s="3"/>
      <c r="H408" s="3"/>
      <c r="I408" s="3"/>
      <c r="J408" s="3"/>
      <c r="K408" s="3"/>
      <c r="L408" s="3"/>
      <c r="M408" s="2"/>
      <c r="N408" s="2"/>
    </row>
    <row r="409" spans="5:14" x14ac:dyDescent="0.35">
      <c r="E409" s="2"/>
      <c r="F409" s="2"/>
      <c r="G409" s="3"/>
      <c r="H409" s="3"/>
      <c r="I409" s="3"/>
      <c r="J409" s="3"/>
      <c r="K409" s="3"/>
      <c r="L409" s="3"/>
      <c r="M409" s="2"/>
      <c r="N409" s="2"/>
    </row>
    <row r="410" spans="5:14" x14ac:dyDescent="0.35">
      <c r="E410" s="2"/>
      <c r="F410" s="2"/>
      <c r="G410" s="3"/>
      <c r="H410" s="3"/>
      <c r="I410" s="3"/>
      <c r="J410" s="3"/>
      <c r="K410" s="3"/>
      <c r="L410" s="3"/>
      <c r="M410" s="2"/>
      <c r="N410" s="2"/>
    </row>
    <row r="411" spans="5:14" x14ac:dyDescent="0.35">
      <c r="E411" s="2"/>
      <c r="F411" s="2"/>
      <c r="G411" s="3"/>
      <c r="H411" s="3"/>
      <c r="I411" s="3"/>
      <c r="J411" s="3"/>
      <c r="K411" s="3"/>
      <c r="L411" s="3"/>
      <c r="M411" s="2"/>
      <c r="N411" s="2"/>
    </row>
    <row r="412" spans="5:14" x14ac:dyDescent="0.35">
      <c r="E412" s="2"/>
      <c r="F412" s="2"/>
      <c r="G412" s="3"/>
      <c r="H412" s="3"/>
      <c r="I412" s="3"/>
      <c r="J412" s="3"/>
      <c r="K412" s="3"/>
      <c r="L412" s="3"/>
      <c r="M412" s="2"/>
      <c r="N412" s="2"/>
    </row>
    <row r="413" spans="5:14" x14ac:dyDescent="0.35">
      <c r="E413" s="2"/>
      <c r="F413" s="2"/>
      <c r="G413" s="3"/>
      <c r="H413" s="3"/>
      <c r="I413" s="3"/>
      <c r="J413" s="3"/>
      <c r="K413" s="3"/>
      <c r="L413" s="3"/>
      <c r="M413" s="2"/>
      <c r="N413" s="2"/>
    </row>
    <row r="414" spans="5:14" x14ac:dyDescent="0.35">
      <c r="E414" s="2"/>
      <c r="F414" s="2"/>
      <c r="G414" s="3"/>
      <c r="H414" s="3"/>
      <c r="I414" s="3"/>
      <c r="J414" s="3"/>
      <c r="K414" s="3"/>
      <c r="L414" s="3"/>
      <c r="M414" s="2"/>
      <c r="N414" s="2"/>
    </row>
    <row r="415" spans="5:14" x14ac:dyDescent="0.35">
      <c r="E415" s="2"/>
      <c r="F415" s="2"/>
      <c r="G415" s="3"/>
      <c r="H415" s="3"/>
      <c r="I415" s="3"/>
      <c r="J415" s="3"/>
      <c r="K415" s="3"/>
      <c r="L415" s="3"/>
      <c r="M415" s="2"/>
      <c r="N415" s="2"/>
    </row>
    <row r="416" spans="5:14" x14ac:dyDescent="0.35">
      <c r="E416" s="2"/>
      <c r="F416" s="2"/>
      <c r="G416" s="3"/>
      <c r="H416" s="3"/>
      <c r="I416" s="3"/>
      <c r="J416" s="3"/>
      <c r="K416" s="3"/>
      <c r="L416" s="3"/>
      <c r="M416" s="2"/>
      <c r="N416" s="2"/>
    </row>
    <row r="417" spans="5:14" x14ac:dyDescent="0.35">
      <c r="E417" s="2"/>
      <c r="F417" s="2"/>
      <c r="G417" s="3"/>
      <c r="H417" s="3"/>
      <c r="I417" s="3"/>
      <c r="J417" s="3"/>
      <c r="K417" s="3"/>
      <c r="L417" s="3"/>
      <c r="M417" s="2"/>
      <c r="N417" s="2"/>
    </row>
    <row r="418" spans="5:14" x14ac:dyDescent="0.35">
      <c r="E418" s="2"/>
      <c r="F418" s="2"/>
      <c r="G418" s="3"/>
      <c r="H418" s="3"/>
      <c r="I418" s="3"/>
      <c r="J418" s="3"/>
      <c r="K418" s="3"/>
      <c r="L418" s="3"/>
      <c r="M418" s="2"/>
      <c r="N418" s="2"/>
    </row>
    <row r="419" spans="5:14" x14ac:dyDescent="0.35">
      <c r="E419" s="2"/>
      <c r="F419" s="2"/>
      <c r="G419" s="3"/>
      <c r="H419" s="3"/>
      <c r="I419" s="3"/>
      <c r="J419" s="3"/>
      <c r="K419" s="3"/>
      <c r="L419" s="3"/>
      <c r="M419" s="2"/>
      <c r="N419" s="2"/>
    </row>
    <row r="420" spans="5:14" x14ac:dyDescent="0.35">
      <c r="E420" s="2"/>
      <c r="F420" s="2"/>
      <c r="G420" s="3"/>
      <c r="H420" s="3"/>
      <c r="I420" s="3"/>
      <c r="J420" s="3"/>
      <c r="K420" s="3"/>
      <c r="L420" s="3"/>
      <c r="M420" s="2"/>
      <c r="N420" s="2"/>
    </row>
    <row r="421" spans="5:14" x14ac:dyDescent="0.35">
      <c r="E421" s="2"/>
      <c r="F421" s="2"/>
      <c r="G421" s="3"/>
      <c r="H421" s="3"/>
      <c r="I421" s="3"/>
      <c r="J421" s="3"/>
      <c r="K421" s="3"/>
      <c r="L421" s="3"/>
      <c r="M421" s="2"/>
      <c r="N421" s="2"/>
    </row>
    <row r="422" spans="5:14" x14ac:dyDescent="0.35">
      <c r="E422" s="2"/>
      <c r="F422" s="2"/>
      <c r="G422" s="3"/>
      <c r="H422" s="3"/>
      <c r="I422" s="3"/>
      <c r="J422" s="3"/>
      <c r="K422" s="3"/>
      <c r="L422" s="3"/>
      <c r="M422" s="2"/>
      <c r="N422" s="2"/>
    </row>
    <row r="423" spans="5:14" x14ac:dyDescent="0.35">
      <c r="E423" s="2"/>
      <c r="F423" s="2"/>
      <c r="G423" s="3"/>
      <c r="H423" s="3"/>
      <c r="I423" s="3"/>
      <c r="J423" s="3"/>
      <c r="K423" s="3"/>
      <c r="L423" s="3"/>
      <c r="M423" s="2"/>
      <c r="N423" s="2"/>
    </row>
    <row r="424" spans="5:14" x14ac:dyDescent="0.35">
      <c r="E424" s="2"/>
      <c r="F424" s="2"/>
      <c r="G424" s="3"/>
      <c r="H424" s="3"/>
      <c r="I424" s="3"/>
      <c r="J424" s="3"/>
      <c r="K424" s="3"/>
      <c r="L424" s="3"/>
      <c r="M424" s="2"/>
      <c r="N424" s="2"/>
    </row>
    <row r="425" spans="5:14" x14ac:dyDescent="0.35">
      <c r="E425" s="2"/>
      <c r="F425" s="2"/>
      <c r="G425" s="3"/>
      <c r="H425" s="3"/>
      <c r="I425" s="3"/>
      <c r="J425" s="3"/>
      <c r="K425" s="3"/>
      <c r="L425" s="3"/>
      <c r="M425" s="2"/>
      <c r="N425" s="2"/>
    </row>
    <row r="426" spans="5:14" x14ac:dyDescent="0.35">
      <c r="E426" s="2"/>
      <c r="F426" s="2"/>
      <c r="G426" s="3"/>
      <c r="H426" s="3"/>
      <c r="I426" s="3"/>
      <c r="J426" s="3"/>
      <c r="K426" s="3"/>
      <c r="L426" s="3"/>
      <c r="M426" s="2"/>
      <c r="N426" s="2"/>
    </row>
    <row r="427" spans="5:14" x14ac:dyDescent="0.35">
      <c r="E427" s="2"/>
      <c r="F427" s="2"/>
      <c r="G427" s="3"/>
      <c r="H427" s="3"/>
      <c r="I427" s="3"/>
      <c r="J427" s="3"/>
      <c r="K427" s="3"/>
      <c r="L427" s="3"/>
      <c r="M427" s="2"/>
      <c r="N427" s="2"/>
    </row>
    <row r="428" spans="5:14" x14ac:dyDescent="0.35">
      <c r="E428" s="2"/>
      <c r="F428" s="2"/>
      <c r="G428" s="3"/>
      <c r="H428" s="3"/>
      <c r="I428" s="3"/>
      <c r="J428" s="3"/>
      <c r="K428" s="3"/>
      <c r="L428" s="3"/>
      <c r="M428" s="2"/>
      <c r="N428" s="2"/>
    </row>
    <row r="429" spans="5:14" x14ac:dyDescent="0.35">
      <c r="E429" s="2"/>
      <c r="F429" s="2"/>
      <c r="G429" s="3"/>
      <c r="H429" s="3"/>
      <c r="I429" s="3"/>
      <c r="J429" s="3"/>
      <c r="K429" s="3"/>
      <c r="L429" s="3"/>
      <c r="M429" s="2"/>
      <c r="N429" s="2"/>
    </row>
    <row r="430" spans="5:14" x14ac:dyDescent="0.35">
      <c r="E430" s="2"/>
      <c r="F430" s="2"/>
      <c r="G430" s="3"/>
      <c r="H430" s="3"/>
      <c r="I430" s="3"/>
      <c r="J430" s="3"/>
      <c r="K430" s="3"/>
      <c r="L430" s="3"/>
      <c r="M430" s="2"/>
      <c r="N430" s="2"/>
    </row>
    <row r="431" spans="5:14" x14ac:dyDescent="0.35">
      <c r="E431" s="2"/>
      <c r="F431" s="2"/>
      <c r="G431" s="3"/>
      <c r="H431" s="3"/>
      <c r="I431" s="3"/>
      <c r="J431" s="3"/>
      <c r="K431" s="3"/>
      <c r="L431" s="3"/>
      <c r="M431" s="2"/>
      <c r="N431" s="2"/>
    </row>
    <row r="432" spans="5:14" x14ac:dyDescent="0.35">
      <c r="E432" s="2"/>
      <c r="F432" s="2"/>
      <c r="G432" s="3"/>
      <c r="H432" s="3"/>
      <c r="I432" s="3"/>
      <c r="J432" s="3"/>
      <c r="K432" s="3"/>
      <c r="L432" s="3"/>
      <c r="M432" s="2"/>
      <c r="N432" s="2"/>
    </row>
    <row r="433" spans="5:14" x14ac:dyDescent="0.35">
      <c r="E433" s="2"/>
      <c r="F433" s="2"/>
      <c r="G433" s="3"/>
      <c r="H433" s="3"/>
      <c r="I433" s="3"/>
      <c r="J433" s="3"/>
      <c r="K433" s="3"/>
      <c r="L433" s="3"/>
      <c r="M433" s="2"/>
      <c r="N433" s="2"/>
    </row>
    <row r="434" spans="5:14" x14ac:dyDescent="0.35">
      <c r="E434" s="2"/>
      <c r="F434" s="2"/>
      <c r="G434" s="3"/>
      <c r="H434" s="3"/>
      <c r="I434" s="3"/>
      <c r="J434" s="3"/>
      <c r="K434" s="3"/>
      <c r="L434" s="3"/>
      <c r="M434" s="2"/>
      <c r="N434" s="2"/>
    </row>
    <row r="435" spans="5:14" x14ac:dyDescent="0.35">
      <c r="E435" s="2"/>
      <c r="F435" s="2"/>
      <c r="G435" s="3"/>
      <c r="H435" s="3"/>
      <c r="I435" s="3"/>
      <c r="J435" s="3"/>
      <c r="K435" s="3"/>
      <c r="L435" s="3"/>
      <c r="M435" s="2"/>
      <c r="N435" s="2"/>
    </row>
    <row r="436" spans="5:14" x14ac:dyDescent="0.35">
      <c r="E436" s="2"/>
      <c r="F436" s="2"/>
      <c r="G436" s="3"/>
      <c r="H436" s="3"/>
      <c r="I436" s="3"/>
      <c r="J436" s="3"/>
      <c r="K436" s="3"/>
      <c r="L436" s="3"/>
      <c r="M436" s="2"/>
      <c r="N436" s="2"/>
    </row>
    <row r="437" spans="5:14" x14ac:dyDescent="0.35">
      <c r="E437" s="2"/>
      <c r="F437" s="2"/>
      <c r="G437" s="3"/>
      <c r="H437" s="3"/>
      <c r="I437" s="3"/>
      <c r="J437" s="3"/>
      <c r="K437" s="3"/>
      <c r="L437" s="3"/>
      <c r="M437" s="2"/>
      <c r="N437" s="2"/>
    </row>
    <row r="438" spans="5:14" x14ac:dyDescent="0.35">
      <c r="E438" s="2"/>
      <c r="F438" s="2"/>
      <c r="G438" s="3"/>
      <c r="H438" s="3"/>
      <c r="I438" s="3"/>
      <c r="J438" s="3"/>
      <c r="K438" s="3"/>
      <c r="L438" s="3"/>
      <c r="M438" s="2"/>
      <c r="N438" s="2"/>
    </row>
    <row r="439" spans="5:14" x14ac:dyDescent="0.35">
      <c r="E439" s="2"/>
      <c r="F439" s="2"/>
      <c r="G439" s="3"/>
      <c r="H439" s="3"/>
      <c r="I439" s="3"/>
      <c r="J439" s="3"/>
      <c r="K439" s="3"/>
      <c r="L439" s="3"/>
      <c r="M439" s="2"/>
      <c r="N439" s="2"/>
    </row>
    <row r="440" spans="5:14" x14ac:dyDescent="0.35">
      <c r="E440" s="2"/>
      <c r="F440" s="2"/>
      <c r="G440" s="3"/>
      <c r="H440" s="3"/>
      <c r="I440" s="3"/>
      <c r="J440" s="3"/>
      <c r="K440" s="3"/>
      <c r="L440" s="3"/>
      <c r="M440" s="2"/>
      <c r="N440" s="2"/>
    </row>
    <row r="441" spans="5:14" x14ac:dyDescent="0.35">
      <c r="E441" s="2"/>
      <c r="F441" s="2"/>
      <c r="G441" s="3"/>
      <c r="H441" s="3"/>
      <c r="I441" s="3"/>
      <c r="J441" s="3"/>
      <c r="K441" s="3"/>
      <c r="L441" s="3"/>
      <c r="M441" s="2"/>
      <c r="N441" s="2"/>
    </row>
    <row r="442" spans="5:14" x14ac:dyDescent="0.35">
      <c r="E442" s="2"/>
      <c r="F442" s="2"/>
      <c r="G442" s="3"/>
      <c r="H442" s="3"/>
      <c r="I442" s="3"/>
      <c r="J442" s="3"/>
      <c r="K442" s="3"/>
      <c r="L442" s="3"/>
      <c r="M442" s="2"/>
      <c r="N442" s="2"/>
    </row>
    <row r="443" spans="5:14" x14ac:dyDescent="0.35">
      <c r="E443" s="2"/>
      <c r="F443" s="2"/>
      <c r="G443" s="3"/>
      <c r="H443" s="3"/>
      <c r="I443" s="3"/>
      <c r="J443" s="3"/>
      <c r="K443" s="3"/>
      <c r="L443" s="3"/>
      <c r="M443" s="2"/>
      <c r="N443" s="2"/>
    </row>
    <row r="444" spans="5:14" x14ac:dyDescent="0.35">
      <c r="E444" s="2"/>
      <c r="F444" s="2"/>
      <c r="G444" s="3"/>
      <c r="H444" s="3"/>
      <c r="I444" s="3"/>
      <c r="J444" s="3"/>
      <c r="K444" s="3"/>
      <c r="L444" s="3"/>
      <c r="M444" s="2"/>
      <c r="N444" s="2"/>
    </row>
    <row r="445" spans="5:14" x14ac:dyDescent="0.35">
      <c r="E445" s="2"/>
      <c r="F445" s="2"/>
      <c r="G445" s="3"/>
      <c r="H445" s="3"/>
      <c r="I445" s="3"/>
      <c r="J445" s="3"/>
      <c r="K445" s="3"/>
      <c r="L445" s="3"/>
      <c r="M445" s="2"/>
      <c r="N445" s="2"/>
    </row>
    <row r="446" spans="5:14" x14ac:dyDescent="0.35">
      <c r="E446" s="2"/>
      <c r="F446" s="2"/>
      <c r="G446" s="3"/>
      <c r="H446" s="3"/>
      <c r="I446" s="3"/>
      <c r="J446" s="3"/>
      <c r="K446" s="3"/>
      <c r="L446" s="3"/>
      <c r="M446" s="2"/>
      <c r="N446" s="2"/>
    </row>
    <row r="447" spans="5:14" x14ac:dyDescent="0.35">
      <c r="E447" s="2"/>
      <c r="F447" s="2"/>
      <c r="G447" s="3"/>
      <c r="H447" s="3"/>
      <c r="I447" s="3"/>
      <c r="J447" s="3"/>
      <c r="K447" s="3"/>
      <c r="L447" s="3"/>
      <c r="M447" s="2"/>
      <c r="N447" s="2"/>
    </row>
    <row r="448" spans="5:14" x14ac:dyDescent="0.35">
      <c r="E448" s="2"/>
      <c r="F448" s="2"/>
      <c r="G448" s="3"/>
      <c r="H448" s="3"/>
      <c r="I448" s="3"/>
      <c r="J448" s="3"/>
      <c r="K448" s="3"/>
      <c r="L448" s="3"/>
      <c r="M448" s="2"/>
      <c r="N448" s="2"/>
    </row>
    <row r="449" spans="5:14" x14ac:dyDescent="0.35">
      <c r="E449" s="2"/>
      <c r="F449" s="2"/>
      <c r="G449" s="3"/>
      <c r="H449" s="3"/>
      <c r="I449" s="3"/>
      <c r="J449" s="3"/>
      <c r="K449" s="3"/>
      <c r="L449" s="3"/>
      <c r="M449" s="2"/>
      <c r="N449" s="2"/>
    </row>
    <row r="450" spans="5:14" x14ac:dyDescent="0.35">
      <c r="E450" s="2"/>
      <c r="F450" s="2"/>
      <c r="G450" s="3"/>
      <c r="H450" s="3"/>
      <c r="I450" s="3"/>
      <c r="J450" s="3"/>
      <c r="K450" s="3"/>
      <c r="L450" s="3"/>
      <c r="M450" s="2"/>
      <c r="N450" s="2"/>
    </row>
    <row r="451" spans="5:14" x14ac:dyDescent="0.35">
      <c r="E451" s="2"/>
      <c r="F451" s="2"/>
      <c r="G451" s="3"/>
      <c r="H451" s="3"/>
      <c r="I451" s="3"/>
      <c r="J451" s="3"/>
      <c r="K451" s="3"/>
      <c r="L451" s="3"/>
      <c r="M451" s="2"/>
      <c r="N451" s="2"/>
    </row>
    <row r="452" spans="5:14" x14ac:dyDescent="0.35">
      <c r="E452" s="2"/>
      <c r="F452" s="2"/>
      <c r="G452" s="3"/>
      <c r="H452" s="3"/>
      <c r="I452" s="3"/>
      <c r="J452" s="3"/>
      <c r="K452" s="3"/>
      <c r="L452" s="3"/>
      <c r="M452" s="2"/>
      <c r="N452" s="2"/>
    </row>
    <row r="453" spans="5:14" x14ac:dyDescent="0.35">
      <c r="E453" s="2"/>
      <c r="F453" s="2"/>
      <c r="G453" s="3"/>
      <c r="H453" s="3"/>
      <c r="I453" s="3"/>
      <c r="J453" s="3"/>
      <c r="K453" s="3"/>
      <c r="L453" s="3"/>
      <c r="M453" s="2"/>
      <c r="N453" s="2"/>
    </row>
    <row r="454" spans="5:14" x14ac:dyDescent="0.35">
      <c r="E454" s="2"/>
      <c r="F454" s="2"/>
      <c r="G454" s="3"/>
      <c r="H454" s="3"/>
      <c r="I454" s="3"/>
      <c r="J454" s="3"/>
      <c r="K454" s="3"/>
      <c r="L454" s="3"/>
      <c r="M454" s="2"/>
      <c r="N454" s="2"/>
    </row>
    <row r="455" spans="5:14" x14ac:dyDescent="0.35">
      <c r="E455" s="2"/>
      <c r="F455" s="2"/>
      <c r="G455" s="3"/>
      <c r="H455" s="3"/>
      <c r="I455" s="3"/>
      <c r="J455" s="3"/>
      <c r="K455" s="3"/>
      <c r="L455" s="3"/>
      <c r="M455" s="2"/>
      <c r="N455" s="2"/>
    </row>
    <row r="456" spans="5:14" x14ac:dyDescent="0.35">
      <c r="E456" s="2"/>
      <c r="F456" s="2"/>
      <c r="G456" s="3"/>
      <c r="H456" s="3"/>
      <c r="I456" s="3"/>
      <c r="J456" s="3"/>
      <c r="K456" s="3"/>
      <c r="L456" s="3"/>
      <c r="M456" s="2"/>
      <c r="N456" s="2"/>
    </row>
    <row r="457" spans="5:14" x14ac:dyDescent="0.35">
      <c r="E457" s="2"/>
      <c r="F457" s="2"/>
      <c r="G457" s="3"/>
      <c r="H457" s="3"/>
      <c r="I457" s="3"/>
      <c r="J457" s="3"/>
      <c r="K457" s="3"/>
      <c r="L457" s="3"/>
      <c r="M457" s="2"/>
      <c r="N457" s="2"/>
    </row>
    <row r="458" spans="5:14" x14ac:dyDescent="0.35">
      <c r="E458" s="2"/>
      <c r="F458" s="2"/>
      <c r="G458" s="3"/>
      <c r="H458" s="3"/>
      <c r="I458" s="3"/>
      <c r="J458" s="3"/>
      <c r="K458" s="3"/>
      <c r="L458" s="3"/>
      <c r="M458" s="2"/>
      <c r="N458" s="2"/>
    </row>
    <row r="459" spans="5:14" x14ac:dyDescent="0.35">
      <c r="E459" s="2"/>
      <c r="F459" s="2"/>
      <c r="G459" s="3"/>
      <c r="H459" s="3"/>
      <c r="I459" s="3"/>
      <c r="J459" s="3"/>
      <c r="K459" s="3"/>
      <c r="L459" s="3"/>
      <c r="M459" s="2"/>
      <c r="N459" s="2"/>
    </row>
    <row r="460" spans="5:14" x14ac:dyDescent="0.35">
      <c r="E460" s="2"/>
      <c r="F460" s="2"/>
      <c r="G460" s="3"/>
      <c r="H460" s="3"/>
      <c r="I460" s="3"/>
      <c r="J460" s="3"/>
      <c r="K460" s="3"/>
      <c r="L460" s="3"/>
      <c r="M460" s="2"/>
      <c r="N460" s="2"/>
    </row>
    <row r="461" spans="5:14" x14ac:dyDescent="0.35">
      <c r="E461" s="2"/>
      <c r="F461" s="2"/>
      <c r="G461" s="3"/>
      <c r="H461" s="3"/>
      <c r="I461" s="3"/>
      <c r="J461" s="3"/>
      <c r="K461" s="3"/>
      <c r="L461" s="3"/>
      <c r="M461" s="2"/>
      <c r="N461" s="2"/>
    </row>
    <row r="462" spans="5:14" x14ac:dyDescent="0.35">
      <c r="E462" s="2"/>
      <c r="F462" s="2"/>
      <c r="G462" s="3"/>
      <c r="H462" s="3"/>
      <c r="I462" s="3"/>
      <c r="J462" s="3"/>
      <c r="K462" s="3"/>
      <c r="L462" s="3"/>
      <c r="M462" s="2"/>
      <c r="N462" s="2"/>
    </row>
    <row r="463" spans="5:14" x14ac:dyDescent="0.35">
      <c r="E463" s="2"/>
      <c r="F463" s="2"/>
      <c r="G463" s="3"/>
      <c r="H463" s="3"/>
      <c r="I463" s="3"/>
      <c r="J463" s="3"/>
      <c r="K463" s="3"/>
      <c r="L463" s="3"/>
      <c r="M463" s="2"/>
      <c r="N463" s="2"/>
    </row>
    <row r="464" spans="5:14" x14ac:dyDescent="0.35">
      <c r="E464" s="2"/>
      <c r="F464" s="2"/>
      <c r="G464" s="3"/>
      <c r="H464" s="3"/>
      <c r="I464" s="3"/>
      <c r="J464" s="3"/>
      <c r="K464" s="3"/>
      <c r="L464" s="3"/>
      <c r="M464" s="2"/>
      <c r="N464" s="2"/>
    </row>
    <row r="465" spans="5:14" x14ac:dyDescent="0.35">
      <c r="E465" s="2"/>
      <c r="F465" s="2"/>
      <c r="G465" s="3"/>
      <c r="H465" s="3"/>
      <c r="I465" s="3"/>
      <c r="J465" s="3"/>
      <c r="K465" s="3"/>
      <c r="L465" s="3"/>
      <c r="M465" s="2"/>
      <c r="N465" s="2"/>
    </row>
    <row r="466" spans="5:14" x14ac:dyDescent="0.35">
      <c r="E466" s="2"/>
      <c r="F466" s="2"/>
      <c r="G466" s="3"/>
      <c r="H466" s="3"/>
      <c r="I466" s="3"/>
      <c r="J466" s="3"/>
      <c r="K466" s="3"/>
      <c r="L466" s="3"/>
      <c r="M466" s="2"/>
      <c r="N466" s="2"/>
    </row>
    <row r="467" spans="5:14" x14ac:dyDescent="0.35">
      <c r="E467" s="2"/>
      <c r="F467" s="2"/>
      <c r="G467" s="3"/>
      <c r="H467" s="3"/>
      <c r="I467" s="3"/>
      <c r="J467" s="3"/>
      <c r="K467" s="3"/>
      <c r="L467" s="3"/>
      <c r="M467" s="2"/>
      <c r="N467" s="2"/>
    </row>
    <row r="468" spans="5:14" x14ac:dyDescent="0.35">
      <c r="E468" s="2"/>
      <c r="F468" s="2"/>
      <c r="G468" s="3"/>
      <c r="H468" s="3"/>
      <c r="I468" s="3"/>
      <c r="J468" s="3"/>
      <c r="K468" s="3"/>
      <c r="L468" s="3"/>
      <c r="M468" s="2"/>
      <c r="N468" s="2"/>
    </row>
    <row r="469" spans="5:14" x14ac:dyDescent="0.35">
      <c r="E469" s="2"/>
      <c r="F469" s="2"/>
      <c r="G469" s="3"/>
      <c r="H469" s="3"/>
      <c r="I469" s="3"/>
      <c r="J469" s="3"/>
      <c r="K469" s="3"/>
      <c r="L469" s="3"/>
      <c r="M469" s="2"/>
      <c r="N469" s="2"/>
    </row>
    <row r="470" spans="5:14" x14ac:dyDescent="0.35">
      <c r="E470" s="2"/>
      <c r="F470" s="2"/>
      <c r="G470" s="3"/>
      <c r="H470" s="3"/>
      <c r="I470" s="3"/>
      <c r="J470" s="3"/>
      <c r="K470" s="3"/>
      <c r="L470" s="3"/>
      <c r="M470" s="2"/>
      <c r="N470" s="2"/>
    </row>
    <row r="471" spans="5:14" x14ac:dyDescent="0.35">
      <c r="E471" s="2"/>
      <c r="F471" s="2"/>
      <c r="G471" s="3"/>
      <c r="H471" s="3"/>
      <c r="I471" s="3"/>
      <c r="J471" s="3"/>
      <c r="K471" s="3"/>
      <c r="L471" s="3"/>
      <c r="M471" s="2"/>
      <c r="N471" s="2"/>
    </row>
    <row r="472" spans="5:14" x14ac:dyDescent="0.35">
      <c r="E472" s="2"/>
      <c r="F472" s="2"/>
      <c r="G472" s="3"/>
      <c r="H472" s="3"/>
      <c r="I472" s="3"/>
      <c r="J472" s="3"/>
      <c r="K472" s="3"/>
      <c r="L472" s="3"/>
      <c r="M472" s="2"/>
      <c r="N472" s="2"/>
    </row>
    <row r="473" spans="5:14" x14ac:dyDescent="0.35">
      <c r="E473" s="2"/>
      <c r="F473" s="2"/>
      <c r="G473" s="3"/>
      <c r="H473" s="3"/>
      <c r="I473" s="3"/>
      <c r="J473" s="3"/>
      <c r="K473" s="3"/>
      <c r="L473" s="3"/>
      <c r="M473" s="2"/>
      <c r="N473" s="2"/>
    </row>
    <row r="474" spans="5:14" x14ac:dyDescent="0.35">
      <c r="E474" s="2"/>
      <c r="F474" s="2"/>
      <c r="G474" s="3"/>
      <c r="H474" s="3"/>
      <c r="I474" s="3"/>
      <c r="J474" s="3"/>
      <c r="K474" s="3"/>
      <c r="L474" s="3"/>
      <c r="M474" s="2"/>
      <c r="N474" s="2"/>
    </row>
    <row r="475" spans="5:14" x14ac:dyDescent="0.35">
      <c r="E475" s="2"/>
      <c r="F475" s="2"/>
      <c r="G475" s="3"/>
      <c r="H475" s="3"/>
      <c r="I475" s="3"/>
      <c r="J475" s="3"/>
      <c r="K475" s="3"/>
      <c r="L475" s="3"/>
      <c r="M475" s="2"/>
      <c r="N475" s="2"/>
    </row>
    <row r="476" spans="5:14" x14ac:dyDescent="0.35">
      <c r="E476" s="2"/>
      <c r="F476" s="2"/>
      <c r="G476" s="3"/>
      <c r="H476" s="3"/>
      <c r="I476" s="3"/>
      <c r="J476" s="3"/>
      <c r="K476" s="3"/>
      <c r="L476" s="3"/>
      <c r="M476" s="2"/>
      <c r="N476" s="2"/>
    </row>
    <row r="477" spans="5:14" x14ac:dyDescent="0.35">
      <c r="E477" s="2"/>
      <c r="F477" s="2"/>
      <c r="G477" s="3"/>
      <c r="H477" s="3"/>
      <c r="I477" s="3"/>
      <c r="J477" s="3"/>
      <c r="K477" s="3"/>
      <c r="L477" s="3"/>
      <c r="M477" s="2"/>
      <c r="N477" s="2"/>
    </row>
    <row r="478" spans="5:14" x14ac:dyDescent="0.35">
      <c r="E478" s="2"/>
      <c r="F478" s="2"/>
      <c r="G478" s="3"/>
      <c r="H478" s="3"/>
      <c r="I478" s="3"/>
      <c r="J478" s="3"/>
      <c r="K478" s="3"/>
      <c r="L478" s="3"/>
      <c r="M478" s="2"/>
      <c r="N478" s="2"/>
    </row>
    <row r="479" spans="5:14" x14ac:dyDescent="0.35">
      <c r="E479" s="2"/>
      <c r="F479" s="2"/>
      <c r="G479" s="3"/>
      <c r="H479" s="3"/>
      <c r="I479" s="3"/>
      <c r="J479" s="3"/>
      <c r="K479" s="3"/>
      <c r="L479" s="3"/>
      <c r="M479" s="2"/>
      <c r="N479" s="2"/>
    </row>
    <row r="480" spans="5:14" x14ac:dyDescent="0.35">
      <c r="E480" s="2"/>
      <c r="F480" s="2"/>
      <c r="G480" s="3"/>
      <c r="H480" s="3"/>
      <c r="I480" s="3"/>
      <c r="J480" s="3"/>
      <c r="K480" s="3"/>
      <c r="L480" s="3"/>
      <c r="M480" s="2"/>
      <c r="N480" s="2"/>
    </row>
    <row r="481" spans="5:14" x14ac:dyDescent="0.35">
      <c r="E481" s="2"/>
      <c r="F481" s="2"/>
      <c r="G481" s="3"/>
      <c r="H481" s="3"/>
      <c r="I481" s="3"/>
      <c r="J481" s="3"/>
      <c r="K481" s="3"/>
      <c r="L481" s="3"/>
      <c r="M481" s="2"/>
      <c r="N481" s="2"/>
    </row>
    <row r="482" spans="5:14" x14ac:dyDescent="0.35">
      <c r="E482" s="2"/>
      <c r="F482" s="2"/>
      <c r="G482" s="3"/>
      <c r="H482" s="3"/>
      <c r="I482" s="3"/>
      <c r="J482" s="3"/>
      <c r="K482" s="3"/>
      <c r="L482" s="3"/>
      <c r="M482" s="2"/>
      <c r="N482" s="2"/>
    </row>
    <row r="483" spans="5:14" x14ac:dyDescent="0.35">
      <c r="E483" s="2"/>
      <c r="F483" s="2"/>
      <c r="G483" s="3"/>
      <c r="H483" s="3"/>
      <c r="I483" s="3"/>
      <c r="J483" s="3"/>
      <c r="K483" s="3"/>
      <c r="L483" s="3"/>
      <c r="M483" s="2"/>
      <c r="N483" s="2"/>
    </row>
    <row r="484" spans="5:14" x14ac:dyDescent="0.35">
      <c r="E484" s="2"/>
      <c r="F484" s="2"/>
      <c r="G484" s="3"/>
      <c r="H484" s="3"/>
      <c r="I484" s="3"/>
      <c r="J484" s="3"/>
      <c r="K484" s="3"/>
      <c r="L484" s="3"/>
      <c r="M484" s="2"/>
      <c r="N484" s="2"/>
    </row>
    <row r="485" spans="5:14" x14ac:dyDescent="0.35">
      <c r="E485" s="2"/>
      <c r="F485" s="2"/>
      <c r="G485" s="3"/>
      <c r="H485" s="3"/>
      <c r="I485" s="3"/>
      <c r="J485" s="3"/>
      <c r="K485" s="3"/>
      <c r="L485" s="3"/>
      <c r="M485" s="2"/>
      <c r="N485" s="2"/>
    </row>
    <row r="486" spans="5:14" x14ac:dyDescent="0.35">
      <c r="E486" s="2"/>
      <c r="F486" s="2"/>
      <c r="G486" s="3"/>
      <c r="H486" s="3"/>
      <c r="I486" s="3"/>
      <c r="J486" s="3"/>
      <c r="K486" s="3"/>
      <c r="L486" s="3"/>
      <c r="M486" s="2"/>
      <c r="N486" s="2"/>
    </row>
    <row r="487" spans="5:14" x14ac:dyDescent="0.35">
      <c r="E487" s="2"/>
      <c r="F487" s="2"/>
      <c r="G487" s="3"/>
      <c r="H487" s="3"/>
      <c r="I487" s="3"/>
      <c r="J487" s="3"/>
      <c r="K487" s="3"/>
      <c r="L487" s="3"/>
      <c r="M487" s="2"/>
      <c r="N487" s="2"/>
    </row>
    <row r="488" spans="5:14" x14ac:dyDescent="0.35">
      <c r="E488" s="2"/>
      <c r="F488" s="2"/>
      <c r="G488" s="3"/>
      <c r="H488" s="3"/>
      <c r="I488" s="3"/>
      <c r="J488" s="3"/>
      <c r="K488" s="3"/>
      <c r="L488" s="3"/>
      <c r="M488" s="2"/>
      <c r="N488" s="2"/>
    </row>
    <row r="489" spans="5:14" x14ac:dyDescent="0.35">
      <c r="E489" s="2"/>
      <c r="F489" s="2"/>
      <c r="G489" s="3"/>
      <c r="H489" s="3"/>
      <c r="I489" s="3"/>
      <c r="J489" s="3"/>
      <c r="K489" s="3"/>
      <c r="L489" s="3"/>
      <c r="M489" s="2"/>
      <c r="N489" s="2"/>
    </row>
    <row r="490" spans="5:14" x14ac:dyDescent="0.35">
      <c r="E490" s="2"/>
      <c r="F490" s="2"/>
      <c r="G490" s="3"/>
      <c r="H490" s="3"/>
      <c r="I490" s="3"/>
      <c r="J490" s="3"/>
      <c r="K490" s="3"/>
      <c r="L490" s="3"/>
      <c r="M490" s="2"/>
      <c r="N490" s="2"/>
    </row>
    <row r="491" spans="5:14" x14ac:dyDescent="0.35">
      <c r="E491" s="2"/>
      <c r="F491" s="2"/>
      <c r="G491" s="3"/>
      <c r="H491" s="3"/>
      <c r="I491" s="3"/>
      <c r="J491" s="3"/>
      <c r="K491" s="3"/>
      <c r="L491" s="3"/>
      <c r="M491" s="2"/>
      <c r="N491" s="2"/>
    </row>
    <row r="492" spans="5:14" x14ac:dyDescent="0.35">
      <c r="E492" s="2"/>
      <c r="F492" s="2"/>
      <c r="G492" s="3"/>
      <c r="H492" s="3"/>
      <c r="I492" s="3"/>
      <c r="J492" s="3"/>
      <c r="K492" s="3"/>
      <c r="L492" s="3"/>
      <c r="M492" s="2"/>
      <c r="N492" s="2"/>
    </row>
    <row r="493" spans="5:14" x14ac:dyDescent="0.35">
      <c r="E493" s="2"/>
      <c r="F493" s="2"/>
      <c r="G493" s="3"/>
      <c r="H493" s="3"/>
      <c r="I493" s="3"/>
      <c r="J493" s="3"/>
      <c r="K493" s="3"/>
      <c r="L493" s="3"/>
      <c r="M493" s="2"/>
      <c r="N493" s="2"/>
    </row>
    <row r="494" spans="5:14" x14ac:dyDescent="0.35">
      <c r="E494" s="2"/>
      <c r="F494" s="2"/>
      <c r="G494" s="3"/>
      <c r="H494" s="3"/>
      <c r="I494" s="3"/>
      <c r="J494" s="3"/>
      <c r="K494" s="3"/>
      <c r="L494" s="3"/>
      <c r="M494" s="2"/>
      <c r="N494" s="2"/>
    </row>
    <row r="495" spans="5:14" x14ac:dyDescent="0.35">
      <c r="E495" s="2"/>
      <c r="F495" s="2"/>
      <c r="G495" s="3"/>
      <c r="H495" s="3"/>
      <c r="I495" s="3"/>
      <c r="J495" s="3"/>
      <c r="K495" s="3"/>
      <c r="L495" s="3"/>
      <c r="M495" s="2"/>
      <c r="N495" s="2"/>
    </row>
    <row r="496" spans="5:14" x14ac:dyDescent="0.35">
      <c r="E496" s="2"/>
      <c r="F496" s="2"/>
      <c r="G496" s="3"/>
      <c r="H496" s="3"/>
      <c r="I496" s="3"/>
      <c r="J496" s="3"/>
      <c r="K496" s="3"/>
      <c r="L496" s="3"/>
      <c r="M496" s="2"/>
      <c r="N496" s="2"/>
    </row>
    <row r="497" spans="5:14" x14ac:dyDescent="0.35">
      <c r="E497" s="2"/>
      <c r="F497" s="2"/>
      <c r="G497" s="3"/>
      <c r="H497" s="3"/>
      <c r="I497" s="3"/>
      <c r="J497" s="3"/>
      <c r="K497" s="3"/>
      <c r="L497" s="3"/>
      <c r="M497" s="2"/>
      <c r="N497" s="2"/>
    </row>
    <row r="498" spans="5:14" x14ac:dyDescent="0.35">
      <c r="E498" s="2"/>
      <c r="F498" s="2"/>
      <c r="G498" s="3"/>
      <c r="H498" s="3"/>
      <c r="I498" s="3"/>
      <c r="J498" s="3"/>
      <c r="K498" s="3"/>
      <c r="L498" s="3"/>
      <c r="M498" s="2"/>
      <c r="N498" s="2"/>
    </row>
    <row r="499" spans="5:14" x14ac:dyDescent="0.35">
      <c r="E499" s="2"/>
      <c r="F499" s="2"/>
      <c r="G499" s="3"/>
      <c r="H499" s="3"/>
      <c r="I499" s="3"/>
      <c r="J499" s="3"/>
      <c r="K499" s="3"/>
      <c r="L499" s="3"/>
      <c r="M499" s="2"/>
      <c r="N499" s="2"/>
    </row>
    <row r="500" spans="5:14" x14ac:dyDescent="0.35">
      <c r="E500" s="2"/>
      <c r="F500" s="2"/>
      <c r="G500" s="3"/>
      <c r="H500" s="3"/>
      <c r="I500" s="3"/>
      <c r="J500" s="3"/>
      <c r="K500" s="3"/>
      <c r="L500" s="3"/>
      <c r="M500" s="2"/>
      <c r="N500" s="2"/>
    </row>
    <row r="501" spans="5:14" x14ac:dyDescent="0.35">
      <c r="E501" s="2"/>
      <c r="F501" s="2"/>
      <c r="G501" s="3"/>
      <c r="H501" s="3"/>
      <c r="I501" s="3"/>
      <c r="J501" s="3"/>
      <c r="K501" s="3"/>
      <c r="L501" s="3"/>
      <c r="M501" s="2"/>
      <c r="N501" s="2"/>
    </row>
    <row r="502" spans="5:14" x14ac:dyDescent="0.35">
      <c r="E502" s="2"/>
      <c r="F502" s="2"/>
      <c r="G502" s="3"/>
      <c r="H502" s="3"/>
      <c r="I502" s="3"/>
      <c r="J502" s="3"/>
      <c r="K502" s="3"/>
      <c r="L502" s="3"/>
      <c r="M502" s="2"/>
      <c r="N502" s="2"/>
    </row>
    <row r="503" spans="5:14" x14ac:dyDescent="0.35">
      <c r="E503" s="2"/>
      <c r="F503" s="2"/>
      <c r="G503" s="3"/>
      <c r="H503" s="3"/>
      <c r="I503" s="3"/>
      <c r="J503" s="3"/>
      <c r="K503" s="3"/>
      <c r="L503" s="3"/>
      <c r="M503" s="2"/>
      <c r="N503" s="2"/>
    </row>
    <row r="504" spans="5:14" x14ac:dyDescent="0.35">
      <c r="E504" s="2"/>
      <c r="F504" s="2"/>
      <c r="G504" s="3"/>
      <c r="H504" s="3"/>
      <c r="I504" s="3"/>
      <c r="J504" s="3"/>
      <c r="K504" s="3"/>
      <c r="L504" s="3"/>
      <c r="M504" s="2"/>
      <c r="N504" s="2"/>
    </row>
    <row r="505" spans="5:14" x14ac:dyDescent="0.35">
      <c r="E505" s="2"/>
      <c r="F505" s="2"/>
      <c r="G505" s="3"/>
      <c r="H505" s="3"/>
      <c r="I505" s="3"/>
      <c r="J505" s="3"/>
      <c r="K505" s="3"/>
      <c r="L505" s="3"/>
      <c r="M505" s="2"/>
      <c r="N505" s="2"/>
    </row>
    <row r="506" spans="5:14" x14ac:dyDescent="0.35">
      <c r="E506" s="2"/>
      <c r="F506" s="2"/>
      <c r="G506" s="3"/>
      <c r="H506" s="3"/>
      <c r="I506" s="3"/>
      <c r="J506" s="3"/>
      <c r="K506" s="3"/>
      <c r="L506" s="3"/>
      <c r="M506" s="2"/>
      <c r="N506" s="2"/>
    </row>
    <row r="507" spans="5:14" x14ac:dyDescent="0.35">
      <c r="E507" s="2"/>
      <c r="F507" s="2"/>
      <c r="G507" s="3"/>
      <c r="H507" s="3"/>
      <c r="I507" s="3"/>
      <c r="J507" s="3"/>
      <c r="K507" s="3"/>
      <c r="L507" s="3"/>
      <c r="M507" s="2"/>
      <c r="N507" s="2"/>
    </row>
    <row r="508" spans="5:14" x14ac:dyDescent="0.35">
      <c r="E508" s="2"/>
      <c r="F508" s="2"/>
      <c r="G508" s="3"/>
      <c r="H508" s="3"/>
      <c r="I508" s="3"/>
      <c r="J508" s="3"/>
      <c r="K508" s="3"/>
      <c r="L508" s="3"/>
      <c r="M508" s="2"/>
      <c r="N508" s="2"/>
    </row>
    <row r="509" spans="5:14" x14ac:dyDescent="0.35">
      <c r="E509" s="2"/>
      <c r="F509" s="2"/>
      <c r="G509" s="3"/>
      <c r="H509" s="3"/>
      <c r="I509" s="3"/>
      <c r="J509" s="3"/>
      <c r="K509" s="3"/>
      <c r="L509" s="3"/>
      <c r="M509" s="2"/>
      <c r="N509" s="2"/>
    </row>
    <row r="510" spans="5:14" x14ac:dyDescent="0.35">
      <c r="E510" s="2"/>
      <c r="F510" s="2"/>
      <c r="G510" s="3"/>
      <c r="H510" s="3"/>
      <c r="I510" s="3"/>
      <c r="J510" s="3"/>
      <c r="K510" s="3"/>
      <c r="L510" s="3"/>
      <c r="M510" s="2"/>
      <c r="N510" s="2"/>
    </row>
    <row r="511" spans="5:14" x14ac:dyDescent="0.35">
      <c r="E511" s="2"/>
      <c r="F511" s="2"/>
      <c r="G511" s="3"/>
      <c r="H511" s="3"/>
      <c r="I511" s="3"/>
      <c r="J511" s="3"/>
      <c r="K511" s="3"/>
      <c r="L511" s="3"/>
      <c r="M511" s="2"/>
      <c r="N511" s="2"/>
    </row>
    <row r="512" spans="5:14" x14ac:dyDescent="0.35">
      <c r="E512" s="2"/>
      <c r="F512" s="2"/>
      <c r="G512" s="3"/>
      <c r="H512" s="3"/>
      <c r="I512" s="3"/>
      <c r="J512" s="3"/>
      <c r="K512" s="3"/>
      <c r="L512" s="3"/>
      <c r="M512" s="2"/>
      <c r="N512" s="2"/>
    </row>
    <row r="513" spans="5:14" x14ac:dyDescent="0.35">
      <c r="E513" s="2"/>
      <c r="F513" s="2"/>
      <c r="G513" s="3"/>
      <c r="H513" s="3"/>
      <c r="I513" s="3"/>
      <c r="J513" s="3"/>
      <c r="K513" s="3"/>
      <c r="L513" s="3"/>
      <c r="M513" s="2"/>
      <c r="N513" s="2"/>
    </row>
    <row r="514" spans="5:14" x14ac:dyDescent="0.35">
      <c r="E514" s="2"/>
      <c r="F514" s="2"/>
      <c r="G514" s="3"/>
      <c r="H514" s="3"/>
      <c r="I514" s="3"/>
      <c r="J514" s="3"/>
      <c r="K514" s="3"/>
      <c r="L514" s="3"/>
      <c r="M514" s="2"/>
      <c r="N514" s="2"/>
    </row>
    <row r="515" spans="5:14" x14ac:dyDescent="0.35">
      <c r="E515" s="2"/>
      <c r="F515" s="2"/>
      <c r="G515" s="3"/>
      <c r="H515" s="3"/>
      <c r="I515" s="3"/>
      <c r="J515" s="3"/>
      <c r="K515" s="3"/>
      <c r="L515" s="3"/>
      <c r="M515" s="2"/>
      <c r="N515" s="2"/>
    </row>
    <row r="516" spans="5:14" x14ac:dyDescent="0.35">
      <c r="E516" s="2"/>
      <c r="F516" s="2"/>
      <c r="G516" s="3"/>
      <c r="H516" s="3"/>
      <c r="I516" s="3"/>
      <c r="J516" s="3"/>
      <c r="K516" s="3"/>
      <c r="L516" s="3"/>
      <c r="M516" s="2"/>
      <c r="N516" s="2"/>
    </row>
    <row r="517" spans="5:14" x14ac:dyDescent="0.35">
      <c r="E517" s="2"/>
      <c r="F517" s="2"/>
      <c r="G517" s="3"/>
      <c r="H517" s="3"/>
      <c r="I517" s="3"/>
      <c r="J517" s="3"/>
      <c r="K517" s="3"/>
      <c r="L517" s="3"/>
      <c r="M517" s="2"/>
      <c r="N517" s="2"/>
    </row>
    <row r="518" spans="5:14" x14ac:dyDescent="0.35">
      <c r="E518" s="2"/>
      <c r="F518" s="2"/>
      <c r="G518" s="3"/>
      <c r="H518" s="3"/>
      <c r="I518" s="3"/>
      <c r="J518" s="3"/>
      <c r="K518" s="3"/>
      <c r="L518" s="3"/>
      <c r="M518" s="2"/>
      <c r="N518" s="2"/>
    </row>
    <row r="519" spans="5:14" x14ac:dyDescent="0.35">
      <c r="E519" s="2"/>
      <c r="F519" s="2"/>
      <c r="G519" s="3"/>
      <c r="H519" s="3"/>
      <c r="I519" s="3"/>
      <c r="J519" s="3"/>
      <c r="K519" s="3"/>
      <c r="L519" s="3"/>
      <c r="M519" s="2"/>
      <c r="N519" s="2"/>
    </row>
    <row r="520" spans="5:14" x14ac:dyDescent="0.35">
      <c r="E520" s="2"/>
      <c r="F520" s="2"/>
      <c r="G520" s="3"/>
      <c r="H520" s="3"/>
      <c r="I520" s="3"/>
      <c r="J520" s="3"/>
      <c r="K520" s="3"/>
      <c r="L520" s="3"/>
      <c r="M520" s="2"/>
      <c r="N520" s="2"/>
    </row>
    <row r="521" spans="5:14" x14ac:dyDescent="0.35">
      <c r="E521" s="2"/>
      <c r="F521" s="2"/>
      <c r="G521" s="3"/>
      <c r="H521" s="3"/>
      <c r="I521" s="3"/>
      <c r="J521" s="3"/>
      <c r="K521" s="3"/>
      <c r="L521" s="3"/>
      <c r="M521" s="2"/>
      <c r="N521" s="2"/>
    </row>
    <row r="522" spans="5:14" x14ac:dyDescent="0.35">
      <c r="E522" s="2"/>
      <c r="F522" s="2"/>
      <c r="G522" s="3"/>
      <c r="H522" s="3"/>
      <c r="I522" s="3"/>
      <c r="J522" s="3"/>
      <c r="K522" s="3"/>
      <c r="L522" s="3"/>
      <c r="M522" s="2"/>
      <c r="N522" s="2"/>
    </row>
    <row r="523" spans="5:14" x14ac:dyDescent="0.35">
      <c r="E523" s="2"/>
      <c r="F523" s="2"/>
      <c r="G523" s="3"/>
      <c r="H523" s="3"/>
      <c r="I523" s="3"/>
      <c r="J523" s="3"/>
      <c r="K523" s="3"/>
      <c r="L523" s="3"/>
      <c r="M523" s="2"/>
      <c r="N523" s="2"/>
    </row>
    <row r="524" spans="5:14" x14ac:dyDescent="0.35">
      <c r="E524" s="2"/>
      <c r="F524" s="2"/>
      <c r="G524" s="3"/>
      <c r="H524" s="3"/>
      <c r="I524" s="3"/>
      <c r="J524" s="3"/>
      <c r="K524" s="3"/>
      <c r="L524" s="3"/>
      <c r="M524" s="2"/>
      <c r="N524" s="2"/>
    </row>
    <row r="525" spans="5:14" x14ac:dyDescent="0.35">
      <c r="E525" s="2"/>
      <c r="F525" s="2"/>
      <c r="G525" s="3"/>
      <c r="H525" s="3"/>
      <c r="I525" s="3"/>
      <c r="J525" s="3"/>
      <c r="K525" s="3"/>
      <c r="L525" s="3"/>
      <c r="M525" s="2"/>
      <c r="N525" s="2"/>
    </row>
    <row r="526" spans="5:14" x14ac:dyDescent="0.35">
      <c r="E526" s="2"/>
      <c r="F526" s="2"/>
      <c r="G526" s="3"/>
      <c r="H526" s="3"/>
      <c r="I526" s="3"/>
      <c r="J526" s="3"/>
      <c r="K526" s="3"/>
      <c r="L526" s="3"/>
      <c r="M526" s="2"/>
      <c r="N526" s="2"/>
    </row>
    <row r="527" spans="5:14" x14ac:dyDescent="0.35">
      <c r="E527" s="2"/>
      <c r="F527" s="2"/>
      <c r="G527" s="3"/>
      <c r="H527" s="3"/>
      <c r="I527" s="3"/>
      <c r="J527" s="3"/>
      <c r="K527" s="3"/>
      <c r="L527" s="3"/>
      <c r="M527" s="2"/>
      <c r="N527" s="2"/>
    </row>
    <row r="528" spans="5:14" x14ac:dyDescent="0.35">
      <c r="E528" s="2"/>
      <c r="F528" s="2"/>
      <c r="G528" s="3"/>
      <c r="H528" s="3"/>
      <c r="I528" s="3"/>
      <c r="J528" s="3"/>
      <c r="K528" s="3"/>
      <c r="L528" s="3"/>
      <c r="M528" s="2"/>
      <c r="N528" s="2"/>
    </row>
    <row r="529" spans="5:14" x14ac:dyDescent="0.35">
      <c r="E529" s="2"/>
      <c r="F529" s="2"/>
      <c r="G529" s="3"/>
      <c r="H529" s="3"/>
      <c r="I529" s="3"/>
      <c r="J529" s="3"/>
      <c r="K529" s="3"/>
      <c r="L529" s="3"/>
      <c r="M529" s="2"/>
      <c r="N529" s="2"/>
    </row>
    <row r="530" spans="5:14" x14ac:dyDescent="0.35">
      <c r="E530" s="2"/>
      <c r="F530" s="2"/>
      <c r="G530" s="3"/>
      <c r="H530" s="3"/>
      <c r="I530" s="3"/>
      <c r="J530" s="3"/>
      <c r="K530" s="3"/>
      <c r="L530" s="3"/>
      <c r="M530" s="2"/>
      <c r="N530" s="2"/>
    </row>
    <row r="531" spans="5:14" x14ac:dyDescent="0.35">
      <c r="E531" s="2"/>
      <c r="F531" s="2"/>
      <c r="G531" s="3"/>
      <c r="H531" s="3"/>
      <c r="I531" s="3"/>
      <c r="J531" s="3"/>
      <c r="K531" s="3"/>
      <c r="L531" s="3"/>
      <c r="M531" s="2"/>
      <c r="N531" s="2"/>
    </row>
    <row r="532" spans="5:14" x14ac:dyDescent="0.35">
      <c r="E532" s="2"/>
      <c r="F532" s="2"/>
      <c r="G532" s="3"/>
      <c r="H532" s="3"/>
      <c r="I532" s="3"/>
      <c r="J532" s="3"/>
      <c r="K532" s="3"/>
      <c r="L532" s="3"/>
      <c r="M532" s="2"/>
      <c r="N532" s="2"/>
    </row>
    <row r="533" spans="5:14" x14ac:dyDescent="0.35">
      <c r="E533" s="2"/>
      <c r="F533" s="2"/>
      <c r="G533" s="3"/>
      <c r="H533" s="3"/>
      <c r="I533" s="3"/>
      <c r="J533" s="3"/>
      <c r="K533" s="3"/>
      <c r="L533" s="3"/>
      <c r="M533" s="2"/>
      <c r="N533" s="2"/>
    </row>
    <row r="534" spans="5:14" x14ac:dyDescent="0.35">
      <c r="E534" s="2"/>
      <c r="F534" s="2"/>
      <c r="G534" s="3"/>
      <c r="H534" s="3"/>
      <c r="I534" s="3"/>
      <c r="J534" s="3"/>
      <c r="K534" s="3"/>
      <c r="L534" s="3"/>
      <c r="M534" s="2"/>
      <c r="N534" s="2"/>
    </row>
    <row r="535" spans="5:14" x14ac:dyDescent="0.35">
      <c r="E535" s="2"/>
      <c r="F535" s="2"/>
      <c r="G535" s="3"/>
      <c r="H535" s="3"/>
      <c r="I535" s="3"/>
      <c r="J535" s="3"/>
      <c r="K535" s="3"/>
      <c r="L535" s="3"/>
      <c r="M535" s="2"/>
      <c r="N535" s="2"/>
    </row>
    <row r="536" spans="5:14" x14ac:dyDescent="0.35">
      <c r="E536" s="2"/>
      <c r="F536" s="2"/>
      <c r="G536" s="3"/>
      <c r="H536" s="3"/>
      <c r="I536" s="3"/>
      <c r="J536" s="3"/>
      <c r="K536" s="3"/>
      <c r="L536" s="3"/>
      <c r="M536" s="2"/>
      <c r="N536" s="2"/>
    </row>
    <row r="537" spans="5:14" x14ac:dyDescent="0.35">
      <c r="E537" s="2"/>
      <c r="F537" s="2"/>
      <c r="G537" s="3"/>
      <c r="H537" s="3"/>
      <c r="I537" s="3"/>
      <c r="J537" s="3"/>
      <c r="K537" s="3"/>
      <c r="L537" s="3"/>
      <c r="M537" s="2"/>
      <c r="N537" s="2"/>
    </row>
    <row r="538" spans="5:14" x14ac:dyDescent="0.35">
      <c r="E538" s="2"/>
      <c r="F538" s="2"/>
      <c r="G538" s="3"/>
      <c r="H538" s="3"/>
      <c r="I538" s="3"/>
      <c r="J538" s="3"/>
      <c r="K538" s="3"/>
      <c r="L538" s="3"/>
      <c r="M538" s="2"/>
      <c r="N538" s="2"/>
    </row>
    <row r="539" spans="5:14" x14ac:dyDescent="0.35">
      <c r="E539" s="2"/>
      <c r="F539" s="2"/>
      <c r="G539" s="3"/>
      <c r="H539" s="3"/>
      <c r="I539" s="3"/>
      <c r="J539" s="3"/>
      <c r="K539" s="3"/>
      <c r="L539" s="3"/>
      <c r="M539" s="2"/>
      <c r="N539" s="2"/>
    </row>
    <row r="540" spans="5:14" x14ac:dyDescent="0.35">
      <c r="E540" s="2"/>
      <c r="F540" s="2"/>
      <c r="G540" s="3"/>
      <c r="H540" s="3"/>
      <c r="I540" s="3"/>
      <c r="J540" s="3"/>
      <c r="K540" s="3"/>
      <c r="L540" s="3"/>
      <c r="M540" s="2"/>
      <c r="N540" s="2"/>
    </row>
    <row r="541" spans="5:14" x14ac:dyDescent="0.35">
      <c r="E541" s="2"/>
      <c r="F541" s="2"/>
      <c r="G541" s="3"/>
      <c r="H541" s="3"/>
      <c r="I541" s="3"/>
      <c r="J541" s="3"/>
      <c r="K541" s="3"/>
      <c r="L541" s="3"/>
      <c r="M541" s="2"/>
      <c r="N541" s="2"/>
    </row>
    <row r="542" spans="5:14" x14ac:dyDescent="0.35">
      <c r="E542" s="2"/>
      <c r="F542" s="2"/>
      <c r="G542" s="3"/>
      <c r="H542" s="3"/>
      <c r="I542" s="3"/>
      <c r="J542" s="3"/>
      <c r="K542" s="3"/>
      <c r="L542" s="3"/>
      <c r="M542" s="2"/>
      <c r="N542" s="2"/>
    </row>
    <row r="543" spans="5:14" x14ac:dyDescent="0.35">
      <c r="E543" s="2"/>
      <c r="F543" s="2"/>
      <c r="G543" s="3"/>
      <c r="H543" s="3"/>
      <c r="I543" s="3"/>
      <c r="J543" s="3"/>
      <c r="K543" s="3"/>
      <c r="L543" s="3"/>
      <c r="M543" s="2"/>
      <c r="N543" s="2"/>
    </row>
    <row r="544" spans="5:14" x14ac:dyDescent="0.35">
      <c r="E544" s="2"/>
      <c r="F544" s="2"/>
      <c r="G544" s="3"/>
      <c r="H544" s="3"/>
      <c r="I544" s="3"/>
      <c r="J544" s="3"/>
      <c r="K544" s="3"/>
      <c r="L544" s="3"/>
      <c r="M544" s="2"/>
      <c r="N544" s="2"/>
    </row>
    <row r="545" spans="5:14" x14ac:dyDescent="0.35">
      <c r="E545" s="2"/>
      <c r="F545" s="2"/>
      <c r="G545" s="3"/>
      <c r="H545" s="3"/>
      <c r="I545" s="3"/>
      <c r="J545" s="3"/>
      <c r="K545" s="3"/>
      <c r="L545" s="3"/>
      <c r="M545" s="2"/>
      <c r="N545" s="2"/>
    </row>
    <row r="546" spans="5:14" x14ac:dyDescent="0.35">
      <c r="E546" s="2"/>
      <c r="F546" s="2"/>
      <c r="G546" s="3"/>
      <c r="H546" s="3"/>
      <c r="I546" s="3"/>
      <c r="J546" s="3"/>
      <c r="K546" s="3"/>
      <c r="L546" s="3"/>
      <c r="M546" s="2"/>
      <c r="N546" s="2"/>
    </row>
    <row r="547" spans="5:14" x14ac:dyDescent="0.35">
      <c r="E547" s="2"/>
      <c r="F547" s="2"/>
      <c r="G547" s="3"/>
      <c r="H547" s="3"/>
      <c r="I547" s="3"/>
      <c r="J547" s="3"/>
      <c r="K547" s="3"/>
      <c r="L547" s="3"/>
      <c r="M547" s="2"/>
      <c r="N547" s="2"/>
    </row>
    <row r="548" spans="5:14" x14ac:dyDescent="0.35">
      <c r="E548" s="2"/>
      <c r="F548" s="2"/>
      <c r="G548" s="3"/>
      <c r="H548" s="3"/>
      <c r="I548" s="3"/>
      <c r="J548" s="3"/>
      <c r="K548" s="3"/>
      <c r="L548" s="3"/>
      <c r="M548" s="2"/>
      <c r="N548" s="2"/>
    </row>
    <row r="549" spans="5:14" x14ac:dyDescent="0.35">
      <c r="E549" s="2"/>
      <c r="F549" s="2"/>
      <c r="G549" s="3"/>
      <c r="H549" s="3"/>
      <c r="I549" s="3"/>
      <c r="J549" s="3"/>
      <c r="K549" s="3"/>
      <c r="L549" s="3"/>
      <c r="M549" s="2"/>
      <c r="N549" s="2"/>
    </row>
    <row r="550" spans="5:14" x14ac:dyDescent="0.35">
      <c r="E550" s="2"/>
      <c r="F550" s="2"/>
      <c r="G550" s="3"/>
      <c r="H550" s="3"/>
      <c r="I550" s="3"/>
      <c r="J550" s="3"/>
      <c r="K550" s="3"/>
      <c r="L550" s="3"/>
      <c r="M550" s="2"/>
      <c r="N550" s="2"/>
    </row>
    <row r="551" spans="5:14" x14ac:dyDescent="0.35">
      <c r="E551" s="2"/>
      <c r="F551" s="2"/>
      <c r="G551" s="3"/>
      <c r="H551" s="3"/>
      <c r="I551" s="3"/>
      <c r="J551" s="3"/>
      <c r="K551" s="3"/>
      <c r="L551" s="3"/>
      <c r="M551" s="2"/>
      <c r="N551" s="2"/>
    </row>
    <row r="552" spans="5:14" x14ac:dyDescent="0.35">
      <c r="E552" s="2"/>
      <c r="F552" s="2"/>
      <c r="G552" s="3"/>
      <c r="H552" s="3"/>
      <c r="I552" s="3"/>
      <c r="J552" s="3"/>
      <c r="K552" s="3"/>
      <c r="L552" s="3"/>
      <c r="M552" s="2"/>
      <c r="N552" s="2"/>
    </row>
    <row r="553" spans="5:14" x14ac:dyDescent="0.35">
      <c r="E553" s="2"/>
      <c r="F553" s="2"/>
      <c r="G553" s="3"/>
      <c r="H553" s="3"/>
      <c r="I553" s="3"/>
      <c r="J553" s="3"/>
      <c r="K553" s="3"/>
      <c r="L553" s="3"/>
      <c r="M553" s="2"/>
      <c r="N553" s="2"/>
    </row>
    <row r="554" spans="5:14" x14ac:dyDescent="0.35">
      <c r="E554" s="2"/>
      <c r="F554" s="2"/>
      <c r="G554" s="3"/>
      <c r="H554" s="3"/>
      <c r="I554" s="3"/>
      <c r="J554" s="3"/>
      <c r="K554" s="3"/>
      <c r="L554" s="3"/>
      <c r="M554" s="2"/>
      <c r="N554" s="2"/>
    </row>
    <row r="555" spans="5:14" x14ac:dyDescent="0.35">
      <c r="E555" s="2"/>
      <c r="F555" s="2"/>
      <c r="G555" s="3"/>
      <c r="H555" s="3"/>
      <c r="I555" s="3"/>
      <c r="J555" s="3"/>
      <c r="K555" s="3"/>
      <c r="L555" s="3"/>
      <c r="M555" s="2"/>
      <c r="N555" s="2"/>
    </row>
    <row r="556" spans="5:14" x14ac:dyDescent="0.35">
      <c r="E556" s="2"/>
      <c r="F556" s="2"/>
      <c r="G556" s="3"/>
      <c r="H556" s="3"/>
      <c r="I556" s="3"/>
      <c r="J556" s="3"/>
      <c r="K556" s="3"/>
      <c r="L556" s="3"/>
      <c r="M556" s="2"/>
      <c r="N556" s="2"/>
    </row>
    <row r="557" spans="5:14" x14ac:dyDescent="0.35">
      <c r="E557" s="2"/>
      <c r="F557" s="2"/>
      <c r="G557" s="3"/>
      <c r="H557" s="3"/>
      <c r="I557" s="3"/>
      <c r="J557" s="3"/>
      <c r="K557" s="3"/>
      <c r="L557" s="3"/>
      <c r="M557" s="2"/>
      <c r="N557" s="2"/>
    </row>
    <row r="558" spans="5:14" x14ac:dyDescent="0.35">
      <c r="E558" s="2"/>
      <c r="F558" s="2"/>
      <c r="G558" s="3"/>
      <c r="H558" s="3"/>
      <c r="I558" s="3"/>
      <c r="J558" s="3"/>
      <c r="K558" s="3"/>
      <c r="L558" s="3"/>
      <c r="M558" s="2"/>
      <c r="N558" s="2"/>
    </row>
    <row r="559" spans="5:14" x14ac:dyDescent="0.35">
      <c r="E559" s="2"/>
      <c r="F559" s="2"/>
      <c r="G559" s="3"/>
      <c r="H559" s="3"/>
      <c r="I559" s="3"/>
      <c r="J559" s="3"/>
      <c r="K559" s="3"/>
      <c r="L559" s="3"/>
      <c r="M559" s="2"/>
      <c r="N559" s="2"/>
    </row>
    <row r="560" spans="5:14" x14ac:dyDescent="0.35">
      <c r="E560" s="2"/>
      <c r="F560" s="2"/>
      <c r="G560" s="3"/>
      <c r="H560" s="3"/>
      <c r="I560" s="3"/>
      <c r="J560" s="3"/>
      <c r="K560" s="3"/>
      <c r="L560" s="3"/>
      <c r="M560" s="2"/>
      <c r="N560" s="2"/>
    </row>
    <row r="561" spans="5:14" x14ac:dyDescent="0.35">
      <c r="E561" s="2"/>
      <c r="F561" s="2"/>
      <c r="G561" s="3"/>
      <c r="H561" s="3"/>
      <c r="I561" s="3"/>
      <c r="J561" s="3"/>
      <c r="K561" s="3"/>
      <c r="L561" s="3"/>
      <c r="M561" s="2"/>
      <c r="N561" s="2"/>
    </row>
    <row r="562" spans="5:14" x14ac:dyDescent="0.35">
      <c r="E562" s="2"/>
      <c r="F562" s="2"/>
      <c r="G562" s="3"/>
      <c r="H562" s="3"/>
      <c r="I562" s="3"/>
      <c r="J562" s="3"/>
      <c r="K562" s="3"/>
      <c r="L562" s="3"/>
      <c r="M562" s="2"/>
      <c r="N562" s="2"/>
    </row>
    <row r="563" spans="5:14" x14ac:dyDescent="0.35">
      <c r="E563" s="2"/>
      <c r="F563" s="2"/>
      <c r="G563" s="3"/>
      <c r="H563" s="3"/>
      <c r="I563" s="3"/>
      <c r="J563" s="3"/>
      <c r="K563" s="3"/>
      <c r="L563" s="3"/>
      <c r="M563" s="2"/>
      <c r="N563" s="2"/>
    </row>
    <row r="564" spans="5:14" x14ac:dyDescent="0.35">
      <c r="E564" s="2"/>
      <c r="F564" s="2"/>
      <c r="G564" s="3"/>
      <c r="H564" s="3"/>
      <c r="I564" s="3"/>
      <c r="J564" s="3"/>
      <c r="K564" s="3"/>
      <c r="L564" s="3"/>
      <c r="M564" s="2"/>
      <c r="N564" s="2"/>
    </row>
    <row r="565" spans="5:14" x14ac:dyDescent="0.35">
      <c r="E565" s="2"/>
      <c r="F565" s="2"/>
      <c r="G565" s="3"/>
      <c r="H565" s="3"/>
      <c r="I565" s="3"/>
      <c r="J565" s="3"/>
      <c r="K565" s="3"/>
      <c r="L565" s="3"/>
      <c r="M565" s="2"/>
      <c r="N565" s="2"/>
    </row>
    <row r="566" spans="5:14" x14ac:dyDescent="0.35">
      <c r="E566" s="2"/>
      <c r="F566" s="2"/>
      <c r="G566" s="3"/>
      <c r="H566" s="3"/>
      <c r="I566" s="3"/>
      <c r="J566" s="3"/>
      <c r="K566" s="3"/>
      <c r="L566" s="3"/>
      <c r="M566" s="2"/>
      <c r="N566" s="2"/>
    </row>
    <row r="567" spans="5:14" x14ac:dyDescent="0.35">
      <c r="E567" s="2"/>
      <c r="F567" s="2"/>
      <c r="G567" s="3"/>
      <c r="H567" s="3"/>
      <c r="I567" s="3"/>
      <c r="J567" s="3"/>
      <c r="K567" s="3"/>
      <c r="L567" s="3"/>
      <c r="M567" s="2"/>
      <c r="N567" s="2"/>
    </row>
    <row r="568" spans="5:14" x14ac:dyDescent="0.35">
      <c r="E568" s="2"/>
      <c r="F568" s="2"/>
      <c r="G568" s="3"/>
      <c r="H568" s="3"/>
      <c r="I568" s="3"/>
      <c r="J568" s="3"/>
      <c r="K568" s="3"/>
      <c r="L568" s="3"/>
      <c r="M568" s="2"/>
      <c r="N568" s="2"/>
    </row>
    <row r="569" spans="5:14" x14ac:dyDescent="0.35">
      <c r="E569" s="2"/>
      <c r="F569" s="2"/>
      <c r="G569" s="3"/>
      <c r="H569" s="3"/>
      <c r="I569" s="3"/>
      <c r="J569" s="3"/>
      <c r="K569" s="3"/>
      <c r="L569" s="3"/>
      <c r="M569" s="2"/>
      <c r="N569" s="2"/>
    </row>
    <row r="570" spans="5:14" x14ac:dyDescent="0.35">
      <c r="E570" s="2"/>
      <c r="F570" s="2"/>
      <c r="G570" s="3"/>
      <c r="H570" s="3"/>
      <c r="I570" s="3"/>
      <c r="J570" s="3"/>
      <c r="K570" s="3"/>
      <c r="L570" s="3"/>
      <c r="M570" s="2"/>
      <c r="N570" s="2"/>
    </row>
    <row r="571" spans="5:14" x14ac:dyDescent="0.35">
      <c r="E571" s="2"/>
      <c r="F571" s="2"/>
      <c r="G571" s="3"/>
      <c r="H571" s="3"/>
      <c r="I571" s="3"/>
      <c r="J571" s="3"/>
      <c r="K571" s="3"/>
      <c r="L571" s="3"/>
      <c r="M571" s="2"/>
      <c r="N571" s="2"/>
    </row>
    <row r="572" spans="5:14" x14ac:dyDescent="0.35">
      <c r="E572" s="2"/>
      <c r="F572" s="2"/>
      <c r="G572" s="3"/>
      <c r="H572" s="3"/>
      <c r="I572" s="3"/>
      <c r="J572" s="3"/>
      <c r="K572" s="3"/>
      <c r="L572" s="3"/>
      <c r="M572" s="2"/>
      <c r="N572" s="2"/>
    </row>
    <row r="573" spans="5:14" x14ac:dyDescent="0.35">
      <c r="E573" s="2"/>
      <c r="F573" s="2"/>
      <c r="G573" s="3"/>
      <c r="H573" s="3"/>
      <c r="I573" s="3"/>
      <c r="J573" s="3"/>
      <c r="K573" s="3"/>
      <c r="L573" s="3"/>
      <c r="M573" s="2"/>
      <c r="N573" s="2"/>
    </row>
    <row r="574" spans="5:14" x14ac:dyDescent="0.35">
      <c r="E574" s="2"/>
      <c r="F574" s="2"/>
      <c r="G574" s="3"/>
      <c r="H574" s="3"/>
      <c r="I574" s="3"/>
      <c r="J574" s="3"/>
      <c r="K574" s="3"/>
      <c r="L574" s="3"/>
      <c r="M574" s="2"/>
      <c r="N574" s="2"/>
    </row>
    <row r="575" spans="5:14" x14ac:dyDescent="0.35">
      <c r="E575" s="2"/>
      <c r="F575" s="2"/>
      <c r="G575" s="3"/>
      <c r="H575" s="3"/>
      <c r="I575" s="3"/>
      <c r="J575" s="3"/>
      <c r="K575" s="3"/>
      <c r="L575" s="3"/>
      <c r="M575" s="2"/>
      <c r="N575" s="2"/>
    </row>
    <row r="576" spans="5:14" x14ac:dyDescent="0.35">
      <c r="E576" s="2"/>
      <c r="F576" s="2"/>
      <c r="G576" s="3"/>
      <c r="H576" s="3"/>
      <c r="I576" s="3"/>
      <c r="J576" s="3"/>
      <c r="K576" s="3"/>
      <c r="L576" s="3"/>
      <c r="M576" s="2"/>
      <c r="N576" s="2"/>
    </row>
    <row r="577" spans="5:14" x14ac:dyDescent="0.35">
      <c r="E577" s="2"/>
      <c r="F577" s="2"/>
      <c r="G577" s="3"/>
      <c r="H577" s="3"/>
      <c r="I577" s="3"/>
      <c r="J577" s="3"/>
      <c r="K577" s="3"/>
      <c r="L577" s="3"/>
      <c r="M577" s="2"/>
      <c r="N577" s="2"/>
    </row>
    <row r="578" spans="5:14" x14ac:dyDescent="0.35">
      <c r="E578" s="2"/>
      <c r="F578" s="2"/>
      <c r="G578" s="3"/>
      <c r="H578" s="3"/>
      <c r="I578" s="3"/>
      <c r="J578" s="3"/>
      <c r="K578" s="3"/>
      <c r="L578" s="3"/>
      <c r="M578" s="2"/>
      <c r="N578" s="2"/>
    </row>
    <row r="579" spans="5:14" x14ac:dyDescent="0.35">
      <c r="E579" s="2"/>
      <c r="F579" s="2"/>
      <c r="G579" s="3"/>
      <c r="H579" s="3"/>
      <c r="I579" s="3"/>
      <c r="J579" s="3"/>
      <c r="K579" s="3"/>
      <c r="L579" s="3"/>
      <c r="M579" s="2"/>
      <c r="N579" s="2"/>
    </row>
    <row r="580" spans="5:14" x14ac:dyDescent="0.35">
      <c r="E580" s="2"/>
      <c r="F580" s="2"/>
      <c r="G580" s="3"/>
      <c r="H580" s="3"/>
      <c r="I580" s="3"/>
      <c r="J580" s="3"/>
      <c r="K580" s="3"/>
      <c r="L580" s="3"/>
      <c r="M580" s="2"/>
      <c r="N580" s="2"/>
    </row>
    <row r="581" spans="5:14" x14ac:dyDescent="0.35">
      <c r="E581" s="2"/>
      <c r="F581" s="2"/>
      <c r="G581" s="3"/>
      <c r="H581" s="3"/>
      <c r="I581" s="3"/>
      <c r="J581" s="3"/>
      <c r="K581" s="3"/>
      <c r="L581" s="3"/>
      <c r="M581" s="2"/>
      <c r="N581" s="2"/>
    </row>
    <row r="582" spans="5:14" x14ac:dyDescent="0.35">
      <c r="E582" s="2"/>
      <c r="F582" s="2"/>
      <c r="G582" s="3"/>
      <c r="H582" s="3"/>
      <c r="I582" s="3"/>
      <c r="J582" s="3"/>
      <c r="K582" s="3"/>
      <c r="L582" s="3"/>
      <c r="M582" s="2"/>
      <c r="N582" s="2"/>
    </row>
    <row r="583" spans="5:14" x14ac:dyDescent="0.35">
      <c r="E583" s="2"/>
      <c r="F583" s="2"/>
      <c r="G583" s="3"/>
      <c r="H583" s="3"/>
      <c r="I583" s="3"/>
      <c r="J583" s="3"/>
      <c r="K583" s="3"/>
      <c r="L583" s="3"/>
      <c r="M583" s="2"/>
      <c r="N583" s="2"/>
    </row>
    <row r="584" spans="5:14" x14ac:dyDescent="0.35">
      <c r="E584" s="2"/>
      <c r="F584" s="2"/>
      <c r="G584" s="3"/>
      <c r="H584" s="3"/>
      <c r="I584" s="3"/>
      <c r="J584" s="3"/>
      <c r="K584" s="3"/>
      <c r="L584" s="3"/>
      <c r="M584" s="2"/>
      <c r="N584" s="2"/>
    </row>
    <row r="585" spans="5:14" x14ac:dyDescent="0.35">
      <c r="E585" s="2"/>
      <c r="F585" s="2"/>
      <c r="G585" s="3"/>
      <c r="H585" s="3"/>
      <c r="I585" s="3"/>
      <c r="J585" s="3"/>
      <c r="K585" s="3"/>
      <c r="L585" s="3"/>
      <c r="M585" s="2"/>
      <c r="N585" s="2"/>
    </row>
    <row r="586" spans="5:14" x14ac:dyDescent="0.35">
      <c r="E586" s="2"/>
      <c r="F586" s="2"/>
      <c r="G586" s="3"/>
      <c r="H586" s="3"/>
      <c r="I586" s="3"/>
      <c r="J586" s="3"/>
      <c r="K586" s="3"/>
      <c r="L586" s="3"/>
      <c r="M586" s="2"/>
      <c r="N586" s="2"/>
    </row>
    <row r="587" spans="5:14" x14ac:dyDescent="0.35">
      <c r="E587" s="2"/>
      <c r="F587" s="2"/>
      <c r="G587" s="3"/>
      <c r="H587" s="3"/>
      <c r="I587" s="3"/>
      <c r="J587" s="3"/>
      <c r="K587" s="3"/>
      <c r="L587" s="3"/>
      <c r="M587" s="2"/>
      <c r="N587" s="2"/>
    </row>
    <row r="588" spans="5:14" x14ac:dyDescent="0.35">
      <c r="E588" s="2"/>
      <c r="F588" s="2"/>
      <c r="G588" s="3"/>
      <c r="H588" s="3"/>
      <c r="I588" s="3"/>
      <c r="J588" s="3"/>
      <c r="K588" s="3"/>
      <c r="L588" s="3"/>
      <c r="M588" s="2"/>
      <c r="N588" s="2"/>
    </row>
    <row r="589" spans="5:14" x14ac:dyDescent="0.35">
      <c r="E589" s="2"/>
      <c r="F589" s="2"/>
      <c r="G589" s="3"/>
      <c r="H589" s="3"/>
      <c r="I589" s="3"/>
      <c r="J589" s="3"/>
      <c r="K589" s="3"/>
      <c r="L589" s="3"/>
      <c r="M589" s="2"/>
      <c r="N589" s="2"/>
    </row>
    <row r="590" spans="5:14" x14ac:dyDescent="0.35">
      <c r="E590" s="2"/>
      <c r="F590" s="2"/>
      <c r="G590" s="3"/>
      <c r="H590" s="3"/>
      <c r="I590" s="3"/>
      <c r="J590" s="3"/>
      <c r="K590" s="3"/>
      <c r="L590" s="3"/>
      <c r="M590" s="2"/>
      <c r="N590" s="2"/>
    </row>
    <row r="591" spans="5:14" x14ac:dyDescent="0.35">
      <c r="E591" s="2"/>
      <c r="F591" s="2"/>
      <c r="G591" s="3"/>
      <c r="H591" s="3"/>
      <c r="I591" s="3"/>
      <c r="J591" s="3"/>
      <c r="K591" s="3"/>
      <c r="L591" s="3"/>
      <c r="M591" s="2"/>
      <c r="N591" s="2"/>
    </row>
    <row r="592" spans="5:14" x14ac:dyDescent="0.35">
      <c r="E592" s="2"/>
      <c r="F592" s="2"/>
      <c r="G592" s="3"/>
      <c r="H592" s="3"/>
      <c r="I592" s="3"/>
      <c r="J592" s="3"/>
      <c r="K592" s="3"/>
      <c r="L592" s="3"/>
      <c r="M592" s="2"/>
      <c r="N592" s="2"/>
    </row>
    <row r="593" spans="5:14" x14ac:dyDescent="0.35">
      <c r="E593" s="2"/>
      <c r="F593" s="2"/>
      <c r="G593" s="3"/>
      <c r="H593" s="3"/>
      <c r="I593" s="3"/>
      <c r="J593" s="3"/>
      <c r="K593" s="3"/>
      <c r="L593" s="3"/>
      <c r="M593" s="2"/>
      <c r="N593" s="2"/>
    </row>
    <row r="594" spans="5:14" x14ac:dyDescent="0.35">
      <c r="E594" s="2"/>
      <c r="F594" s="2"/>
      <c r="G594" s="3"/>
      <c r="H594" s="3"/>
      <c r="I594" s="3"/>
      <c r="J594" s="3"/>
      <c r="K594" s="3"/>
      <c r="L594" s="3"/>
      <c r="M594" s="2"/>
      <c r="N594" s="2"/>
    </row>
    <row r="595" spans="5:14" x14ac:dyDescent="0.35">
      <c r="E595" s="2"/>
      <c r="F595" s="2"/>
      <c r="G595" s="3"/>
      <c r="H595" s="3"/>
      <c r="I595" s="3"/>
      <c r="J595" s="3"/>
      <c r="K595" s="3"/>
      <c r="L595" s="3"/>
      <c r="M595" s="2"/>
      <c r="N595" s="2"/>
    </row>
    <row r="596" spans="5:14" x14ac:dyDescent="0.35">
      <c r="E596" s="2"/>
      <c r="F596" s="2"/>
      <c r="G596" s="3"/>
      <c r="H596" s="3"/>
      <c r="I596" s="3"/>
      <c r="J596" s="3"/>
      <c r="K596" s="3"/>
      <c r="L596" s="3"/>
      <c r="M596" s="2"/>
      <c r="N596" s="2"/>
    </row>
    <row r="597" spans="5:14" x14ac:dyDescent="0.35">
      <c r="E597" s="2"/>
      <c r="F597" s="2"/>
      <c r="G597" s="3"/>
      <c r="H597" s="3"/>
      <c r="I597" s="3"/>
      <c r="J597" s="3"/>
      <c r="K597" s="3"/>
      <c r="L597" s="3"/>
      <c r="M597" s="2"/>
      <c r="N597" s="2"/>
    </row>
    <row r="598" spans="5:14" x14ac:dyDescent="0.35">
      <c r="E598" s="2"/>
      <c r="F598" s="2"/>
      <c r="G598" s="3"/>
      <c r="H598" s="3"/>
      <c r="I598" s="3"/>
      <c r="J598" s="3"/>
      <c r="K598" s="3"/>
      <c r="L598" s="3"/>
      <c r="M598" s="2"/>
      <c r="N598" s="2"/>
    </row>
    <row r="599" spans="5:14" x14ac:dyDescent="0.35">
      <c r="E599" s="2"/>
      <c r="F599" s="2"/>
      <c r="G599" s="3"/>
      <c r="H599" s="3"/>
      <c r="I599" s="3"/>
      <c r="J599" s="3"/>
      <c r="K599" s="3"/>
      <c r="L599" s="3"/>
      <c r="M599" s="2"/>
      <c r="N599" s="2"/>
    </row>
    <row r="600" spans="5:14" x14ac:dyDescent="0.35">
      <c r="E600" s="2"/>
      <c r="F600" s="2"/>
      <c r="G600" s="3"/>
      <c r="H600" s="3"/>
      <c r="I600" s="3"/>
      <c r="J600" s="3"/>
      <c r="K600" s="3"/>
      <c r="L600" s="3"/>
      <c r="M600" s="2"/>
      <c r="N600" s="2"/>
    </row>
    <row r="601" spans="5:14" x14ac:dyDescent="0.35">
      <c r="E601" s="2"/>
      <c r="F601" s="2"/>
      <c r="G601" s="3"/>
      <c r="H601" s="3"/>
      <c r="I601" s="3"/>
      <c r="J601" s="3"/>
      <c r="K601" s="3"/>
      <c r="L601" s="3"/>
      <c r="M601" s="2"/>
      <c r="N601" s="2"/>
    </row>
    <row r="602" spans="5:14" x14ac:dyDescent="0.35">
      <c r="E602" s="2"/>
      <c r="F602" s="2"/>
      <c r="G602" s="3"/>
      <c r="H602" s="3"/>
      <c r="I602" s="3"/>
      <c r="J602" s="3"/>
      <c r="K602" s="3"/>
      <c r="L602" s="3"/>
      <c r="M602" s="2"/>
      <c r="N602" s="2"/>
    </row>
    <row r="603" spans="5:14" x14ac:dyDescent="0.35">
      <c r="E603" s="2"/>
      <c r="F603" s="2"/>
      <c r="G603" s="3"/>
      <c r="H603" s="3"/>
      <c r="I603" s="3"/>
      <c r="J603" s="3"/>
      <c r="K603" s="3"/>
      <c r="L603" s="3"/>
      <c r="M603" s="2"/>
      <c r="N603" s="2"/>
    </row>
    <row r="604" spans="5:14" x14ac:dyDescent="0.35">
      <c r="E604" s="2"/>
      <c r="F604" s="2"/>
      <c r="G604" s="3"/>
      <c r="H604" s="3"/>
      <c r="I604" s="3"/>
      <c r="J604" s="3"/>
      <c r="K604" s="3"/>
      <c r="L604" s="3"/>
      <c r="M604" s="2"/>
      <c r="N604" s="2"/>
    </row>
    <row r="605" spans="5:14" x14ac:dyDescent="0.35">
      <c r="E605" s="2"/>
      <c r="F605" s="2"/>
      <c r="G605" s="3"/>
      <c r="H605" s="3"/>
      <c r="I605" s="3"/>
      <c r="J605" s="3"/>
      <c r="K605" s="3"/>
      <c r="L605" s="3"/>
      <c r="M605" s="2"/>
      <c r="N605" s="2"/>
    </row>
    <row r="606" spans="5:14" x14ac:dyDescent="0.35">
      <c r="E606" s="2"/>
      <c r="F606" s="2"/>
      <c r="G606" s="3"/>
      <c r="H606" s="3"/>
      <c r="I606" s="3"/>
      <c r="J606" s="3"/>
      <c r="K606" s="3"/>
      <c r="L606" s="3"/>
      <c r="M606" s="2"/>
      <c r="N606" s="2"/>
    </row>
    <row r="607" spans="5:14" x14ac:dyDescent="0.35">
      <c r="E607" s="2"/>
      <c r="F607" s="2"/>
      <c r="G607" s="3"/>
      <c r="H607" s="3"/>
      <c r="I607" s="3"/>
      <c r="J607" s="3"/>
      <c r="K607" s="3"/>
      <c r="L607" s="3"/>
      <c r="M607" s="2"/>
      <c r="N607" s="2"/>
    </row>
    <row r="608" spans="5:14" x14ac:dyDescent="0.35">
      <c r="E608" s="2"/>
      <c r="F608" s="2"/>
      <c r="G608" s="3"/>
      <c r="H608" s="3"/>
      <c r="I608" s="3"/>
      <c r="J608" s="3"/>
      <c r="K608" s="3"/>
      <c r="L608" s="3"/>
      <c r="M608" s="2"/>
      <c r="N608" s="2"/>
    </row>
    <row r="609" spans="5:14" x14ac:dyDescent="0.35">
      <c r="E609" s="2"/>
      <c r="F609" s="2"/>
      <c r="G609" s="3"/>
      <c r="H609" s="3"/>
      <c r="I609" s="3"/>
      <c r="J609" s="3"/>
      <c r="K609" s="3"/>
      <c r="L609" s="3"/>
      <c r="M609" s="2"/>
      <c r="N609" s="2"/>
    </row>
    <row r="610" spans="5:14" x14ac:dyDescent="0.35">
      <c r="E610" s="2"/>
      <c r="F610" s="2"/>
      <c r="G610" s="3"/>
      <c r="H610" s="3"/>
      <c r="I610" s="3"/>
      <c r="J610" s="3"/>
      <c r="K610" s="3"/>
      <c r="L610" s="3"/>
      <c r="M610" s="2"/>
      <c r="N610" s="2"/>
    </row>
    <row r="611" spans="5:14" x14ac:dyDescent="0.35">
      <c r="E611" s="2"/>
      <c r="F611" s="2"/>
      <c r="G611" s="3"/>
      <c r="H611" s="3"/>
      <c r="I611" s="3"/>
      <c r="J611" s="3"/>
      <c r="K611" s="3"/>
      <c r="L611" s="3"/>
      <c r="M611" s="2"/>
      <c r="N611" s="2"/>
    </row>
    <row r="612" spans="5:14" x14ac:dyDescent="0.35">
      <c r="E612" s="2"/>
      <c r="F612" s="2"/>
      <c r="G612" s="3"/>
      <c r="H612" s="3"/>
      <c r="I612" s="3"/>
      <c r="J612" s="3"/>
      <c r="K612" s="3"/>
      <c r="L612" s="3"/>
      <c r="M612" s="2"/>
      <c r="N612" s="2"/>
    </row>
    <row r="613" spans="5:14" x14ac:dyDescent="0.35">
      <c r="E613" s="2"/>
      <c r="F613" s="2"/>
      <c r="G613" s="3"/>
      <c r="H613" s="3"/>
      <c r="I613" s="3"/>
      <c r="J613" s="3"/>
      <c r="K613" s="3"/>
      <c r="L613" s="3"/>
      <c r="M613" s="2"/>
      <c r="N613" s="2"/>
    </row>
    <row r="614" spans="5:14" x14ac:dyDescent="0.35">
      <c r="E614" s="2"/>
      <c r="F614" s="2"/>
      <c r="G614" s="3"/>
      <c r="H614" s="3"/>
      <c r="I614" s="3"/>
      <c r="J614" s="3"/>
      <c r="K614" s="3"/>
      <c r="L614" s="3"/>
      <c r="M614" s="2"/>
      <c r="N614" s="2"/>
    </row>
    <row r="615" spans="5:14" x14ac:dyDescent="0.35">
      <c r="E615" s="2"/>
      <c r="F615" s="2"/>
      <c r="G615" s="3"/>
      <c r="H615" s="3"/>
      <c r="I615" s="3"/>
      <c r="J615" s="3"/>
      <c r="K615" s="3"/>
      <c r="L615" s="3"/>
      <c r="M615" s="2"/>
      <c r="N615" s="2"/>
    </row>
    <row r="616" spans="5:14" x14ac:dyDescent="0.35">
      <c r="E616" s="2"/>
      <c r="F616" s="2"/>
      <c r="G616" s="3"/>
      <c r="H616" s="3"/>
      <c r="I616" s="3"/>
      <c r="J616" s="3"/>
      <c r="K616" s="3"/>
      <c r="L616" s="3"/>
      <c r="M616" s="2"/>
      <c r="N616" s="2"/>
    </row>
    <row r="617" spans="5:14" x14ac:dyDescent="0.35">
      <c r="E617" s="2"/>
      <c r="F617" s="2"/>
      <c r="G617" s="3"/>
      <c r="H617" s="3"/>
      <c r="I617" s="3"/>
      <c r="J617" s="3"/>
      <c r="K617" s="3"/>
      <c r="L617" s="3"/>
      <c r="M617" s="2"/>
      <c r="N617" s="2"/>
    </row>
    <row r="618" spans="5:14" x14ac:dyDescent="0.35">
      <c r="E618" s="2"/>
      <c r="F618" s="2"/>
      <c r="G618" s="3"/>
      <c r="H618" s="3"/>
      <c r="I618" s="3"/>
      <c r="J618" s="3"/>
      <c r="K618" s="3"/>
      <c r="L618" s="3"/>
      <c r="M618" s="2"/>
      <c r="N618" s="2"/>
    </row>
    <row r="619" spans="5:14" x14ac:dyDescent="0.35">
      <c r="E619" s="2"/>
      <c r="F619" s="2"/>
      <c r="G619" s="3"/>
      <c r="H619" s="3"/>
      <c r="I619" s="3"/>
      <c r="J619" s="3"/>
      <c r="K619" s="3"/>
      <c r="L619" s="3"/>
      <c r="M619" s="2"/>
      <c r="N619" s="2"/>
    </row>
    <row r="620" spans="5:14" x14ac:dyDescent="0.35">
      <c r="E620" s="2"/>
      <c r="F620" s="2"/>
      <c r="G620" s="3"/>
      <c r="H620" s="3"/>
      <c r="I620" s="3"/>
      <c r="J620" s="3"/>
      <c r="K620" s="3"/>
      <c r="L620" s="3"/>
      <c r="M620" s="2"/>
      <c r="N620" s="2"/>
    </row>
    <row r="621" spans="5:14" x14ac:dyDescent="0.35">
      <c r="E621" s="2"/>
      <c r="F621" s="2"/>
      <c r="G621" s="3"/>
      <c r="H621" s="3"/>
      <c r="I621" s="3"/>
      <c r="J621" s="3"/>
      <c r="K621" s="3"/>
      <c r="L621" s="3"/>
      <c r="M621" s="2"/>
      <c r="N621" s="2"/>
    </row>
    <row r="622" spans="5:14" x14ac:dyDescent="0.35">
      <c r="E622" s="2"/>
      <c r="F622" s="2"/>
      <c r="G622" s="3"/>
      <c r="H622" s="3"/>
      <c r="I622" s="3"/>
      <c r="J622" s="3"/>
      <c r="K622" s="3"/>
      <c r="L622" s="3"/>
      <c r="M622" s="2"/>
      <c r="N622" s="2"/>
    </row>
    <row r="623" spans="5:14" x14ac:dyDescent="0.35">
      <c r="E623" s="2"/>
      <c r="F623" s="2"/>
      <c r="G623" s="3"/>
      <c r="H623" s="3"/>
      <c r="I623" s="3"/>
      <c r="J623" s="3"/>
      <c r="K623" s="3"/>
      <c r="L623" s="3"/>
      <c r="M623" s="2"/>
      <c r="N623" s="2"/>
    </row>
    <row r="624" spans="5:14" x14ac:dyDescent="0.35">
      <c r="E624" s="2"/>
      <c r="F624" s="2"/>
      <c r="G624" s="3"/>
      <c r="H624" s="3"/>
      <c r="I624" s="3"/>
      <c r="J624" s="3"/>
      <c r="K624" s="3"/>
      <c r="L624" s="3"/>
      <c r="M624" s="2"/>
      <c r="N624" s="2"/>
    </row>
    <row r="625" spans="5:14" x14ac:dyDescent="0.35">
      <c r="E625" s="2"/>
      <c r="F625" s="2"/>
      <c r="G625" s="3"/>
      <c r="H625" s="3"/>
      <c r="I625" s="3"/>
      <c r="J625" s="3"/>
      <c r="K625" s="3"/>
      <c r="L625" s="3"/>
      <c r="M625" s="2"/>
      <c r="N625" s="2"/>
    </row>
    <row r="626" spans="5:14" x14ac:dyDescent="0.35">
      <c r="E626" s="2"/>
      <c r="F626" s="2"/>
      <c r="G626" s="3"/>
      <c r="H626" s="3"/>
      <c r="I626" s="3"/>
      <c r="J626" s="3"/>
      <c r="K626" s="3"/>
      <c r="L626" s="3"/>
      <c r="M626" s="2"/>
      <c r="N626" s="2"/>
    </row>
    <row r="627" spans="5:14" x14ac:dyDescent="0.35">
      <c r="E627" s="2"/>
      <c r="F627" s="2"/>
      <c r="G627" s="3"/>
      <c r="H627" s="3"/>
      <c r="I627" s="3"/>
      <c r="J627" s="3"/>
      <c r="K627" s="3"/>
      <c r="L627" s="3"/>
      <c r="M627" s="2"/>
      <c r="N627" s="2"/>
    </row>
    <row r="628" spans="5:14" x14ac:dyDescent="0.35">
      <c r="E628" s="2"/>
      <c r="F628" s="2"/>
      <c r="G628" s="3"/>
      <c r="H628" s="3"/>
      <c r="I628" s="3"/>
      <c r="J628" s="3"/>
      <c r="K628" s="3"/>
      <c r="L628" s="3"/>
      <c r="M628" s="2"/>
      <c r="N628" s="2"/>
    </row>
    <row r="629" spans="5:14" x14ac:dyDescent="0.35">
      <c r="E629" s="2"/>
      <c r="F629" s="2"/>
      <c r="G629" s="3"/>
      <c r="H629" s="3"/>
      <c r="I629" s="3"/>
      <c r="J629" s="3"/>
      <c r="K629" s="3"/>
      <c r="L629" s="3"/>
      <c r="M629" s="2"/>
      <c r="N629" s="2"/>
    </row>
    <row r="630" spans="5:14" x14ac:dyDescent="0.35">
      <c r="E630" s="2"/>
      <c r="F630" s="2"/>
      <c r="G630" s="3"/>
      <c r="H630" s="3"/>
      <c r="I630" s="3"/>
      <c r="J630" s="3"/>
      <c r="K630" s="3"/>
      <c r="L630" s="3"/>
      <c r="M630" s="2"/>
      <c r="N630" s="2"/>
    </row>
    <row r="631" spans="5:14" x14ac:dyDescent="0.35">
      <c r="E631" s="2"/>
      <c r="F631" s="2"/>
      <c r="G631" s="3"/>
      <c r="H631" s="3"/>
      <c r="I631" s="3"/>
      <c r="J631" s="3"/>
      <c r="K631" s="3"/>
      <c r="L631" s="3"/>
      <c r="M631" s="2"/>
      <c r="N631" s="2"/>
    </row>
    <row r="632" spans="5:14" x14ac:dyDescent="0.35">
      <c r="E632" s="2"/>
      <c r="F632" s="2"/>
      <c r="G632" s="3"/>
      <c r="H632" s="3"/>
      <c r="I632" s="3"/>
      <c r="J632" s="3"/>
      <c r="K632" s="3"/>
      <c r="L632" s="3"/>
      <c r="M632" s="2"/>
      <c r="N632" s="2"/>
    </row>
    <row r="633" spans="5:14" x14ac:dyDescent="0.35">
      <c r="E633" s="2"/>
      <c r="F633" s="2"/>
      <c r="G633" s="3"/>
      <c r="H633" s="3"/>
      <c r="I633" s="3"/>
      <c r="J633" s="3"/>
      <c r="K633" s="3"/>
      <c r="L633" s="3"/>
      <c r="M633" s="2"/>
      <c r="N633" s="2"/>
    </row>
    <row r="634" spans="5:14" x14ac:dyDescent="0.35">
      <c r="E634" s="2"/>
      <c r="F634" s="2"/>
      <c r="G634" s="3"/>
      <c r="H634" s="3"/>
      <c r="I634" s="3"/>
      <c r="J634" s="3"/>
      <c r="K634" s="3"/>
      <c r="L634" s="3"/>
      <c r="M634" s="2"/>
      <c r="N634" s="2"/>
    </row>
    <row r="635" spans="5:14" x14ac:dyDescent="0.35">
      <c r="E635" s="2"/>
      <c r="F635" s="2"/>
      <c r="G635" s="3"/>
      <c r="H635" s="3"/>
      <c r="I635" s="3"/>
      <c r="J635" s="3"/>
      <c r="K635" s="3"/>
      <c r="L635" s="3"/>
      <c r="M635" s="2"/>
      <c r="N635" s="2"/>
    </row>
    <row r="636" spans="5:14" x14ac:dyDescent="0.35">
      <c r="E636" s="2"/>
      <c r="F636" s="2"/>
      <c r="G636" s="3"/>
      <c r="H636" s="3"/>
      <c r="I636" s="3"/>
      <c r="J636" s="3"/>
      <c r="K636" s="3"/>
      <c r="L636" s="3"/>
      <c r="M636" s="2"/>
      <c r="N636" s="2"/>
    </row>
    <row r="637" spans="5:14" x14ac:dyDescent="0.35">
      <c r="E637" s="2"/>
      <c r="F637" s="2"/>
      <c r="G637" s="3"/>
      <c r="H637" s="3"/>
      <c r="I637" s="3"/>
      <c r="J637" s="3"/>
      <c r="K637" s="3"/>
      <c r="L637" s="3"/>
      <c r="M637" s="2"/>
      <c r="N637" s="2"/>
    </row>
    <row r="638" spans="5:14" x14ac:dyDescent="0.35">
      <c r="E638" s="2"/>
      <c r="F638" s="2"/>
      <c r="G638" s="3"/>
      <c r="H638" s="3"/>
      <c r="I638" s="3"/>
      <c r="J638" s="3"/>
      <c r="K638" s="3"/>
      <c r="L638" s="3"/>
      <c r="M638" s="2"/>
      <c r="N638" s="2"/>
    </row>
    <row r="639" spans="5:14" x14ac:dyDescent="0.35">
      <c r="E639" s="2"/>
      <c r="F639" s="2"/>
      <c r="G639" s="3"/>
      <c r="H639" s="3"/>
      <c r="I639" s="3"/>
      <c r="J639" s="3"/>
      <c r="K639" s="3"/>
      <c r="L639" s="3"/>
      <c r="M639" s="2"/>
      <c r="N639" s="2"/>
    </row>
    <row r="640" spans="5:14" x14ac:dyDescent="0.35">
      <c r="E640" s="2"/>
      <c r="F640" s="2"/>
      <c r="G640" s="3"/>
      <c r="H640" s="3"/>
      <c r="I640" s="3"/>
      <c r="J640" s="3"/>
      <c r="K640" s="3"/>
      <c r="L640" s="3"/>
      <c r="M640" s="2"/>
      <c r="N640" s="2"/>
    </row>
    <row r="641" spans="5:14" x14ac:dyDescent="0.35">
      <c r="E641" s="2"/>
      <c r="F641" s="2"/>
      <c r="G641" s="3"/>
      <c r="H641" s="3"/>
      <c r="I641" s="3"/>
      <c r="J641" s="3"/>
      <c r="K641" s="3"/>
      <c r="L641" s="3"/>
      <c r="M641" s="2"/>
      <c r="N641" s="2"/>
    </row>
    <row r="642" spans="5:14" x14ac:dyDescent="0.35">
      <c r="E642" s="2"/>
      <c r="F642" s="2"/>
      <c r="G642" s="3"/>
      <c r="H642" s="3"/>
      <c r="I642" s="3"/>
      <c r="J642" s="3"/>
      <c r="K642" s="3"/>
      <c r="L642" s="3"/>
      <c r="M642" s="2"/>
      <c r="N642" s="2"/>
    </row>
    <row r="643" spans="5:14" x14ac:dyDescent="0.35">
      <c r="E643" s="2"/>
      <c r="F643" s="2"/>
      <c r="G643" s="3"/>
      <c r="H643" s="3"/>
      <c r="I643" s="3"/>
      <c r="J643" s="3"/>
      <c r="K643" s="3"/>
      <c r="L643" s="3"/>
      <c r="M643" s="2"/>
      <c r="N643" s="2"/>
    </row>
    <row r="644" spans="5:14" x14ac:dyDescent="0.35">
      <c r="E644" s="2"/>
      <c r="F644" s="2"/>
      <c r="G644" s="3"/>
      <c r="H644" s="3"/>
      <c r="I644" s="3"/>
      <c r="J644" s="3"/>
      <c r="K644" s="3"/>
      <c r="L644" s="3"/>
      <c r="M644" s="2"/>
      <c r="N644" s="2"/>
    </row>
    <row r="645" spans="5:14" x14ac:dyDescent="0.35">
      <c r="E645" s="2"/>
      <c r="F645" s="2"/>
      <c r="G645" s="3"/>
      <c r="H645" s="3"/>
      <c r="I645" s="3"/>
      <c r="J645" s="3"/>
      <c r="K645" s="3"/>
      <c r="L645" s="3"/>
      <c r="M645" s="2"/>
      <c r="N645" s="2"/>
    </row>
    <row r="646" spans="5:14" x14ac:dyDescent="0.35">
      <c r="E646" s="2"/>
      <c r="F646" s="2"/>
      <c r="G646" s="3"/>
      <c r="H646" s="3"/>
      <c r="I646" s="3"/>
      <c r="J646" s="3"/>
      <c r="K646" s="3"/>
      <c r="L646" s="3"/>
      <c r="M646" s="2"/>
      <c r="N646" s="2"/>
    </row>
    <row r="647" spans="5:14" x14ac:dyDescent="0.35">
      <c r="E647" s="2"/>
      <c r="F647" s="2"/>
      <c r="G647" s="3"/>
      <c r="H647" s="3"/>
      <c r="I647" s="3"/>
      <c r="J647" s="3"/>
      <c r="K647" s="3"/>
      <c r="L647" s="3"/>
      <c r="M647" s="2"/>
      <c r="N647" s="2"/>
    </row>
    <row r="648" spans="5:14" x14ac:dyDescent="0.35">
      <c r="E648" s="2"/>
      <c r="F648" s="2"/>
      <c r="G648" s="3"/>
      <c r="H648" s="3"/>
      <c r="I648" s="3"/>
      <c r="J648" s="3"/>
      <c r="K648" s="3"/>
      <c r="L648" s="3"/>
      <c r="M648" s="2"/>
      <c r="N648" s="2"/>
    </row>
    <row r="649" spans="5:14" x14ac:dyDescent="0.35">
      <c r="E649" s="2"/>
      <c r="F649" s="2"/>
      <c r="G649" s="3"/>
      <c r="H649" s="3"/>
      <c r="I649" s="3"/>
      <c r="J649" s="3"/>
      <c r="K649" s="3"/>
      <c r="L649" s="3"/>
      <c r="M649" s="2"/>
      <c r="N649" s="2"/>
    </row>
    <row r="650" spans="5:14" x14ac:dyDescent="0.35">
      <c r="E650" s="2"/>
      <c r="F650" s="2"/>
      <c r="G650" s="3"/>
      <c r="H650" s="3"/>
      <c r="I650" s="3"/>
      <c r="J650" s="3"/>
      <c r="K650" s="3"/>
      <c r="L650" s="3"/>
      <c r="M650" s="2"/>
      <c r="N650" s="2"/>
    </row>
    <row r="651" spans="5:14" x14ac:dyDescent="0.35">
      <c r="E651" s="2"/>
      <c r="F651" s="2"/>
      <c r="G651" s="3"/>
      <c r="H651" s="3"/>
      <c r="I651" s="3"/>
      <c r="J651" s="3"/>
      <c r="K651" s="3"/>
      <c r="L651" s="3"/>
      <c r="M651" s="2"/>
      <c r="N651" s="2"/>
    </row>
    <row r="652" spans="5:14" x14ac:dyDescent="0.35">
      <c r="E652" s="2"/>
      <c r="F652" s="2"/>
      <c r="G652" s="3"/>
      <c r="H652" s="3"/>
      <c r="I652" s="3"/>
      <c r="J652" s="3"/>
      <c r="K652" s="3"/>
      <c r="L652" s="3"/>
      <c r="M652" s="2"/>
      <c r="N652" s="2"/>
    </row>
    <row r="653" spans="5:14" x14ac:dyDescent="0.35">
      <c r="E653" s="2"/>
      <c r="F653" s="2"/>
      <c r="G653" s="3"/>
      <c r="H653" s="3"/>
      <c r="I653" s="3"/>
      <c r="J653" s="3"/>
      <c r="K653" s="3"/>
      <c r="L653" s="3"/>
      <c r="M653" s="2"/>
      <c r="N653" s="2"/>
    </row>
    <row r="654" spans="5:14" x14ac:dyDescent="0.35">
      <c r="E654" s="2"/>
      <c r="F654" s="2"/>
      <c r="G654" s="3"/>
      <c r="H654" s="3"/>
      <c r="I654" s="3"/>
      <c r="J654" s="3"/>
      <c r="K654" s="3"/>
      <c r="L654" s="3"/>
      <c r="M654" s="2"/>
      <c r="N654" s="2"/>
    </row>
    <row r="655" spans="5:14" x14ac:dyDescent="0.35">
      <c r="E655" s="2"/>
      <c r="F655" s="2"/>
      <c r="G655" s="3"/>
      <c r="H655" s="3"/>
      <c r="I655" s="3"/>
      <c r="J655" s="3"/>
      <c r="K655" s="3"/>
      <c r="L655" s="3"/>
      <c r="M655" s="2"/>
      <c r="N655" s="2"/>
    </row>
    <row r="656" spans="5:14" x14ac:dyDescent="0.35">
      <c r="E656" s="2"/>
      <c r="F656" s="2"/>
      <c r="G656" s="3"/>
      <c r="H656" s="3"/>
      <c r="I656" s="3"/>
      <c r="J656" s="3"/>
      <c r="K656" s="3"/>
      <c r="L656" s="3"/>
      <c r="M656" s="2"/>
      <c r="N656" s="2"/>
    </row>
    <row r="657" spans="5:14" x14ac:dyDescent="0.35">
      <c r="E657" s="2"/>
      <c r="F657" s="2"/>
      <c r="G657" s="3"/>
      <c r="H657" s="3"/>
      <c r="I657" s="3"/>
      <c r="J657" s="3"/>
      <c r="K657" s="3"/>
      <c r="L657" s="3"/>
      <c r="M657" s="2"/>
      <c r="N657" s="2"/>
    </row>
    <row r="658" spans="5:14" x14ac:dyDescent="0.35">
      <c r="E658" s="2"/>
      <c r="F658" s="2"/>
      <c r="G658" s="3"/>
      <c r="H658" s="3"/>
      <c r="I658" s="3"/>
      <c r="J658" s="3"/>
      <c r="K658" s="3"/>
      <c r="L658" s="3"/>
      <c r="M658" s="2"/>
      <c r="N658" s="2"/>
    </row>
    <row r="659" spans="5:14" x14ac:dyDescent="0.35">
      <c r="E659" s="2"/>
      <c r="F659" s="2"/>
      <c r="G659" s="3"/>
      <c r="H659" s="3"/>
      <c r="I659" s="3"/>
      <c r="J659" s="3"/>
      <c r="K659" s="3"/>
      <c r="L659" s="3"/>
      <c r="M659" s="2"/>
      <c r="N659" s="2"/>
    </row>
    <row r="660" spans="5:14" x14ac:dyDescent="0.35">
      <c r="E660" s="2"/>
      <c r="F660" s="2"/>
      <c r="G660" s="3"/>
      <c r="H660" s="3"/>
      <c r="I660" s="3"/>
      <c r="J660" s="3"/>
      <c r="K660" s="3"/>
      <c r="L660" s="3"/>
      <c r="M660" s="2"/>
      <c r="N660" s="2"/>
    </row>
    <row r="661" spans="5:14" x14ac:dyDescent="0.35">
      <c r="E661" s="2"/>
      <c r="F661" s="2"/>
      <c r="G661" s="3"/>
      <c r="H661" s="3"/>
      <c r="I661" s="3"/>
      <c r="J661" s="3"/>
      <c r="K661" s="3"/>
      <c r="L661" s="3"/>
      <c r="M661" s="2"/>
      <c r="N661" s="2"/>
    </row>
    <row r="662" spans="5:14" x14ac:dyDescent="0.35">
      <c r="E662" s="2"/>
      <c r="F662" s="2"/>
      <c r="G662" s="3"/>
      <c r="H662" s="3"/>
      <c r="I662" s="3"/>
      <c r="J662" s="3"/>
      <c r="K662" s="3"/>
      <c r="L662" s="3"/>
      <c r="M662" s="2"/>
      <c r="N662" s="2"/>
    </row>
    <row r="663" spans="5:14" x14ac:dyDescent="0.35">
      <c r="E663" s="2"/>
      <c r="F663" s="2"/>
      <c r="G663" s="3"/>
      <c r="H663" s="3"/>
      <c r="I663" s="3"/>
      <c r="J663" s="3"/>
      <c r="K663" s="3"/>
      <c r="L663" s="3"/>
      <c r="M663" s="2"/>
      <c r="N663" s="2"/>
    </row>
    <row r="664" spans="5:14" x14ac:dyDescent="0.35">
      <c r="E664" s="2"/>
      <c r="F664" s="2"/>
      <c r="G664" s="3"/>
      <c r="H664" s="3"/>
      <c r="I664" s="3"/>
      <c r="J664" s="3"/>
      <c r="K664" s="3"/>
      <c r="L664" s="3"/>
      <c r="M664" s="2"/>
      <c r="N664" s="2"/>
    </row>
    <row r="665" spans="5:14" x14ac:dyDescent="0.35">
      <c r="E665" s="2"/>
      <c r="F665" s="2"/>
      <c r="G665" s="3"/>
      <c r="H665" s="3"/>
      <c r="I665" s="3"/>
      <c r="J665" s="3"/>
      <c r="K665" s="3"/>
      <c r="L665" s="3"/>
      <c r="M665" s="2"/>
      <c r="N665" s="2"/>
    </row>
    <row r="666" spans="5:14" x14ac:dyDescent="0.35">
      <c r="E666" s="2"/>
      <c r="F666" s="2"/>
      <c r="G666" s="3"/>
      <c r="H666" s="3"/>
      <c r="I666" s="3"/>
      <c r="J666" s="3"/>
      <c r="K666" s="3"/>
      <c r="L666" s="3"/>
      <c r="M666" s="2"/>
      <c r="N666" s="2"/>
    </row>
    <row r="667" spans="5:14" x14ac:dyDescent="0.35">
      <c r="E667" s="2"/>
      <c r="F667" s="2"/>
      <c r="G667" s="3"/>
      <c r="H667" s="3"/>
      <c r="I667" s="3"/>
      <c r="J667" s="3"/>
      <c r="K667" s="3"/>
      <c r="L667" s="3"/>
      <c r="M667" s="2"/>
      <c r="N667" s="2"/>
    </row>
    <row r="668" spans="5:14" x14ac:dyDescent="0.35">
      <c r="E668" s="2"/>
      <c r="F668" s="2"/>
      <c r="G668" s="3"/>
      <c r="H668" s="3"/>
      <c r="I668" s="3"/>
      <c r="J668" s="3"/>
      <c r="K668" s="3"/>
      <c r="L668" s="3"/>
      <c r="M668" s="2"/>
      <c r="N668" s="2"/>
    </row>
    <row r="669" spans="5:14" x14ac:dyDescent="0.35">
      <c r="E669" s="2"/>
      <c r="F669" s="2"/>
      <c r="G669" s="3"/>
      <c r="H669" s="3"/>
      <c r="I669" s="3"/>
      <c r="J669" s="3"/>
      <c r="K669" s="3"/>
      <c r="L669" s="3"/>
      <c r="M669" s="2"/>
      <c r="N669" s="2"/>
    </row>
    <row r="670" spans="5:14" x14ac:dyDescent="0.35">
      <c r="E670" s="2"/>
      <c r="F670" s="2"/>
      <c r="G670" s="3"/>
      <c r="H670" s="3"/>
      <c r="I670" s="3"/>
      <c r="J670" s="3"/>
      <c r="K670" s="3"/>
      <c r="L670" s="3"/>
      <c r="M670" s="2"/>
      <c r="N670" s="2"/>
    </row>
    <row r="671" spans="5:14" x14ac:dyDescent="0.35">
      <c r="E671" s="2"/>
      <c r="F671" s="2"/>
      <c r="G671" s="3"/>
      <c r="H671" s="3"/>
      <c r="I671" s="3"/>
      <c r="J671" s="3"/>
      <c r="K671" s="3"/>
      <c r="L671" s="3"/>
      <c r="M671" s="2"/>
      <c r="N671" s="2"/>
    </row>
    <row r="672" spans="5:14" x14ac:dyDescent="0.35">
      <c r="E672" s="2"/>
      <c r="F672" s="2"/>
      <c r="G672" s="3"/>
      <c r="H672" s="3"/>
      <c r="I672" s="3"/>
      <c r="J672" s="3"/>
      <c r="K672" s="3"/>
      <c r="L672" s="3"/>
      <c r="M672" s="2"/>
      <c r="N672" s="2"/>
    </row>
    <row r="673" spans="5:14" x14ac:dyDescent="0.35">
      <c r="E673" s="2"/>
      <c r="F673" s="2"/>
      <c r="G673" s="3"/>
      <c r="H673" s="3"/>
      <c r="I673" s="3"/>
      <c r="J673" s="3"/>
      <c r="K673" s="3"/>
      <c r="L673" s="3"/>
      <c r="M673" s="2"/>
      <c r="N673" s="2"/>
    </row>
    <row r="674" spans="5:14" x14ac:dyDescent="0.35">
      <c r="E674" s="2"/>
      <c r="F674" s="2"/>
      <c r="G674" s="3"/>
      <c r="H674" s="3"/>
      <c r="I674" s="3"/>
      <c r="J674" s="3"/>
      <c r="K674" s="3"/>
      <c r="L674" s="3"/>
      <c r="M674" s="2"/>
      <c r="N674" s="2"/>
    </row>
    <row r="675" spans="5:14" x14ac:dyDescent="0.35">
      <c r="E675" s="2"/>
      <c r="F675" s="2"/>
      <c r="G675" s="3"/>
      <c r="H675" s="3"/>
      <c r="I675" s="3"/>
      <c r="J675" s="3"/>
      <c r="K675" s="3"/>
      <c r="L675" s="3"/>
      <c r="M675" s="2"/>
      <c r="N675" s="2"/>
    </row>
    <row r="676" spans="5:14" x14ac:dyDescent="0.35">
      <c r="E676" s="2"/>
      <c r="F676" s="2"/>
      <c r="G676" s="3"/>
      <c r="H676" s="3"/>
      <c r="I676" s="3"/>
      <c r="J676" s="3"/>
      <c r="K676" s="3"/>
      <c r="L676" s="3"/>
      <c r="M676" s="2"/>
      <c r="N676" s="2"/>
    </row>
    <row r="677" spans="5:14" x14ac:dyDescent="0.35">
      <c r="E677" s="2"/>
      <c r="F677" s="2"/>
      <c r="G677" s="3"/>
      <c r="H677" s="3"/>
      <c r="I677" s="3"/>
      <c r="J677" s="3"/>
      <c r="K677" s="3"/>
      <c r="L677" s="3"/>
      <c r="M677" s="2"/>
      <c r="N677" s="2"/>
    </row>
    <row r="678" spans="5:14" x14ac:dyDescent="0.35">
      <c r="E678" s="2"/>
      <c r="F678" s="2"/>
      <c r="G678" s="3"/>
      <c r="H678" s="3"/>
      <c r="I678" s="3"/>
      <c r="J678" s="3"/>
      <c r="K678" s="3"/>
      <c r="L678" s="3"/>
      <c r="M678" s="2"/>
      <c r="N678" s="2"/>
    </row>
    <row r="679" spans="5:14" x14ac:dyDescent="0.35">
      <c r="E679" s="2"/>
      <c r="F679" s="2"/>
      <c r="G679" s="3"/>
      <c r="H679" s="3"/>
      <c r="I679" s="3"/>
      <c r="J679" s="3"/>
      <c r="K679" s="3"/>
      <c r="L679" s="3"/>
      <c r="M679" s="2"/>
      <c r="N679" s="2"/>
    </row>
    <row r="680" spans="5:14" x14ac:dyDescent="0.35">
      <c r="E680" s="2"/>
      <c r="F680" s="2"/>
      <c r="G680" s="3"/>
      <c r="H680" s="3"/>
      <c r="I680" s="3"/>
      <c r="J680" s="3"/>
      <c r="K680" s="3"/>
      <c r="L680" s="3"/>
      <c r="M680" s="2"/>
      <c r="N680" s="2"/>
    </row>
    <row r="681" spans="5:14" x14ac:dyDescent="0.35">
      <c r="E681" s="2"/>
      <c r="F681" s="2"/>
      <c r="G681" s="3"/>
      <c r="H681" s="3"/>
      <c r="I681" s="3"/>
      <c r="J681" s="3"/>
      <c r="K681" s="3"/>
      <c r="L681" s="3"/>
      <c r="M681" s="2"/>
      <c r="N681" s="2"/>
    </row>
    <row r="682" spans="5:14" x14ac:dyDescent="0.35">
      <c r="E682" s="2"/>
      <c r="F682" s="2"/>
      <c r="G682" s="3"/>
      <c r="H682" s="3"/>
      <c r="I682" s="3"/>
      <c r="J682" s="3"/>
      <c r="K682" s="3"/>
      <c r="L682" s="3"/>
      <c r="M682" s="2"/>
      <c r="N682" s="2"/>
    </row>
    <row r="683" spans="5:14" x14ac:dyDescent="0.35">
      <c r="E683" s="2"/>
      <c r="F683" s="2"/>
      <c r="G683" s="3"/>
      <c r="H683" s="3"/>
      <c r="I683" s="3"/>
      <c r="J683" s="3"/>
      <c r="K683" s="3"/>
      <c r="L683" s="3"/>
      <c r="M683" s="2"/>
      <c r="N683" s="2"/>
    </row>
    <row r="684" spans="5:14" x14ac:dyDescent="0.35">
      <c r="E684" s="2"/>
      <c r="F684" s="2"/>
      <c r="G684" s="3"/>
      <c r="H684" s="3"/>
      <c r="I684" s="3"/>
      <c r="J684" s="3"/>
      <c r="K684" s="3"/>
      <c r="L684" s="3"/>
      <c r="M684" s="2"/>
      <c r="N684" s="2"/>
    </row>
    <row r="685" spans="5:14" x14ac:dyDescent="0.35">
      <c r="E685" s="2"/>
      <c r="F685" s="2"/>
      <c r="G685" s="3"/>
      <c r="H685" s="3"/>
      <c r="I685" s="3"/>
      <c r="J685" s="3"/>
      <c r="K685" s="3"/>
      <c r="L685" s="3"/>
      <c r="M685" s="2"/>
      <c r="N685" s="2"/>
    </row>
    <row r="686" spans="5:14" x14ac:dyDescent="0.35">
      <c r="E686" s="2"/>
      <c r="F686" s="2"/>
      <c r="G686" s="3"/>
      <c r="H686" s="3"/>
      <c r="I686" s="3"/>
      <c r="J686" s="3"/>
      <c r="K686" s="3"/>
      <c r="L686" s="3"/>
      <c r="M686" s="2"/>
      <c r="N686" s="2"/>
    </row>
    <row r="687" spans="5:14" x14ac:dyDescent="0.35">
      <c r="E687" s="2"/>
      <c r="F687" s="2"/>
      <c r="G687" s="3"/>
      <c r="H687" s="3"/>
      <c r="I687" s="3"/>
      <c r="J687" s="3"/>
      <c r="K687" s="3"/>
      <c r="L687" s="3"/>
      <c r="M687" s="2"/>
      <c r="N687" s="2"/>
    </row>
    <row r="688" spans="5:14" x14ac:dyDescent="0.35">
      <c r="E688" s="2"/>
      <c r="F688" s="2"/>
      <c r="G688" s="3"/>
      <c r="H688" s="3"/>
      <c r="I688" s="3"/>
      <c r="J688" s="3"/>
      <c r="K688" s="3"/>
      <c r="L688" s="3"/>
      <c r="M688" s="2"/>
      <c r="N688" s="2"/>
    </row>
    <row r="689" spans="5:14" x14ac:dyDescent="0.35">
      <c r="E689" s="2"/>
      <c r="F689" s="2"/>
      <c r="G689" s="3"/>
      <c r="H689" s="3"/>
      <c r="I689" s="3"/>
      <c r="J689" s="3"/>
      <c r="K689" s="3"/>
      <c r="L689" s="3"/>
      <c r="M689" s="2"/>
      <c r="N689" s="2"/>
    </row>
    <row r="690" spans="5:14" x14ac:dyDescent="0.35">
      <c r="E690" s="2"/>
      <c r="F690" s="2"/>
      <c r="G690" s="3"/>
      <c r="H690" s="3"/>
      <c r="I690" s="3"/>
      <c r="J690" s="3"/>
      <c r="K690" s="3"/>
      <c r="L690" s="3"/>
      <c r="M690" s="2"/>
      <c r="N690" s="2"/>
    </row>
    <row r="691" spans="5:14" x14ac:dyDescent="0.35">
      <c r="E691" s="2"/>
      <c r="F691" s="2"/>
      <c r="G691" s="3"/>
      <c r="H691" s="3"/>
      <c r="I691" s="3"/>
      <c r="J691" s="3"/>
      <c r="K691" s="3"/>
      <c r="L691" s="3"/>
      <c r="M691" s="2"/>
      <c r="N691" s="2"/>
    </row>
    <row r="692" spans="5:14" x14ac:dyDescent="0.35">
      <c r="E692" s="2"/>
      <c r="F692" s="2"/>
      <c r="G692" s="3"/>
      <c r="H692" s="3"/>
      <c r="I692" s="3"/>
      <c r="J692" s="3"/>
      <c r="K692" s="3"/>
      <c r="L692" s="3"/>
      <c r="M692" s="2"/>
      <c r="N692" s="2"/>
    </row>
    <row r="693" spans="5:14" x14ac:dyDescent="0.35">
      <c r="E693" s="2"/>
      <c r="F693" s="2"/>
      <c r="G693" s="3"/>
      <c r="H693" s="3"/>
      <c r="I693" s="3"/>
      <c r="J693" s="3"/>
      <c r="K693" s="3"/>
      <c r="L693" s="3"/>
      <c r="M693" s="2"/>
      <c r="N693" s="2"/>
    </row>
    <row r="694" spans="5:14" x14ac:dyDescent="0.35">
      <c r="E694" s="2"/>
      <c r="F694" s="2"/>
      <c r="G694" s="3"/>
      <c r="H694" s="3"/>
      <c r="I694" s="3"/>
      <c r="J694" s="3"/>
      <c r="K694" s="3"/>
      <c r="L694" s="3"/>
      <c r="M694" s="2"/>
      <c r="N694" s="2"/>
    </row>
    <row r="695" spans="5:14" x14ac:dyDescent="0.35">
      <c r="E695" s="2"/>
      <c r="F695" s="2"/>
      <c r="G695" s="3"/>
      <c r="H695" s="3"/>
      <c r="I695" s="3"/>
      <c r="J695" s="3"/>
      <c r="K695" s="3"/>
      <c r="L695" s="3"/>
      <c r="M695" s="2"/>
      <c r="N695" s="2"/>
    </row>
    <row r="696" spans="5:14" x14ac:dyDescent="0.35">
      <c r="E696" s="2"/>
      <c r="F696" s="2"/>
      <c r="G696" s="3"/>
      <c r="H696" s="3"/>
      <c r="I696" s="3"/>
      <c r="J696" s="3"/>
      <c r="K696" s="3"/>
      <c r="L696" s="3"/>
      <c r="M696" s="2"/>
      <c r="N696" s="2"/>
    </row>
    <row r="697" spans="5:14" x14ac:dyDescent="0.35">
      <c r="E697" s="2"/>
      <c r="F697" s="2"/>
      <c r="G697" s="3"/>
      <c r="H697" s="3"/>
      <c r="I697" s="3"/>
      <c r="J697" s="3"/>
      <c r="K697" s="3"/>
      <c r="L697" s="3"/>
      <c r="M697" s="2"/>
      <c r="N697" s="2"/>
    </row>
    <row r="698" spans="5:14" x14ac:dyDescent="0.35">
      <c r="E698" s="2"/>
      <c r="F698" s="2"/>
      <c r="G698" s="3"/>
      <c r="H698" s="3"/>
      <c r="I698" s="3"/>
      <c r="J698" s="3"/>
      <c r="K698" s="3"/>
      <c r="L698" s="3"/>
      <c r="M698" s="2"/>
      <c r="N698" s="2"/>
    </row>
    <row r="699" spans="5:14" x14ac:dyDescent="0.35">
      <c r="E699" s="2"/>
      <c r="F699" s="2"/>
      <c r="G699" s="3"/>
      <c r="H699" s="3"/>
      <c r="I699" s="3"/>
      <c r="J699" s="3"/>
      <c r="K699" s="3"/>
      <c r="L699" s="3"/>
      <c r="M699" s="2"/>
      <c r="N699" s="2"/>
    </row>
    <row r="700" spans="5:14" x14ac:dyDescent="0.35">
      <c r="E700" s="2"/>
      <c r="F700" s="2"/>
      <c r="G700" s="3"/>
      <c r="H700" s="3"/>
      <c r="I700" s="3"/>
      <c r="J700" s="3"/>
      <c r="K700" s="3"/>
      <c r="L700" s="3"/>
      <c r="M700" s="2"/>
      <c r="N700" s="2"/>
    </row>
    <row r="701" spans="5:14" x14ac:dyDescent="0.35">
      <c r="E701" s="2"/>
      <c r="F701" s="2"/>
      <c r="G701" s="3"/>
      <c r="H701" s="3"/>
      <c r="I701" s="3"/>
      <c r="J701" s="3"/>
      <c r="K701" s="3"/>
      <c r="L701" s="3"/>
      <c r="M701" s="2"/>
      <c r="N701" s="2"/>
    </row>
    <row r="702" spans="5:14" x14ac:dyDescent="0.35">
      <c r="E702" s="2"/>
      <c r="F702" s="2"/>
      <c r="G702" s="3"/>
      <c r="H702" s="3"/>
      <c r="I702" s="3"/>
      <c r="J702" s="3"/>
      <c r="K702" s="3"/>
      <c r="L702" s="3"/>
      <c r="M702" s="2"/>
      <c r="N702" s="2"/>
    </row>
    <row r="703" spans="5:14" x14ac:dyDescent="0.35">
      <c r="E703" s="2"/>
      <c r="F703" s="2"/>
      <c r="G703" s="3"/>
      <c r="H703" s="3"/>
      <c r="I703" s="3"/>
      <c r="J703" s="3"/>
      <c r="K703" s="3"/>
      <c r="L703" s="3"/>
      <c r="M703" s="2"/>
      <c r="N703" s="2"/>
    </row>
    <row r="704" spans="5:14" x14ac:dyDescent="0.35">
      <c r="E704" s="2"/>
      <c r="F704" s="2"/>
      <c r="G704" s="3"/>
      <c r="H704" s="3"/>
      <c r="I704" s="3"/>
      <c r="J704" s="3"/>
      <c r="K704" s="3"/>
      <c r="L704" s="3"/>
      <c r="M704" s="2"/>
      <c r="N704" s="2"/>
    </row>
    <row r="705" spans="5:14" x14ac:dyDescent="0.35">
      <c r="E705" s="2"/>
      <c r="F705" s="2"/>
      <c r="G705" s="3"/>
      <c r="H705" s="3"/>
      <c r="I705" s="3"/>
      <c r="J705" s="3"/>
      <c r="K705" s="3"/>
      <c r="L705" s="3"/>
      <c r="M705" s="2"/>
      <c r="N705" s="2"/>
    </row>
    <row r="706" spans="5:14" x14ac:dyDescent="0.35">
      <c r="E706" s="2"/>
      <c r="F706" s="2"/>
      <c r="G706" s="3"/>
      <c r="H706" s="3"/>
      <c r="I706" s="3"/>
      <c r="J706" s="3"/>
      <c r="K706" s="3"/>
      <c r="L706" s="3"/>
      <c r="M706" s="2"/>
      <c r="N706" s="2"/>
    </row>
    <row r="707" spans="5:14" x14ac:dyDescent="0.35">
      <c r="E707" s="2"/>
      <c r="F707" s="2"/>
      <c r="G707" s="3"/>
      <c r="H707" s="3"/>
      <c r="I707" s="3"/>
      <c r="J707" s="3"/>
      <c r="K707" s="3"/>
      <c r="L707" s="3"/>
      <c r="M707" s="2"/>
      <c r="N707" s="2"/>
    </row>
    <row r="708" spans="5:14" x14ac:dyDescent="0.35">
      <c r="E708" s="2"/>
      <c r="F708" s="2"/>
      <c r="G708" s="3"/>
      <c r="H708" s="3"/>
      <c r="I708" s="3"/>
      <c r="J708" s="3"/>
      <c r="K708" s="3"/>
      <c r="L708" s="3"/>
      <c r="M708" s="2"/>
      <c r="N708" s="2"/>
    </row>
    <row r="709" spans="5:14" x14ac:dyDescent="0.35">
      <c r="E709" s="2"/>
      <c r="F709" s="2"/>
      <c r="G709" s="3"/>
      <c r="H709" s="3"/>
      <c r="I709" s="3"/>
      <c r="J709" s="3"/>
      <c r="K709" s="3"/>
      <c r="L709" s="3"/>
      <c r="M709" s="2"/>
      <c r="N709" s="2"/>
    </row>
    <row r="710" spans="5:14" x14ac:dyDescent="0.35">
      <c r="E710" s="2"/>
      <c r="F710" s="2"/>
      <c r="G710" s="3"/>
      <c r="H710" s="3"/>
      <c r="I710" s="3"/>
      <c r="J710" s="3"/>
      <c r="K710" s="3"/>
      <c r="L710" s="3"/>
      <c r="M710" s="2"/>
      <c r="N710" s="2"/>
    </row>
    <row r="711" spans="5:14" x14ac:dyDescent="0.35">
      <c r="E711" s="2"/>
      <c r="F711" s="2"/>
      <c r="G711" s="3"/>
      <c r="H711" s="3"/>
      <c r="I711" s="3"/>
      <c r="J711" s="3"/>
      <c r="K711" s="3"/>
      <c r="L711" s="3"/>
      <c r="M711" s="2"/>
      <c r="N711" s="2"/>
    </row>
    <row r="712" spans="5:14" x14ac:dyDescent="0.35">
      <c r="E712" s="2"/>
      <c r="F712" s="2"/>
      <c r="G712" s="3"/>
      <c r="H712" s="3"/>
      <c r="I712" s="3"/>
      <c r="J712" s="3"/>
      <c r="K712" s="3"/>
      <c r="L712" s="3"/>
      <c r="M712" s="2"/>
      <c r="N712" s="2"/>
    </row>
    <row r="713" spans="5:14" x14ac:dyDescent="0.35">
      <c r="E713" s="2"/>
      <c r="F713" s="2"/>
      <c r="G713" s="3"/>
      <c r="H713" s="3"/>
      <c r="I713" s="3"/>
      <c r="J713" s="3"/>
      <c r="K713" s="3"/>
      <c r="L713" s="3"/>
      <c r="M713" s="2"/>
      <c r="N713" s="2"/>
    </row>
    <row r="714" spans="5:14" x14ac:dyDescent="0.35">
      <c r="E714" s="2"/>
      <c r="F714" s="2"/>
      <c r="G714" s="3"/>
      <c r="H714" s="3"/>
      <c r="I714" s="3"/>
      <c r="J714" s="3"/>
      <c r="K714" s="3"/>
      <c r="L714" s="3"/>
      <c r="M714" s="2"/>
      <c r="N714" s="2"/>
    </row>
    <row r="715" spans="5:14" x14ac:dyDescent="0.35">
      <c r="E715" s="2"/>
      <c r="F715" s="2"/>
      <c r="G715" s="3"/>
      <c r="H715" s="3"/>
      <c r="I715" s="3"/>
      <c r="J715" s="3"/>
      <c r="K715" s="3"/>
      <c r="L715" s="3"/>
      <c r="M715" s="2"/>
      <c r="N715" s="2"/>
    </row>
    <row r="716" spans="5:14" x14ac:dyDescent="0.35">
      <c r="E716" s="2"/>
      <c r="F716" s="2"/>
      <c r="G716" s="3"/>
      <c r="H716" s="3"/>
      <c r="I716" s="3"/>
      <c r="J716" s="3"/>
      <c r="K716" s="3"/>
      <c r="L716" s="3"/>
      <c r="M716" s="2"/>
      <c r="N716" s="2"/>
    </row>
    <row r="717" spans="5:14" x14ac:dyDescent="0.35">
      <c r="E717" s="2"/>
      <c r="F717" s="2"/>
      <c r="G717" s="3"/>
      <c r="H717" s="3"/>
      <c r="I717" s="3"/>
      <c r="J717" s="3"/>
      <c r="K717" s="3"/>
      <c r="L717" s="3"/>
      <c r="M717" s="2"/>
      <c r="N717" s="2"/>
    </row>
    <row r="718" spans="5:14" x14ac:dyDescent="0.35">
      <c r="E718" s="2"/>
      <c r="F718" s="2"/>
      <c r="G718" s="3"/>
      <c r="H718" s="3"/>
      <c r="I718" s="3"/>
      <c r="J718" s="3"/>
      <c r="K718" s="3"/>
      <c r="L718" s="3"/>
      <c r="M718" s="2"/>
      <c r="N718" s="2"/>
    </row>
    <row r="719" spans="5:14" x14ac:dyDescent="0.35">
      <c r="E719" s="2"/>
      <c r="F719" s="2"/>
      <c r="G719" s="3"/>
      <c r="H719" s="3"/>
      <c r="I719" s="3"/>
      <c r="J719" s="3"/>
      <c r="K719" s="3"/>
      <c r="L719" s="3"/>
      <c r="M719" s="2"/>
      <c r="N719" s="2"/>
    </row>
    <row r="720" spans="5:14" x14ac:dyDescent="0.35">
      <c r="E720" s="2"/>
      <c r="F720" s="2"/>
      <c r="G720" s="3"/>
      <c r="H720" s="3"/>
      <c r="I720" s="3"/>
      <c r="J720" s="3"/>
      <c r="K720" s="3"/>
      <c r="L720" s="3"/>
      <c r="M720" s="2"/>
      <c r="N720" s="2"/>
    </row>
    <row r="721" spans="5:14" x14ac:dyDescent="0.35">
      <c r="E721" s="2"/>
      <c r="F721" s="2"/>
      <c r="G721" s="3"/>
      <c r="H721" s="3"/>
      <c r="I721" s="3"/>
      <c r="J721" s="3"/>
      <c r="K721" s="3"/>
      <c r="L721" s="3"/>
      <c r="M721" s="2"/>
      <c r="N721" s="2"/>
    </row>
    <row r="722" spans="5:14" x14ac:dyDescent="0.35">
      <c r="E722" s="2"/>
      <c r="F722" s="2"/>
      <c r="G722" s="3"/>
      <c r="H722" s="3"/>
      <c r="I722" s="3"/>
      <c r="J722" s="3"/>
      <c r="K722" s="3"/>
      <c r="L722" s="3"/>
      <c r="M722" s="2"/>
      <c r="N722" s="2"/>
    </row>
    <row r="723" spans="5:14" x14ac:dyDescent="0.35">
      <c r="E723" s="2"/>
      <c r="F723" s="2"/>
      <c r="G723" s="3"/>
      <c r="H723" s="3"/>
      <c r="I723" s="3"/>
      <c r="J723" s="3"/>
      <c r="K723" s="3"/>
      <c r="L723" s="3"/>
      <c r="M723" s="2"/>
      <c r="N723" s="2"/>
    </row>
    <row r="724" spans="5:14" x14ac:dyDescent="0.35">
      <c r="E724" s="2"/>
      <c r="F724" s="2"/>
      <c r="G724" s="3"/>
      <c r="H724" s="3"/>
      <c r="I724" s="3"/>
      <c r="J724" s="3"/>
      <c r="K724" s="3"/>
      <c r="L724" s="3"/>
      <c r="M724" s="2"/>
      <c r="N724" s="2"/>
    </row>
    <row r="725" spans="5:14" x14ac:dyDescent="0.35">
      <c r="E725" s="2"/>
      <c r="F725" s="2"/>
      <c r="G725" s="3"/>
      <c r="H725" s="3"/>
      <c r="I725" s="3"/>
      <c r="J725" s="3"/>
      <c r="K725" s="3"/>
      <c r="L725" s="3"/>
      <c r="M725" s="2"/>
      <c r="N725" s="2"/>
    </row>
    <row r="726" spans="5:14" x14ac:dyDescent="0.35">
      <c r="E726" s="2"/>
      <c r="F726" s="2"/>
      <c r="G726" s="3"/>
      <c r="H726" s="3"/>
      <c r="I726" s="3"/>
      <c r="J726" s="3"/>
      <c r="K726" s="3"/>
      <c r="L726" s="3"/>
      <c r="M726" s="2"/>
      <c r="N726" s="2"/>
    </row>
    <row r="727" spans="5:14" x14ac:dyDescent="0.35">
      <c r="E727" s="2"/>
      <c r="F727" s="2"/>
      <c r="G727" s="3"/>
      <c r="H727" s="3"/>
      <c r="I727" s="3"/>
      <c r="J727" s="3"/>
      <c r="K727" s="3"/>
      <c r="L727" s="3"/>
      <c r="M727" s="2"/>
      <c r="N727" s="2"/>
    </row>
    <row r="728" spans="5:14" x14ac:dyDescent="0.35">
      <c r="E728" s="2"/>
      <c r="F728" s="2"/>
      <c r="G728" s="3"/>
      <c r="H728" s="3"/>
      <c r="I728" s="3"/>
      <c r="J728" s="3"/>
      <c r="K728" s="3"/>
      <c r="L728" s="3"/>
      <c r="M728" s="2"/>
      <c r="N728" s="2"/>
    </row>
    <row r="729" spans="5:14" x14ac:dyDescent="0.35">
      <c r="E729" s="2"/>
      <c r="F729" s="2"/>
      <c r="G729" s="3"/>
      <c r="H729" s="3"/>
      <c r="I729" s="3"/>
      <c r="J729" s="3"/>
      <c r="K729" s="3"/>
      <c r="L729" s="3"/>
      <c r="M729" s="2"/>
      <c r="N729" s="2"/>
    </row>
    <row r="730" spans="5:14" x14ac:dyDescent="0.35">
      <c r="E730" s="2"/>
      <c r="F730" s="2"/>
      <c r="G730" s="3"/>
      <c r="H730" s="3"/>
      <c r="I730" s="3"/>
      <c r="J730" s="3"/>
      <c r="K730" s="3"/>
      <c r="L730" s="3"/>
      <c r="M730" s="2"/>
      <c r="N730" s="2"/>
    </row>
    <row r="731" spans="5:14" x14ac:dyDescent="0.35">
      <c r="E731" s="2"/>
      <c r="F731" s="2"/>
      <c r="G731" s="3"/>
      <c r="H731" s="3"/>
      <c r="I731" s="3"/>
      <c r="J731" s="3"/>
      <c r="K731" s="3"/>
      <c r="L731" s="3"/>
      <c r="M731" s="2"/>
      <c r="N731" s="2"/>
    </row>
    <row r="732" spans="5:14" x14ac:dyDescent="0.35">
      <c r="E732" s="2"/>
      <c r="F732" s="2"/>
      <c r="G732" s="3"/>
      <c r="H732" s="3"/>
      <c r="I732" s="3"/>
      <c r="J732" s="3"/>
      <c r="K732" s="3"/>
      <c r="L732" s="3"/>
      <c r="M732" s="2"/>
      <c r="N732" s="2"/>
    </row>
    <row r="733" spans="5:14" x14ac:dyDescent="0.35">
      <c r="E733" s="2"/>
      <c r="F733" s="2"/>
      <c r="G733" s="3"/>
      <c r="H733" s="3"/>
      <c r="I733" s="3"/>
      <c r="J733" s="3"/>
      <c r="K733" s="3"/>
      <c r="L733" s="3"/>
      <c r="M733" s="2"/>
      <c r="N733" s="2"/>
    </row>
    <row r="734" spans="5:14" x14ac:dyDescent="0.35">
      <c r="E734" s="2"/>
      <c r="F734" s="2"/>
      <c r="G734" s="3"/>
      <c r="H734" s="3"/>
      <c r="I734" s="3"/>
      <c r="J734" s="3"/>
      <c r="K734" s="3"/>
      <c r="L734" s="3"/>
      <c r="M734" s="2"/>
      <c r="N734" s="2"/>
    </row>
    <row r="735" spans="5:14" x14ac:dyDescent="0.35">
      <c r="E735" s="2"/>
      <c r="F735" s="2"/>
      <c r="G735" s="3"/>
      <c r="H735" s="3"/>
      <c r="I735" s="3"/>
      <c r="J735" s="3"/>
      <c r="K735" s="3"/>
      <c r="L735" s="3"/>
      <c r="M735" s="2"/>
      <c r="N735" s="2"/>
    </row>
    <row r="736" spans="5:14" x14ac:dyDescent="0.35">
      <c r="E736" s="2"/>
      <c r="F736" s="2"/>
      <c r="G736" s="3"/>
      <c r="H736" s="3"/>
      <c r="I736" s="3"/>
      <c r="J736" s="3"/>
      <c r="K736" s="3"/>
      <c r="L736" s="3"/>
      <c r="M736" s="2"/>
      <c r="N736" s="2"/>
    </row>
    <row r="737" spans="5:14" x14ac:dyDescent="0.35">
      <c r="E737" s="2"/>
      <c r="F737" s="2"/>
      <c r="G737" s="3"/>
      <c r="H737" s="3"/>
      <c r="I737" s="3"/>
      <c r="J737" s="3"/>
      <c r="K737" s="3"/>
      <c r="L737" s="3"/>
      <c r="M737" s="2"/>
      <c r="N737" s="2"/>
    </row>
    <row r="738" spans="5:14" x14ac:dyDescent="0.35">
      <c r="E738" s="2"/>
      <c r="F738" s="2"/>
      <c r="G738" s="3"/>
      <c r="H738" s="3"/>
      <c r="I738" s="3"/>
      <c r="J738" s="3"/>
      <c r="K738" s="3"/>
      <c r="L738" s="3"/>
      <c r="M738" s="2"/>
      <c r="N738" s="2"/>
    </row>
    <row r="739" spans="5:14" x14ac:dyDescent="0.35">
      <c r="E739" s="2"/>
      <c r="F739" s="2"/>
      <c r="G739" s="3"/>
      <c r="H739" s="3"/>
      <c r="I739" s="3"/>
      <c r="J739" s="3"/>
      <c r="K739" s="3"/>
      <c r="L739" s="3"/>
      <c r="M739" s="2"/>
      <c r="N739" s="2"/>
    </row>
    <row r="740" spans="5:14" x14ac:dyDescent="0.35">
      <c r="E740" s="2"/>
      <c r="F740" s="2"/>
      <c r="G740" s="3"/>
      <c r="H740" s="3"/>
      <c r="I740" s="3"/>
      <c r="J740" s="3"/>
      <c r="K740" s="3"/>
      <c r="L740" s="3"/>
      <c r="M740" s="2"/>
      <c r="N740" s="2"/>
    </row>
    <row r="741" spans="5:14" x14ac:dyDescent="0.35">
      <c r="E741" s="2"/>
      <c r="F741" s="2"/>
      <c r="G741" s="3"/>
      <c r="H741" s="3"/>
      <c r="I741" s="3"/>
      <c r="J741" s="3"/>
      <c r="K741" s="3"/>
      <c r="L741" s="3"/>
      <c r="M741" s="2"/>
      <c r="N741" s="2"/>
    </row>
    <row r="742" spans="5:14" x14ac:dyDescent="0.35">
      <c r="E742" s="2"/>
      <c r="F742" s="2"/>
      <c r="G742" s="3"/>
      <c r="H742" s="3"/>
      <c r="I742" s="3"/>
      <c r="J742" s="3"/>
      <c r="K742" s="3"/>
      <c r="L742" s="3"/>
      <c r="M742" s="2"/>
      <c r="N742" s="2"/>
    </row>
    <row r="743" spans="5:14" x14ac:dyDescent="0.35">
      <c r="E743" s="2"/>
      <c r="F743" s="2"/>
      <c r="G743" s="3"/>
      <c r="H743" s="3"/>
      <c r="I743" s="3"/>
      <c r="J743" s="3"/>
      <c r="K743" s="3"/>
      <c r="L743" s="3"/>
      <c r="M743" s="2"/>
      <c r="N743" s="2"/>
    </row>
    <row r="744" spans="5:14" x14ac:dyDescent="0.35">
      <c r="E744" s="2"/>
      <c r="F744" s="2"/>
      <c r="G744" s="3"/>
      <c r="H744" s="3"/>
      <c r="I744" s="3"/>
      <c r="J744" s="3"/>
      <c r="K744" s="3"/>
      <c r="L744" s="3"/>
      <c r="M744" s="2"/>
      <c r="N744" s="2"/>
    </row>
    <row r="745" spans="5:14" x14ac:dyDescent="0.35">
      <c r="E745" s="2"/>
      <c r="F745" s="2"/>
      <c r="G745" s="3"/>
      <c r="H745" s="3"/>
      <c r="I745" s="3"/>
      <c r="J745" s="3"/>
      <c r="K745" s="3"/>
      <c r="L745" s="3"/>
      <c r="M745" s="2"/>
      <c r="N745" s="2"/>
    </row>
    <row r="746" spans="5:14" x14ac:dyDescent="0.35">
      <c r="E746" s="2"/>
      <c r="F746" s="2"/>
      <c r="G746" s="3"/>
      <c r="H746" s="3"/>
      <c r="I746" s="3"/>
      <c r="J746" s="3"/>
      <c r="K746" s="3"/>
      <c r="L746" s="3"/>
      <c r="M746" s="2"/>
      <c r="N746" s="2"/>
    </row>
    <row r="747" spans="5:14" x14ac:dyDescent="0.35">
      <c r="E747" s="2"/>
      <c r="F747" s="2"/>
      <c r="G747" s="3"/>
      <c r="H747" s="3"/>
      <c r="I747" s="3"/>
      <c r="J747" s="3"/>
      <c r="K747" s="3"/>
      <c r="L747" s="3"/>
      <c r="M747" s="2"/>
      <c r="N747" s="2"/>
    </row>
    <row r="748" spans="5:14" x14ac:dyDescent="0.35">
      <c r="E748" s="2"/>
      <c r="F748" s="2"/>
      <c r="G748" s="3"/>
      <c r="H748" s="3"/>
      <c r="I748" s="3"/>
      <c r="J748" s="3"/>
      <c r="K748" s="3"/>
      <c r="L748" s="3"/>
      <c r="M748" s="2"/>
      <c r="N748" s="2"/>
    </row>
    <row r="749" spans="5:14" x14ac:dyDescent="0.35">
      <c r="E749" s="2"/>
      <c r="F749" s="2"/>
      <c r="G749" s="3"/>
      <c r="H749" s="3"/>
      <c r="I749" s="3"/>
      <c r="J749" s="3"/>
      <c r="K749" s="3"/>
      <c r="L749" s="3"/>
      <c r="M749" s="2"/>
      <c r="N749" s="2"/>
    </row>
    <row r="750" spans="5:14" x14ac:dyDescent="0.35">
      <c r="E750" s="2"/>
      <c r="F750" s="2"/>
      <c r="G750" s="3"/>
      <c r="H750" s="3"/>
      <c r="I750" s="3"/>
      <c r="J750" s="3"/>
      <c r="K750" s="3"/>
      <c r="L750" s="3"/>
      <c r="M750" s="2"/>
      <c r="N750" s="2"/>
    </row>
    <row r="751" spans="5:14" x14ac:dyDescent="0.35">
      <c r="E751" s="2"/>
      <c r="F751" s="2"/>
      <c r="G751" s="3"/>
      <c r="H751" s="3"/>
      <c r="I751" s="3"/>
      <c r="J751" s="3"/>
      <c r="K751" s="3"/>
      <c r="L751" s="3"/>
      <c r="M751" s="2"/>
      <c r="N751" s="2"/>
    </row>
    <row r="752" spans="5:14" x14ac:dyDescent="0.35">
      <c r="E752" s="2"/>
      <c r="F752" s="2"/>
      <c r="G752" s="3"/>
      <c r="H752" s="3"/>
      <c r="I752" s="3"/>
      <c r="J752" s="3"/>
      <c r="K752" s="3"/>
      <c r="L752" s="3"/>
      <c r="M752" s="2"/>
      <c r="N752" s="2"/>
    </row>
    <row r="753" spans="5:14" x14ac:dyDescent="0.35">
      <c r="E753" s="2"/>
      <c r="F753" s="2"/>
      <c r="G753" s="3"/>
      <c r="H753" s="3"/>
      <c r="I753" s="3"/>
      <c r="J753" s="3"/>
      <c r="K753" s="3"/>
      <c r="L753" s="3"/>
      <c r="M753" s="2"/>
      <c r="N753" s="2"/>
    </row>
    <row r="754" spans="5:14" x14ac:dyDescent="0.35">
      <c r="E754" s="2"/>
      <c r="F754" s="2"/>
      <c r="G754" s="3"/>
      <c r="H754" s="3"/>
      <c r="I754" s="3"/>
      <c r="J754" s="3"/>
      <c r="K754" s="3"/>
      <c r="L754" s="3"/>
      <c r="M754" s="2"/>
      <c r="N754" s="2"/>
    </row>
    <row r="755" spans="5:14" x14ac:dyDescent="0.35">
      <c r="E755" s="2"/>
      <c r="F755" s="2"/>
      <c r="G755" s="3"/>
      <c r="H755" s="3"/>
      <c r="I755" s="3"/>
      <c r="J755" s="3"/>
      <c r="K755" s="3"/>
      <c r="L755" s="3"/>
      <c r="M755" s="2"/>
      <c r="N755" s="2"/>
    </row>
    <row r="756" spans="5:14" x14ac:dyDescent="0.35">
      <c r="E756" s="2"/>
      <c r="F756" s="2"/>
      <c r="G756" s="3"/>
      <c r="H756" s="3"/>
      <c r="I756" s="3"/>
      <c r="J756" s="3"/>
      <c r="K756" s="3"/>
      <c r="L756" s="3"/>
      <c r="M756" s="2"/>
      <c r="N756" s="2"/>
    </row>
    <row r="757" spans="5:14" x14ac:dyDescent="0.35">
      <c r="E757" s="2"/>
      <c r="F757" s="2"/>
      <c r="G757" s="3"/>
      <c r="H757" s="3"/>
      <c r="I757" s="3"/>
      <c r="J757" s="3"/>
      <c r="K757" s="3"/>
      <c r="L757" s="3"/>
      <c r="M757" s="2"/>
      <c r="N757" s="2"/>
    </row>
    <row r="758" spans="5:14" x14ac:dyDescent="0.35">
      <c r="E758" s="2"/>
      <c r="F758" s="2"/>
      <c r="G758" s="3"/>
      <c r="H758" s="3"/>
      <c r="I758" s="3"/>
      <c r="J758" s="3"/>
      <c r="K758" s="3"/>
      <c r="L758" s="3"/>
      <c r="M758" s="2"/>
      <c r="N758" s="2"/>
    </row>
    <row r="759" spans="5:14" x14ac:dyDescent="0.35">
      <c r="E759" s="2"/>
      <c r="F759" s="2"/>
      <c r="G759" s="3"/>
      <c r="H759" s="3"/>
      <c r="I759" s="3"/>
      <c r="J759" s="3"/>
      <c r="K759" s="3"/>
      <c r="L759" s="3"/>
      <c r="M759" s="2"/>
      <c r="N759" s="2"/>
    </row>
    <row r="760" spans="5:14" x14ac:dyDescent="0.35">
      <c r="E760" s="2"/>
      <c r="F760" s="2"/>
      <c r="G760" s="3"/>
      <c r="H760" s="3"/>
      <c r="I760" s="3"/>
      <c r="J760" s="3"/>
      <c r="K760" s="3"/>
      <c r="L760" s="3"/>
      <c r="M760" s="2"/>
      <c r="N760" s="2"/>
    </row>
    <row r="761" spans="5:14" x14ac:dyDescent="0.35">
      <c r="E761" s="2"/>
      <c r="F761" s="2"/>
      <c r="G761" s="3"/>
      <c r="H761" s="3"/>
      <c r="I761" s="3"/>
      <c r="J761" s="3"/>
      <c r="K761" s="3"/>
      <c r="L761" s="3"/>
      <c r="M761" s="2"/>
      <c r="N761" s="2"/>
    </row>
    <row r="762" spans="5:14" x14ac:dyDescent="0.35">
      <c r="E762" s="2"/>
      <c r="F762" s="2"/>
      <c r="G762" s="3"/>
      <c r="H762" s="3"/>
      <c r="I762" s="3"/>
      <c r="J762" s="3"/>
      <c r="K762" s="3"/>
      <c r="L762" s="3"/>
      <c r="M762" s="2"/>
      <c r="N762" s="2"/>
    </row>
    <row r="763" spans="5:14" x14ac:dyDescent="0.35">
      <c r="E763" s="2"/>
      <c r="F763" s="2"/>
      <c r="G763" s="3"/>
      <c r="H763" s="3"/>
      <c r="I763" s="3"/>
      <c r="J763" s="3"/>
      <c r="K763" s="3"/>
      <c r="L763" s="3"/>
      <c r="M763" s="2"/>
      <c r="N763" s="2"/>
    </row>
    <row r="764" spans="5:14" x14ac:dyDescent="0.35">
      <c r="E764" s="2"/>
      <c r="F764" s="2"/>
      <c r="G764" s="3"/>
      <c r="H764" s="3"/>
      <c r="I764" s="3"/>
      <c r="J764" s="3"/>
      <c r="K764" s="3"/>
      <c r="L764" s="3"/>
      <c r="M764" s="2"/>
      <c r="N764" s="2"/>
    </row>
    <row r="765" spans="5:14" x14ac:dyDescent="0.35">
      <c r="E765" s="2"/>
      <c r="F765" s="2"/>
      <c r="G765" s="3"/>
      <c r="H765" s="3"/>
      <c r="I765" s="3"/>
      <c r="J765" s="3"/>
      <c r="K765" s="3"/>
      <c r="L765" s="3"/>
      <c r="M765" s="2"/>
      <c r="N765" s="2"/>
    </row>
    <row r="766" spans="5:14" x14ac:dyDescent="0.35">
      <c r="E766" s="2"/>
      <c r="F766" s="2"/>
      <c r="G766" s="3"/>
      <c r="H766" s="3"/>
      <c r="I766" s="3"/>
      <c r="J766" s="3"/>
      <c r="K766" s="3"/>
      <c r="L766" s="3"/>
      <c r="M766" s="2"/>
      <c r="N766" s="2"/>
    </row>
    <row r="767" spans="5:14" x14ac:dyDescent="0.35">
      <c r="E767" s="2"/>
      <c r="F767" s="2"/>
      <c r="G767" s="3"/>
      <c r="H767" s="3"/>
      <c r="I767" s="3"/>
      <c r="J767" s="3"/>
      <c r="K767" s="3"/>
      <c r="L767" s="3"/>
      <c r="M767" s="2"/>
      <c r="N767" s="2"/>
    </row>
    <row r="768" spans="5:14" x14ac:dyDescent="0.35">
      <c r="E768" s="2"/>
      <c r="F768" s="2"/>
      <c r="G768" s="3"/>
      <c r="H768" s="3"/>
      <c r="I768" s="3"/>
      <c r="J768" s="3"/>
      <c r="K768" s="3"/>
      <c r="L768" s="3"/>
      <c r="M768" s="2"/>
      <c r="N768" s="2"/>
    </row>
    <row r="769" spans="5:14" x14ac:dyDescent="0.35">
      <c r="E769" s="2"/>
      <c r="F769" s="2"/>
      <c r="G769" s="3"/>
      <c r="H769" s="3"/>
      <c r="I769" s="3"/>
      <c r="J769" s="3"/>
      <c r="K769" s="3"/>
      <c r="L769" s="3"/>
      <c r="M769" s="2"/>
      <c r="N769" s="2"/>
    </row>
    <row r="770" spans="5:14" x14ac:dyDescent="0.35">
      <c r="E770" s="2"/>
      <c r="F770" s="2"/>
      <c r="G770" s="3"/>
      <c r="H770" s="3"/>
      <c r="I770" s="3"/>
      <c r="J770" s="3"/>
      <c r="K770" s="3"/>
      <c r="L770" s="3"/>
      <c r="M770" s="2"/>
      <c r="N770" s="2"/>
    </row>
    <row r="771" spans="5:14" x14ac:dyDescent="0.35">
      <c r="E771" s="2"/>
      <c r="F771" s="2"/>
      <c r="G771" s="3"/>
      <c r="H771" s="3"/>
      <c r="I771" s="3"/>
      <c r="J771" s="3"/>
      <c r="K771" s="3"/>
      <c r="L771" s="3"/>
      <c r="M771" s="2"/>
      <c r="N771" s="2"/>
    </row>
    <row r="772" spans="5:14" x14ac:dyDescent="0.35">
      <c r="E772" s="2"/>
      <c r="F772" s="2"/>
      <c r="G772" s="3"/>
      <c r="H772" s="3"/>
      <c r="I772" s="3"/>
      <c r="J772" s="3"/>
      <c r="K772" s="3"/>
      <c r="L772" s="3"/>
      <c r="M772" s="2"/>
      <c r="N772" s="2"/>
    </row>
    <row r="773" spans="5:14" x14ac:dyDescent="0.35">
      <c r="E773" s="2"/>
      <c r="F773" s="2"/>
      <c r="G773" s="3"/>
      <c r="H773" s="3"/>
      <c r="I773" s="3"/>
      <c r="J773" s="3"/>
      <c r="K773" s="3"/>
      <c r="L773" s="3"/>
      <c r="M773" s="2"/>
      <c r="N773" s="2"/>
    </row>
    <row r="774" spans="5:14" x14ac:dyDescent="0.35">
      <c r="E774" s="2"/>
      <c r="F774" s="2"/>
      <c r="G774" s="3"/>
      <c r="H774" s="3"/>
      <c r="I774" s="3"/>
      <c r="J774" s="3"/>
      <c r="K774" s="3"/>
      <c r="L774" s="3"/>
      <c r="M774" s="2"/>
      <c r="N774" s="2"/>
    </row>
    <row r="775" spans="5:14" x14ac:dyDescent="0.35">
      <c r="E775" s="2"/>
      <c r="F775" s="2"/>
      <c r="G775" s="3"/>
      <c r="H775" s="3"/>
      <c r="I775" s="3"/>
      <c r="J775" s="3"/>
      <c r="K775" s="3"/>
      <c r="L775" s="3"/>
      <c r="M775" s="2"/>
      <c r="N775" s="2"/>
    </row>
    <row r="776" spans="5:14" x14ac:dyDescent="0.35">
      <c r="E776" s="2"/>
      <c r="F776" s="2"/>
      <c r="G776" s="3"/>
      <c r="H776" s="3"/>
      <c r="I776" s="3"/>
      <c r="J776" s="3"/>
      <c r="K776" s="3"/>
      <c r="L776" s="3"/>
      <c r="M776" s="2"/>
      <c r="N776" s="2"/>
    </row>
    <row r="777" spans="5:14" x14ac:dyDescent="0.35">
      <c r="E777" s="2"/>
      <c r="F777" s="2"/>
      <c r="G777" s="3"/>
      <c r="H777" s="3"/>
      <c r="I777" s="3"/>
      <c r="J777" s="3"/>
      <c r="K777" s="3"/>
      <c r="L777" s="3"/>
      <c r="M777" s="2"/>
      <c r="N777" s="2"/>
    </row>
    <row r="778" spans="5:14" x14ac:dyDescent="0.35">
      <c r="E778" s="2"/>
      <c r="F778" s="2"/>
      <c r="G778" s="3"/>
      <c r="H778" s="3"/>
      <c r="I778" s="3"/>
      <c r="J778" s="3"/>
      <c r="K778" s="3"/>
      <c r="L778" s="3"/>
      <c r="M778" s="2"/>
      <c r="N778" s="2"/>
    </row>
    <row r="779" spans="5:14" x14ac:dyDescent="0.35">
      <c r="E779" s="2"/>
      <c r="F779" s="2"/>
      <c r="G779" s="3"/>
      <c r="H779" s="3"/>
      <c r="I779" s="3"/>
      <c r="J779" s="3"/>
      <c r="K779" s="3"/>
      <c r="L779" s="3"/>
      <c r="M779" s="2"/>
      <c r="N779" s="2"/>
    </row>
    <row r="780" spans="5:14" x14ac:dyDescent="0.35">
      <c r="E780" s="2"/>
      <c r="F780" s="2"/>
      <c r="G780" s="3"/>
      <c r="H780" s="3"/>
      <c r="I780" s="3"/>
      <c r="J780" s="3"/>
      <c r="K780" s="3"/>
      <c r="L780" s="3"/>
      <c r="M780" s="2"/>
      <c r="N780" s="2"/>
    </row>
    <row r="781" spans="5:14" x14ac:dyDescent="0.35">
      <c r="E781" s="2"/>
      <c r="F781" s="2"/>
      <c r="G781" s="3"/>
      <c r="H781" s="3"/>
      <c r="I781" s="3"/>
      <c r="J781" s="3"/>
      <c r="K781" s="3"/>
      <c r="L781" s="3"/>
      <c r="M781" s="2"/>
      <c r="N781" s="2"/>
    </row>
    <row r="782" spans="5:14" x14ac:dyDescent="0.35">
      <c r="E782" s="2"/>
      <c r="F782" s="2"/>
      <c r="G782" s="3"/>
      <c r="H782" s="3"/>
      <c r="I782" s="3"/>
      <c r="J782" s="3"/>
      <c r="K782" s="3"/>
      <c r="L782" s="3"/>
      <c r="M782" s="2"/>
      <c r="N782" s="2"/>
    </row>
    <row r="783" spans="5:14" x14ac:dyDescent="0.35">
      <c r="E783" s="2"/>
      <c r="F783" s="2"/>
      <c r="G783" s="3"/>
      <c r="H783" s="3"/>
      <c r="I783" s="3"/>
      <c r="J783" s="3"/>
      <c r="K783" s="3"/>
      <c r="L783" s="3"/>
      <c r="M783" s="2"/>
      <c r="N783" s="2"/>
    </row>
    <row r="784" spans="5:14" x14ac:dyDescent="0.35">
      <c r="E784" s="2"/>
      <c r="F784" s="2"/>
      <c r="G784" s="3"/>
      <c r="H784" s="3"/>
      <c r="I784" s="3"/>
      <c r="J784" s="3"/>
      <c r="K784" s="3"/>
      <c r="L784" s="3"/>
      <c r="M784" s="2"/>
      <c r="N784" s="2"/>
    </row>
    <row r="785" spans="5:14" x14ac:dyDescent="0.35">
      <c r="E785" s="2"/>
      <c r="F785" s="2"/>
      <c r="G785" s="3"/>
      <c r="H785" s="3"/>
      <c r="I785" s="3"/>
      <c r="J785" s="3"/>
      <c r="K785" s="3"/>
      <c r="L785" s="3"/>
      <c r="M785" s="2"/>
      <c r="N785" s="2"/>
    </row>
    <row r="786" spans="5:14" x14ac:dyDescent="0.35">
      <c r="E786" s="2"/>
      <c r="F786" s="2"/>
      <c r="G786" s="3"/>
      <c r="H786" s="3"/>
      <c r="I786" s="3"/>
      <c r="J786" s="3"/>
      <c r="K786" s="3"/>
      <c r="L786" s="3"/>
      <c r="M786" s="2"/>
      <c r="N786" s="2"/>
    </row>
    <row r="787" spans="5:14" x14ac:dyDescent="0.35">
      <c r="E787" s="2"/>
      <c r="F787" s="2"/>
      <c r="G787" s="3"/>
      <c r="H787" s="3"/>
      <c r="I787" s="3"/>
      <c r="J787" s="3"/>
      <c r="K787" s="3"/>
      <c r="L787" s="3"/>
      <c r="M787" s="2"/>
      <c r="N787" s="2"/>
    </row>
    <row r="788" spans="5:14" x14ac:dyDescent="0.35">
      <c r="E788" s="2"/>
      <c r="F788" s="2"/>
      <c r="G788" s="3"/>
      <c r="H788" s="3"/>
      <c r="I788" s="3"/>
      <c r="J788" s="3"/>
      <c r="K788" s="3"/>
      <c r="L788" s="3"/>
      <c r="M788" s="2"/>
      <c r="N788" s="2"/>
    </row>
    <row r="789" spans="5:14" x14ac:dyDescent="0.35">
      <c r="E789" s="2"/>
      <c r="F789" s="2"/>
      <c r="G789" s="3"/>
      <c r="H789" s="3"/>
      <c r="I789" s="3"/>
      <c r="J789" s="3"/>
      <c r="K789" s="3"/>
      <c r="L789" s="3"/>
      <c r="M789" s="2"/>
      <c r="N789" s="2"/>
    </row>
    <row r="790" spans="5:14" x14ac:dyDescent="0.35">
      <c r="E790" s="2"/>
      <c r="F790" s="2"/>
      <c r="G790" s="3"/>
      <c r="H790" s="3"/>
      <c r="I790" s="3"/>
      <c r="J790" s="3"/>
      <c r="K790" s="3"/>
      <c r="L790" s="3"/>
      <c r="M790" s="2"/>
      <c r="N790" s="2"/>
    </row>
    <row r="791" spans="5:14" x14ac:dyDescent="0.35">
      <c r="E791" s="2"/>
      <c r="F791" s="2"/>
      <c r="G791" s="3"/>
      <c r="H791" s="3"/>
      <c r="I791" s="3"/>
      <c r="J791" s="3"/>
      <c r="K791" s="3"/>
      <c r="L791" s="3"/>
      <c r="M791" s="2"/>
      <c r="N791" s="2"/>
    </row>
    <row r="792" spans="5:14" x14ac:dyDescent="0.35">
      <c r="E792" s="2"/>
      <c r="F792" s="2"/>
      <c r="G792" s="3"/>
      <c r="H792" s="3"/>
      <c r="I792" s="3"/>
      <c r="J792" s="3"/>
      <c r="K792" s="3"/>
      <c r="L792" s="3"/>
      <c r="M792" s="2"/>
      <c r="N792" s="2"/>
    </row>
    <row r="793" spans="5:14" x14ac:dyDescent="0.35">
      <c r="E793" s="2"/>
      <c r="F793" s="2"/>
      <c r="G793" s="3"/>
      <c r="H793" s="3"/>
      <c r="I793" s="3"/>
      <c r="J793" s="3"/>
      <c r="K793" s="3"/>
      <c r="L793" s="3"/>
      <c r="M793" s="2"/>
      <c r="N793" s="2"/>
    </row>
    <row r="794" spans="5:14" x14ac:dyDescent="0.35">
      <c r="E794" s="2"/>
      <c r="F794" s="2"/>
      <c r="G794" s="3"/>
      <c r="H794" s="3"/>
      <c r="I794" s="3"/>
      <c r="J794" s="3"/>
      <c r="K794" s="3"/>
      <c r="L794" s="3"/>
      <c r="M794" s="2"/>
      <c r="N794" s="2"/>
    </row>
    <row r="795" spans="5:14" x14ac:dyDescent="0.35">
      <c r="E795" s="2"/>
      <c r="F795" s="2"/>
      <c r="G795" s="3"/>
      <c r="H795" s="3"/>
      <c r="I795" s="3"/>
      <c r="J795" s="3"/>
      <c r="K795" s="3"/>
      <c r="L795" s="3"/>
      <c r="M795" s="2"/>
      <c r="N795" s="2"/>
    </row>
    <row r="796" spans="5:14" x14ac:dyDescent="0.35">
      <c r="E796" s="2"/>
      <c r="F796" s="2"/>
      <c r="G796" s="3"/>
      <c r="H796" s="3"/>
      <c r="I796" s="3"/>
      <c r="J796" s="3"/>
      <c r="K796" s="3"/>
      <c r="L796" s="3"/>
      <c r="M796" s="2"/>
      <c r="N796" s="2"/>
    </row>
    <row r="797" spans="5:14" x14ac:dyDescent="0.35">
      <c r="E797" s="2"/>
      <c r="F797" s="2"/>
      <c r="G797" s="3"/>
      <c r="H797" s="3"/>
      <c r="I797" s="3"/>
      <c r="J797" s="3"/>
      <c r="K797" s="3"/>
      <c r="L797" s="3"/>
      <c r="M797" s="2"/>
      <c r="N797" s="2"/>
    </row>
    <row r="798" spans="5:14" x14ac:dyDescent="0.35">
      <c r="E798" s="2"/>
      <c r="F798" s="2"/>
      <c r="G798" s="3"/>
      <c r="H798" s="3"/>
      <c r="I798" s="3"/>
      <c r="J798" s="3"/>
      <c r="K798" s="3"/>
      <c r="L798" s="3"/>
      <c r="M798" s="2"/>
      <c r="N798" s="2"/>
    </row>
    <row r="799" spans="5:14" x14ac:dyDescent="0.35">
      <c r="E799" s="2"/>
      <c r="F799" s="2"/>
      <c r="G799" s="3"/>
      <c r="H799" s="3"/>
      <c r="I799" s="3"/>
      <c r="J799" s="3"/>
      <c r="K799" s="3"/>
      <c r="L799" s="3"/>
      <c r="M799" s="2"/>
      <c r="N799" s="2"/>
    </row>
    <row r="800" spans="5:14" x14ac:dyDescent="0.35">
      <c r="E800" s="2"/>
      <c r="F800" s="2"/>
      <c r="G800" s="3"/>
      <c r="H800" s="3"/>
      <c r="I800" s="3"/>
      <c r="J800" s="3"/>
      <c r="K800" s="3"/>
      <c r="L800" s="3"/>
      <c r="M800" s="2"/>
      <c r="N800" s="2"/>
    </row>
    <row r="801" spans="5:14" x14ac:dyDescent="0.35">
      <c r="E801" s="2"/>
      <c r="F801" s="2"/>
      <c r="G801" s="3"/>
      <c r="H801" s="3"/>
      <c r="I801" s="3"/>
      <c r="J801" s="3"/>
      <c r="K801" s="3"/>
      <c r="L801" s="3"/>
      <c r="M801" s="2"/>
      <c r="N801" s="2"/>
    </row>
    <row r="802" spans="5:14" x14ac:dyDescent="0.35">
      <c r="E802" s="2"/>
      <c r="F802" s="2"/>
      <c r="G802" s="3"/>
      <c r="H802" s="3"/>
      <c r="I802" s="3"/>
      <c r="J802" s="3"/>
      <c r="K802" s="3"/>
      <c r="L802" s="3"/>
      <c r="M802" s="2"/>
      <c r="N802" s="2"/>
    </row>
    <row r="803" spans="5:14" x14ac:dyDescent="0.35">
      <c r="E803" s="2"/>
      <c r="F803" s="2"/>
      <c r="G803" s="3"/>
      <c r="H803" s="3"/>
      <c r="I803" s="3"/>
      <c r="J803" s="3"/>
      <c r="K803" s="3"/>
      <c r="L803" s="3"/>
      <c r="M803" s="2"/>
      <c r="N803" s="2"/>
    </row>
    <row r="804" spans="5:14" x14ac:dyDescent="0.35">
      <c r="E804" s="2"/>
      <c r="F804" s="2"/>
      <c r="G804" s="3"/>
      <c r="H804" s="3"/>
      <c r="I804" s="3"/>
      <c r="J804" s="3"/>
      <c r="K804" s="3"/>
      <c r="L804" s="3"/>
      <c r="M804" s="2"/>
      <c r="N804" s="2"/>
    </row>
    <row r="805" spans="5:14" x14ac:dyDescent="0.35">
      <c r="E805" s="2"/>
      <c r="F805" s="2"/>
      <c r="G805" s="3"/>
      <c r="H805" s="3"/>
      <c r="I805" s="3"/>
      <c r="J805" s="3"/>
      <c r="K805" s="3"/>
      <c r="L805" s="3"/>
      <c r="M805" s="2"/>
      <c r="N805" s="2"/>
    </row>
    <row r="806" spans="5:14" x14ac:dyDescent="0.35">
      <c r="E806" s="2"/>
      <c r="F806" s="2"/>
      <c r="G806" s="3"/>
      <c r="H806" s="3"/>
      <c r="I806" s="3"/>
      <c r="J806" s="3"/>
      <c r="K806" s="3"/>
      <c r="L806" s="3"/>
      <c r="M806" s="2"/>
      <c r="N806" s="2"/>
    </row>
    <row r="807" spans="5:14" x14ac:dyDescent="0.35">
      <c r="E807" s="2"/>
      <c r="F807" s="2"/>
      <c r="G807" s="3"/>
      <c r="H807" s="3"/>
      <c r="I807" s="3"/>
      <c r="J807" s="3"/>
      <c r="K807" s="3"/>
      <c r="L807" s="3"/>
      <c r="M807" s="2"/>
      <c r="N807" s="2"/>
    </row>
    <row r="808" spans="5:14" x14ac:dyDescent="0.35">
      <c r="E808" s="2"/>
      <c r="F808" s="2"/>
      <c r="G808" s="3"/>
      <c r="H808" s="3"/>
      <c r="I808" s="3"/>
      <c r="J808" s="3"/>
      <c r="K808" s="3"/>
      <c r="L808" s="3"/>
      <c r="M808" s="2"/>
      <c r="N808" s="2"/>
    </row>
    <row r="809" spans="5:14" x14ac:dyDescent="0.35">
      <c r="E809" s="2"/>
      <c r="F809" s="2"/>
      <c r="G809" s="3"/>
      <c r="H809" s="3"/>
      <c r="I809" s="3"/>
      <c r="J809" s="3"/>
      <c r="K809" s="3"/>
      <c r="L809" s="3"/>
      <c r="M809" s="2"/>
      <c r="N809" s="2"/>
    </row>
    <row r="810" spans="5:14" x14ac:dyDescent="0.35">
      <c r="E810" s="2"/>
      <c r="F810" s="2"/>
      <c r="G810" s="3"/>
      <c r="H810" s="3"/>
      <c r="I810" s="3"/>
      <c r="J810" s="3"/>
      <c r="K810" s="3"/>
      <c r="L810" s="3"/>
      <c r="M810" s="2"/>
      <c r="N810" s="2"/>
    </row>
    <row r="811" spans="5:14" x14ac:dyDescent="0.35">
      <c r="E811" s="2"/>
      <c r="F811" s="2"/>
      <c r="G811" s="3"/>
      <c r="H811" s="3"/>
      <c r="I811" s="3"/>
      <c r="J811" s="3"/>
      <c r="K811" s="3"/>
      <c r="L811" s="3"/>
      <c r="M811" s="2"/>
      <c r="N811" s="2"/>
    </row>
    <row r="812" spans="5:14" x14ac:dyDescent="0.35">
      <c r="E812" s="2"/>
      <c r="F812" s="2"/>
      <c r="G812" s="3"/>
      <c r="H812" s="3"/>
      <c r="I812" s="3"/>
      <c r="J812" s="3"/>
      <c r="K812" s="3"/>
      <c r="L812" s="3"/>
      <c r="M812" s="2"/>
      <c r="N812" s="2"/>
    </row>
    <row r="813" spans="5:14" x14ac:dyDescent="0.35">
      <c r="E813" s="2"/>
      <c r="F813" s="2"/>
      <c r="G813" s="3"/>
      <c r="H813" s="3"/>
      <c r="I813" s="3"/>
      <c r="J813" s="3"/>
      <c r="K813" s="3"/>
      <c r="L813" s="3"/>
      <c r="M813" s="2"/>
      <c r="N813" s="2"/>
    </row>
    <row r="814" spans="5:14" x14ac:dyDescent="0.35">
      <c r="E814" s="2"/>
      <c r="F814" s="2"/>
      <c r="G814" s="3"/>
      <c r="H814" s="3"/>
      <c r="I814" s="3"/>
      <c r="J814" s="3"/>
      <c r="K814" s="3"/>
      <c r="L814" s="3"/>
      <c r="M814" s="2"/>
      <c r="N814" s="2"/>
    </row>
    <row r="815" spans="5:14" x14ac:dyDescent="0.35">
      <c r="E815" s="2"/>
      <c r="F815" s="2"/>
      <c r="G815" s="3"/>
      <c r="H815" s="3"/>
      <c r="I815" s="3"/>
      <c r="J815" s="3"/>
      <c r="K815" s="3"/>
      <c r="L815" s="3"/>
      <c r="M815" s="2"/>
      <c r="N815" s="2"/>
    </row>
    <row r="816" spans="5:14" x14ac:dyDescent="0.35">
      <c r="E816" s="2"/>
      <c r="F816" s="2"/>
      <c r="G816" s="3"/>
      <c r="H816" s="3"/>
      <c r="I816" s="3"/>
      <c r="J816" s="3"/>
      <c r="K816" s="3"/>
      <c r="L816" s="3"/>
      <c r="M816" s="2"/>
      <c r="N816" s="2"/>
    </row>
    <row r="817" spans="5:14" x14ac:dyDescent="0.35">
      <c r="E817" s="2"/>
      <c r="F817" s="2"/>
      <c r="G817" s="3"/>
      <c r="H817" s="3"/>
      <c r="I817" s="3"/>
      <c r="J817" s="3"/>
      <c r="K817" s="3"/>
      <c r="L817" s="3"/>
      <c r="M817" s="2"/>
      <c r="N817" s="2"/>
    </row>
    <row r="818" spans="5:14" x14ac:dyDescent="0.35">
      <c r="E818" s="2"/>
      <c r="F818" s="2"/>
      <c r="G818" s="3"/>
      <c r="H818" s="3"/>
      <c r="I818" s="3"/>
      <c r="J818" s="3"/>
      <c r="K818" s="3"/>
      <c r="L818" s="3"/>
      <c r="M818" s="2"/>
      <c r="N818" s="2"/>
    </row>
    <row r="819" spans="5:14" x14ac:dyDescent="0.35">
      <c r="E819" s="2"/>
      <c r="F819" s="2"/>
      <c r="G819" s="3"/>
      <c r="H819" s="3"/>
      <c r="I819" s="3"/>
      <c r="J819" s="3"/>
      <c r="K819" s="3"/>
      <c r="L819" s="3"/>
      <c r="M819" s="2"/>
      <c r="N819" s="2"/>
    </row>
    <row r="820" spans="5:14" x14ac:dyDescent="0.35">
      <c r="E820" s="2"/>
      <c r="F820" s="2"/>
      <c r="G820" s="3"/>
      <c r="H820" s="3"/>
      <c r="I820" s="3"/>
      <c r="J820" s="3"/>
      <c r="K820" s="3"/>
      <c r="L820" s="3"/>
      <c r="M820" s="2"/>
      <c r="N820" s="2"/>
    </row>
    <row r="821" spans="5:14" x14ac:dyDescent="0.35">
      <c r="E821" s="2"/>
      <c r="F821" s="2"/>
      <c r="G821" s="3"/>
      <c r="H821" s="3"/>
      <c r="I821" s="3"/>
      <c r="J821" s="3"/>
      <c r="K821" s="3"/>
      <c r="L821" s="3"/>
      <c r="M821" s="2"/>
      <c r="N821" s="2"/>
    </row>
    <row r="822" spans="5:14" x14ac:dyDescent="0.35">
      <c r="E822" s="2"/>
      <c r="F822" s="2"/>
      <c r="G822" s="3"/>
      <c r="H822" s="3"/>
      <c r="I822" s="3"/>
      <c r="J822" s="3"/>
      <c r="K822" s="3"/>
      <c r="L822" s="3"/>
      <c r="M822" s="2"/>
      <c r="N822" s="2"/>
    </row>
    <row r="823" spans="5:14" x14ac:dyDescent="0.35">
      <c r="E823" s="2"/>
      <c r="F823" s="2"/>
      <c r="G823" s="3"/>
      <c r="H823" s="3"/>
      <c r="I823" s="3"/>
      <c r="J823" s="3"/>
      <c r="K823" s="3"/>
      <c r="L823" s="3"/>
      <c r="M823" s="2"/>
      <c r="N823" s="2"/>
    </row>
    <row r="824" spans="5:14" x14ac:dyDescent="0.35">
      <c r="E824" s="2"/>
      <c r="F824" s="2"/>
      <c r="G824" s="3"/>
      <c r="H824" s="3"/>
      <c r="I824" s="3"/>
      <c r="J824" s="3"/>
      <c r="K824" s="3"/>
      <c r="L824" s="3"/>
      <c r="M824" s="2"/>
      <c r="N824" s="2"/>
    </row>
    <row r="825" spans="5:14" x14ac:dyDescent="0.35">
      <c r="E825" s="2"/>
      <c r="F825" s="2"/>
      <c r="G825" s="3"/>
      <c r="H825" s="3"/>
      <c r="I825" s="3"/>
      <c r="J825" s="3"/>
      <c r="K825" s="3"/>
      <c r="L825" s="3"/>
      <c r="M825" s="2"/>
      <c r="N825" s="2"/>
    </row>
    <row r="826" spans="5:14" x14ac:dyDescent="0.35">
      <c r="E826" s="2"/>
      <c r="F826" s="2"/>
      <c r="G826" s="3"/>
      <c r="H826" s="3"/>
      <c r="I826" s="3"/>
      <c r="J826" s="3"/>
      <c r="K826" s="3"/>
      <c r="L826" s="3"/>
      <c r="M826" s="2"/>
      <c r="N826" s="2"/>
    </row>
    <row r="827" spans="5:14" x14ac:dyDescent="0.35">
      <c r="E827" s="2"/>
      <c r="F827" s="2"/>
      <c r="G827" s="3"/>
      <c r="H827" s="3"/>
      <c r="I827" s="3"/>
      <c r="J827" s="3"/>
      <c r="K827" s="3"/>
      <c r="L827" s="3"/>
      <c r="M827" s="2"/>
      <c r="N827" s="2"/>
    </row>
    <row r="828" spans="5:14" x14ac:dyDescent="0.35">
      <c r="E828" s="2"/>
      <c r="F828" s="2"/>
      <c r="G828" s="3"/>
      <c r="H828" s="3"/>
      <c r="I828" s="3"/>
      <c r="J828" s="3"/>
      <c r="K828" s="3"/>
      <c r="L828" s="3"/>
      <c r="M828" s="2"/>
      <c r="N828" s="2"/>
    </row>
    <row r="829" spans="5:14" x14ac:dyDescent="0.35">
      <c r="E829" s="2"/>
      <c r="F829" s="2"/>
      <c r="G829" s="3"/>
      <c r="H829" s="3"/>
      <c r="I829" s="3"/>
      <c r="J829" s="3"/>
      <c r="K829" s="3"/>
      <c r="L829" s="3"/>
      <c r="M829" s="2"/>
      <c r="N829" s="2"/>
    </row>
    <row r="830" spans="5:14" x14ac:dyDescent="0.35">
      <c r="E830" s="2"/>
      <c r="F830" s="2"/>
      <c r="G830" s="3"/>
      <c r="H830" s="3"/>
      <c r="I830" s="3"/>
      <c r="J830" s="3"/>
      <c r="K830" s="3"/>
      <c r="L830" s="3"/>
      <c r="M830" s="2"/>
      <c r="N830" s="2"/>
    </row>
    <row r="831" spans="5:14" x14ac:dyDescent="0.35">
      <c r="E831" s="2"/>
      <c r="F831" s="2"/>
      <c r="G831" s="3"/>
      <c r="H831" s="3"/>
      <c r="I831" s="3"/>
      <c r="J831" s="3"/>
      <c r="K831" s="3"/>
      <c r="L831" s="3"/>
      <c r="M831" s="2"/>
      <c r="N831" s="2"/>
    </row>
    <row r="832" spans="5:14" x14ac:dyDescent="0.35">
      <c r="E832" s="2"/>
      <c r="F832" s="2"/>
      <c r="G832" s="3"/>
      <c r="H832" s="3"/>
      <c r="I832" s="3"/>
      <c r="J832" s="3"/>
      <c r="K832" s="3"/>
      <c r="L832" s="3"/>
      <c r="M832" s="2"/>
      <c r="N832" s="2"/>
    </row>
    <row r="833" spans="5:14" x14ac:dyDescent="0.35">
      <c r="E833" s="2"/>
      <c r="F833" s="2"/>
      <c r="G833" s="3"/>
      <c r="H833" s="3"/>
      <c r="I833" s="3"/>
      <c r="J833" s="3"/>
      <c r="K833" s="3"/>
      <c r="L833" s="3"/>
      <c r="M833" s="2"/>
      <c r="N833" s="2"/>
    </row>
    <row r="834" spans="5:14" x14ac:dyDescent="0.35">
      <c r="E834" s="2"/>
      <c r="F834" s="2"/>
      <c r="G834" s="3"/>
      <c r="H834" s="3"/>
      <c r="I834" s="3"/>
      <c r="J834" s="3"/>
      <c r="K834" s="3"/>
      <c r="L834" s="3"/>
      <c r="M834" s="2"/>
      <c r="N834" s="2"/>
    </row>
    <row r="835" spans="5:14" x14ac:dyDescent="0.35">
      <c r="E835" s="2"/>
      <c r="F835" s="2"/>
      <c r="G835" s="3"/>
      <c r="H835" s="3"/>
      <c r="I835" s="3"/>
      <c r="J835" s="3"/>
      <c r="K835" s="3"/>
      <c r="L835" s="3"/>
      <c r="M835" s="2"/>
      <c r="N835" s="2"/>
    </row>
    <row r="836" spans="5:14" x14ac:dyDescent="0.35">
      <c r="E836" s="2"/>
      <c r="F836" s="2"/>
      <c r="G836" s="3"/>
      <c r="H836" s="3"/>
      <c r="I836" s="3"/>
      <c r="J836" s="3"/>
      <c r="K836" s="3"/>
      <c r="L836" s="3"/>
      <c r="M836" s="2"/>
      <c r="N836" s="2"/>
    </row>
    <row r="837" spans="5:14" x14ac:dyDescent="0.35">
      <c r="E837" s="2"/>
      <c r="F837" s="2"/>
      <c r="G837" s="3"/>
      <c r="H837" s="3"/>
      <c r="I837" s="3"/>
      <c r="J837" s="3"/>
      <c r="K837" s="3"/>
      <c r="L837" s="3"/>
      <c r="M837" s="2"/>
      <c r="N837" s="2"/>
    </row>
    <row r="838" spans="5:14" x14ac:dyDescent="0.35">
      <c r="E838" s="2"/>
      <c r="F838" s="2"/>
      <c r="G838" s="3"/>
      <c r="H838" s="3"/>
      <c r="I838" s="3"/>
      <c r="J838" s="3"/>
      <c r="K838" s="3"/>
      <c r="L838" s="3"/>
      <c r="M838" s="2"/>
      <c r="N838" s="2"/>
    </row>
    <row r="839" spans="5:14" x14ac:dyDescent="0.35">
      <c r="E839" s="2"/>
      <c r="F839" s="2"/>
      <c r="G839" s="3"/>
      <c r="H839" s="3"/>
      <c r="I839" s="3"/>
      <c r="J839" s="3"/>
      <c r="K839" s="3"/>
      <c r="L839" s="3"/>
      <c r="M839" s="2"/>
      <c r="N839" s="2"/>
    </row>
    <row r="840" spans="5:14" x14ac:dyDescent="0.35">
      <c r="E840" s="2"/>
      <c r="F840" s="2"/>
      <c r="G840" s="3"/>
      <c r="H840" s="3"/>
      <c r="I840" s="3"/>
      <c r="J840" s="3"/>
      <c r="K840" s="3"/>
      <c r="L840" s="3"/>
      <c r="M840" s="2"/>
      <c r="N840" s="2"/>
    </row>
    <row r="841" spans="5:14" x14ac:dyDescent="0.35">
      <c r="E841" s="2"/>
      <c r="F841" s="2"/>
      <c r="G841" s="3"/>
      <c r="H841" s="3"/>
      <c r="I841" s="3"/>
      <c r="J841" s="3"/>
      <c r="K841" s="3"/>
      <c r="L841" s="3"/>
      <c r="M841" s="2"/>
      <c r="N841" s="2"/>
    </row>
    <row r="842" spans="5:14" x14ac:dyDescent="0.35">
      <c r="E842" s="2"/>
      <c r="F842" s="2"/>
      <c r="G842" s="3"/>
      <c r="H842" s="3"/>
      <c r="I842" s="3"/>
      <c r="J842" s="3"/>
      <c r="K842" s="3"/>
      <c r="L842" s="3"/>
      <c r="M842" s="2"/>
      <c r="N842" s="2"/>
    </row>
    <row r="843" spans="5:14" x14ac:dyDescent="0.35">
      <c r="E843" s="2"/>
      <c r="F843" s="2"/>
      <c r="G843" s="3"/>
      <c r="H843" s="3"/>
      <c r="I843" s="3"/>
      <c r="J843" s="3"/>
      <c r="K843" s="3"/>
      <c r="L843" s="3"/>
      <c r="M843" s="2"/>
      <c r="N843" s="2"/>
    </row>
    <row r="844" spans="5:14" x14ac:dyDescent="0.35">
      <c r="E844" s="2"/>
      <c r="F844" s="2"/>
      <c r="G844" s="3"/>
      <c r="H844" s="3"/>
      <c r="I844" s="3"/>
      <c r="J844" s="3"/>
      <c r="K844" s="3"/>
      <c r="L844" s="3"/>
      <c r="M844" s="2"/>
      <c r="N844" s="2"/>
    </row>
    <row r="845" spans="5:14" x14ac:dyDescent="0.35">
      <c r="E845" s="2"/>
      <c r="F845" s="2"/>
      <c r="G845" s="3"/>
      <c r="H845" s="3"/>
      <c r="I845" s="3"/>
      <c r="J845" s="3"/>
      <c r="K845" s="3"/>
      <c r="L845" s="3"/>
      <c r="M845" s="2"/>
      <c r="N845" s="2"/>
    </row>
    <row r="846" spans="5:14" x14ac:dyDescent="0.35">
      <c r="E846" s="2"/>
      <c r="F846" s="2"/>
      <c r="G846" s="3"/>
      <c r="H846" s="3"/>
      <c r="I846" s="3"/>
      <c r="J846" s="3"/>
      <c r="K846" s="3"/>
      <c r="L846" s="3"/>
      <c r="M846" s="2"/>
      <c r="N846" s="2"/>
    </row>
    <row r="847" spans="5:14" x14ac:dyDescent="0.35">
      <c r="E847" s="2"/>
      <c r="F847" s="2"/>
      <c r="G847" s="3"/>
      <c r="H847" s="3"/>
      <c r="I847" s="3"/>
      <c r="J847" s="3"/>
      <c r="K847" s="3"/>
      <c r="L847" s="3"/>
      <c r="M847" s="2"/>
      <c r="N847" s="2"/>
    </row>
    <row r="848" spans="5:14" x14ac:dyDescent="0.35">
      <c r="E848" s="2"/>
      <c r="F848" s="2"/>
      <c r="G848" s="3"/>
      <c r="H848" s="3"/>
      <c r="I848" s="3"/>
      <c r="J848" s="3"/>
      <c r="K848" s="3"/>
      <c r="L848" s="3"/>
      <c r="M848" s="2"/>
      <c r="N848" s="2"/>
    </row>
    <row r="849" spans="5:14" x14ac:dyDescent="0.35">
      <c r="E849" s="2"/>
      <c r="F849" s="2"/>
      <c r="G849" s="3"/>
      <c r="H849" s="3"/>
      <c r="I849" s="3"/>
      <c r="J849" s="3"/>
      <c r="K849" s="3"/>
      <c r="L849" s="3"/>
      <c r="M849" s="2"/>
      <c r="N849" s="2"/>
    </row>
    <row r="850" spans="5:14" x14ac:dyDescent="0.35">
      <c r="E850" s="2"/>
      <c r="F850" s="2"/>
      <c r="G850" s="3"/>
      <c r="H850" s="3"/>
      <c r="I850" s="3"/>
      <c r="J850" s="3"/>
      <c r="K850" s="3"/>
      <c r="L850" s="3"/>
      <c r="M850" s="2"/>
      <c r="N850" s="2"/>
    </row>
    <row r="851" spans="5:14" x14ac:dyDescent="0.35">
      <c r="E851" s="2"/>
      <c r="F851" s="2"/>
      <c r="G851" s="3"/>
      <c r="H851" s="3"/>
      <c r="I851" s="3"/>
      <c r="J851" s="3"/>
      <c r="K851" s="3"/>
      <c r="L851" s="3"/>
      <c r="M851" s="2"/>
      <c r="N851" s="2"/>
    </row>
    <row r="852" spans="5:14" x14ac:dyDescent="0.35">
      <c r="E852" s="2"/>
      <c r="F852" s="2"/>
      <c r="G852" s="3"/>
      <c r="H852" s="3"/>
      <c r="I852" s="3"/>
      <c r="J852" s="3"/>
      <c r="K852" s="3"/>
      <c r="L852" s="3"/>
      <c r="M852" s="2"/>
      <c r="N852" s="2"/>
    </row>
    <row r="853" spans="5:14" x14ac:dyDescent="0.35">
      <c r="E853" s="2"/>
      <c r="F853" s="2"/>
      <c r="G853" s="3"/>
      <c r="H853" s="3"/>
      <c r="I853" s="3"/>
      <c r="J853" s="3"/>
      <c r="K853" s="3"/>
      <c r="L853" s="3"/>
      <c r="M853" s="2"/>
      <c r="N853" s="2"/>
    </row>
    <row r="854" spans="5:14" x14ac:dyDescent="0.35">
      <c r="E854" s="2"/>
      <c r="F854" s="2"/>
      <c r="G854" s="3"/>
      <c r="H854" s="3"/>
      <c r="I854" s="3"/>
      <c r="J854" s="3"/>
      <c r="K854" s="3"/>
      <c r="L854" s="3"/>
      <c r="M854" s="2"/>
      <c r="N854" s="2"/>
    </row>
    <row r="855" spans="5:14" x14ac:dyDescent="0.35">
      <c r="E855" s="2"/>
      <c r="F855" s="2"/>
      <c r="G855" s="3"/>
      <c r="H855" s="3"/>
      <c r="I855" s="3"/>
      <c r="J855" s="3"/>
      <c r="K855" s="3"/>
      <c r="L855" s="3"/>
      <c r="M855" s="2"/>
      <c r="N855" s="2"/>
    </row>
    <row r="856" spans="5:14" x14ac:dyDescent="0.35">
      <c r="E856" s="2"/>
      <c r="F856" s="2"/>
      <c r="G856" s="3"/>
      <c r="H856" s="3"/>
      <c r="I856" s="3"/>
      <c r="J856" s="3"/>
      <c r="K856" s="3"/>
      <c r="L856" s="3"/>
      <c r="M856" s="2"/>
      <c r="N856" s="2"/>
    </row>
    <row r="857" spans="5:14" x14ac:dyDescent="0.35">
      <c r="E857" s="2"/>
      <c r="F857" s="2"/>
      <c r="G857" s="3"/>
      <c r="H857" s="3"/>
      <c r="I857" s="3"/>
      <c r="J857" s="3"/>
      <c r="K857" s="3"/>
      <c r="L857" s="3"/>
      <c r="M857" s="2"/>
      <c r="N857" s="2"/>
    </row>
    <row r="858" spans="5:14" x14ac:dyDescent="0.35">
      <c r="E858" s="2"/>
      <c r="F858" s="2"/>
      <c r="G858" s="3"/>
      <c r="H858" s="3"/>
      <c r="I858" s="3"/>
      <c r="J858" s="3"/>
      <c r="K858" s="3"/>
      <c r="L858" s="3"/>
      <c r="M858" s="2"/>
      <c r="N858" s="2"/>
    </row>
    <row r="859" spans="5:14" x14ac:dyDescent="0.35">
      <c r="E859" s="2"/>
      <c r="F859" s="2"/>
      <c r="G859" s="3"/>
      <c r="H859" s="3"/>
      <c r="I859" s="3"/>
      <c r="J859" s="3"/>
      <c r="K859" s="3"/>
      <c r="L859" s="3"/>
      <c r="M859" s="2"/>
      <c r="N859" s="2"/>
    </row>
    <row r="860" spans="5:14" x14ac:dyDescent="0.35">
      <c r="E860" s="2"/>
      <c r="F860" s="2"/>
      <c r="G860" s="3"/>
      <c r="H860" s="3"/>
      <c r="I860" s="3"/>
      <c r="J860" s="3"/>
      <c r="K860" s="3"/>
      <c r="L860" s="3"/>
      <c r="M860" s="2"/>
      <c r="N860" s="2"/>
    </row>
    <row r="861" spans="5:14" x14ac:dyDescent="0.35">
      <c r="E861" s="2"/>
      <c r="F861" s="2"/>
      <c r="G861" s="3"/>
      <c r="H861" s="3"/>
      <c r="I861" s="3"/>
      <c r="J861" s="3"/>
      <c r="K861" s="3"/>
      <c r="L861" s="3"/>
      <c r="M861" s="2"/>
      <c r="N861" s="2"/>
    </row>
    <row r="862" spans="5:14" x14ac:dyDescent="0.35">
      <c r="E862" s="2"/>
      <c r="F862" s="2"/>
      <c r="G862" s="3"/>
      <c r="H862" s="3"/>
      <c r="I862" s="3"/>
      <c r="J862" s="3"/>
      <c r="K862" s="3"/>
      <c r="L862" s="3"/>
      <c r="M862" s="2"/>
      <c r="N862" s="2"/>
    </row>
    <row r="863" spans="5:14" x14ac:dyDescent="0.35">
      <c r="E863" s="2"/>
      <c r="F863" s="2"/>
      <c r="G863" s="3"/>
      <c r="H863" s="3"/>
      <c r="I863" s="3"/>
      <c r="J863" s="3"/>
      <c r="K863" s="3"/>
      <c r="L863" s="3"/>
      <c r="M863" s="2"/>
      <c r="N863" s="2"/>
    </row>
    <row r="864" spans="5:14" x14ac:dyDescent="0.35">
      <c r="E864" s="2"/>
      <c r="F864" s="2"/>
      <c r="G864" s="3"/>
      <c r="H864" s="3"/>
      <c r="I864" s="3"/>
      <c r="J864" s="3"/>
      <c r="K864" s="3"/>
      <c r="L864" s="3"/>
      <c r="M864" s="2"/>
      <c r="N864" s="2"/>
    </row>
    <row r="865" spans="5:14" x14ac:dyDescent="0.35">
      <c r="E865" s="2"/>
      <c r="F865" s="2"/>
      <c r="G865" s="3"/>
      <c r="H865" s="3"/>
      <c r="I865" s="3"/>
      <c r="J865" s="3"/>
      <c r="K865" s="3"/>
      <c r="L865" s="3"/>
      <c r="M865" s="2"/>
      <c r="N865" s="2"/>
    </row>
    <row r="866" spans="5:14" x14ac:dyDescent="0.35">
      <c r="E866" s="2"/>
      <c r="F866" s="2"/>
      <c r="G866" s="3"/>
      <c r="H866" s="3"/>
      <c r="I866" s="3"/>
      <c r="J866" s="3"/>
      <c r="K866" s="3"/>
      <c r="L866" s="3"/>
      <c r="M866" s="2"/>
      <c r="N866" s="2"/>
    </row>
    <row r="867" spans="5:14" x14ac:dyDescent="0.35">
      <c r="E867" s="2"/>
      <c r="F867" s="2"/>
      <c r="G867" s="3"/>
      <c r="H867" s="3"/>
      <c r="I867" s="3"/>
      <c r="J867" s="3"/>
      <c r="K867" s="3"/>
      <c r="L867" s="3"/>
      <c r="M867" s="2"/>
      <c r="N867" s="2"/>
    </row>
    <row r="868" spans="5:14" x14ac:dyDescent="0.35">
      <c r="E868" s="2"/>
      <c r="F868" s="2"/>
      <c r="G868" s="3"/>
      <c r="H868" s="3"/>
      <c r="I868" s="3"/>
      <c r="J868" s="3"/>
      <c r="K868" s="3"/>
      <c r="L868" s="3"/>
      <c r="M868" s="2"/>
      <c r="N868" s="2"/>
    </row>
    <row r="869" spans="5:14" x14ac:dyDescent="0.35">
      <c r="E869" s="2"/>
      <c r="F869" s="2"/>
      <c r="G869" s="3"/>
      <c r="H869" s="3"/>
      <c r="I869" s="3"/>
      <c r="J869" s="3"/>
      <c r="K869" s="3"/>
      <c r="L869" s="3"/>
      <c r="M869" s="2"/>
      <c r="N869" s="2"/>
    </row>
    <row r="870" spans="5:14" x14ac:dyDescent="0.35">
      <c r="E870" s="2"/>
      <c r="F870" s="2"/>
      <c r="G870" s="3"/>
      <c r="H870" s="3"/>
      <c r="I870" s="3"/>
      <c r="J870" s="3"/>
      <c r="K870" s="3"/>
      <c r="L870" s="3"/>
      <c r="M870" s="2"/>
      <c r="N870" s="2"/>
    </row>
    <row r="871" spans="5:14" x14ac:dyDescent="0.35">
      <c r="E871" s="2"/>
      <c r="F871" s="2"/>
      <c r="G871" s="3"/>
      <c r="H871" s="3"/>
      <c r="I871" s="3"/>
      <c r="J871" s="3"/>
      <c r="K871" s="3"/>
      <c r="L871" s="3"/>
      <c r="M871" s="2"/>
      <c r="N871" s="2"/>
    </row>
    <row r="872" spans="5:14" x14ac:dyDescent="0.35">
      <c r="E872" s="2"/>
      <c r="F872" s="2"/>
      <c r="G872" s="3"/>
      <c r="H872" s="3"/>
      <c r="I872" s="3"/>
      <c r="J872" s="3"/>
      <c r="K872" s="3"/>
      <c r="L872" s="3"/>
      <c r="M872" s="2"/>
      <c r="N872" s="2"/>
    </row>
    <row r="873" spans="5:14" x14ac:dyDescent="0.35">
      <c r="E873" s="2"/>
      <c r="F873" s="2"/>
      <c r="G873" s="3"/>
      <c r="H873" s="3"/>
      <c r="I873" s="3"/>
      <c r="J873" s="3"/>
      <c r="K873" s="3"/>
      <c r="L873" s="3"/>
      <c r="M873" s="2"/>
      <c r="N873" s="2"/>
    </row>
    <row r="874" spans="5:14" x14ac:dyDescent="0.35">
      <c r="E874" s="2"/>
      <c r="F874" s="2"/>
      <c r="G874" s="3"/>
      <c r="H874" s="3"/>
      <c r="I874" s="3"/>
      <c r="J874" s="3"/>
      <c r="K874" s="3"/>
      <c r="L874" s="3"/>
      <c r="M874" s="2"/>
      <c r="N874" s="2"/>
    </row>
    <row r="875" spans="5:14" x14ac:dyDescent="0.35">
      <c r="E875" s="2"/>
      <c r="F875" s="2"/>
      <c r="G875" s="3"/>
      <c r="H875" s="3"/>
      <c r="I875" s="3"/>
      <c r="J875" s="3"/>
      <c r="K875" s="3"/>
      <c r="L875" s="3"/>
      <c r="M875" s="2"/>
      <c r="N875" s="2"/>
    </row>
    <row r="876" spans="5:14" x14ac:dyDescent="0.35">
      <c r="E876" s="2"/>
      <c r="F876" s="2"/>
      <c r="G876" s="3"/>
      <c r="H876" s="3"/>
      <c r="I876" s="3"/>
      <c r="J876" s="3"/>
      <c r="K876" s="3"/>
      <c r="L876" s="3"/>
      <c r="M876" s="2"/>
      <c r="N876" s="2"/>
    </row>
    <row r="877" spans="5:14" x14ac:dyDescent="0.35">
      <c r="E877" s="2"/>
      <c r="F877" s="2"/>
      <c r="G877" s="3"/>
      <c r="H877" s="3"/>
      <c r="I877" s="3"/>
      <c r="J877" s="3"/>
      <c r="K877" s="3"/>
      <c r="L877" s="3"/>
      <c r="M877" s="2"/>
      <c r="N877" s="2"/>
    </row>
    <row r="878" spans="5:14" x14ac:dyDescent="0.35">
      <c r="E878" s="2"/>
      <c r="F878" s="2"/>
      <c r="G878" s="3"/>
      <c r="H878" s="3"/>
      <c r="I878" s="3"/>
      <c r="J878" s="3"/>
      <c r="K878" s="3"/>
      <c r="L878" s="3"/>
      <c r="M878" s="2"/>
      <c r="N878" s="2"/>
    </row>
    <row r="879" spans="5:14" x14ac:dyDescent="0.35">
      <c r="E879" s="2"/>
      <c r="F879" s="2"/>
      <c r="G879" s="3"/>
      <c r="H879" s="3"/>
      <c r="I879" s="3"/>
      <c r="J879" s="3"/>
      <c r="K879" s="3"/>
      <c r="L879" s="3"/>
      <c r="M879" s="2"/>
      <c r="N879" s="2"/>
    </row>
    <row r="880" spans="5:14" x14ac:dyDescent="0.35">
      <c r="E880" s="2"/>
      <c r="F880" s="2"/>
      <c r="G880" s="3"/>
      <c r="H880" s="3"/>
      <c r="I880" s="3"/>
      <c r="J880" s="3"/>
      <c r="K880" s="3"/>
      <c r="L880" s="3"/>
      <c r="M880" s="2"/>
      <c r="N880" s="2"/>
    </row>
    <row r="881" spans="5:14" x14ac:dyDescent="0.35">
      <c r="E881" s="2"/>
      <c r="F881" s="2"/>
      <c r="G881" s="3"/>
      <c r="H881" s="3"/>
      <c r="I881" s="3"/>
      <c r="J881" s="3"/>
      <c r="K881" s="3"/>
      <c r="L881" s="3"/>
      <c r="M881" s="2"/>
      <c r="N881" s="2"/>
    </row>
    <row r="882" spans="5:14" x14ac:dyDescent="0.35">
      <c r="E882" s="2"/>
      <c r="F882" s="2"/>
      <c r="G882" s="3"/>
      <c r="H882" s="3"/>
      <c r="I882" s="3"/>
      <c r="J882" s="3"/>
      <c r="K882" s="3"/>
      <c r="L882" s="3"/>
      <c r="M882" s="2"/>
      <c r="N882" s="2"/>
    </row>
    <row r="883" spans="5:14" x14ac:dyDescent="0.35">
      <c r="E883" s="2"/>
      <c r="F883" s="2"/>
      <c r="G883" s="3"/>
      <c r="H883" s="3"/>
      <c r="I883" s="3"/>
      <c r="J883" s="3"/>
      <c r="K883" s="3"/>
      <c r="L883" s="3"/>
      <c r="M883" s="2"/>
      <c r="N883" s="2"/>
    </row>
    <row r="884" spans="5:14" x14ac:dyDescent="0.35">
      <c r="E884" s="2"/>
      <c r="F884" s="2"/>
      <c r="G884" s="3"/>
      <c r="H884" s="3"/>
      <c r="I884" s="3"/>
      <c r="J884" s="3"/>
      <c r="K884" s="3"/>
      <c r="L884" s="3"/>
      <c r="M884" s="2"/>
      <c r="N884" s="2"/>
    </row>
    <row r="885" spans="5:14" x14ac:dyDescent="0.35">
      <c r="E885" s="2"/>
      <c r="F885" s="2"/>
      <c r="G885" s="3"/>
      <c r="H885" s="3"/>
      <c r="I885" s="3"/>
      <c r="J885" s="3"/>
      <c r="K885" s="3"/>
      <c r="L885" s="3"/>
      <c r="M885" s="2"/>
      <c r="N885" s="2"/>
    </row>
    <row r="886" spans="5:14" x14ac:dyDescent="0.35">
      <c r="E886" s="2"/>
      <c r="F886" s="2"/>
      <c r="G886" s="3"/>
      <c r="H886" s="3"/>
      <c r="I886" s="3"/>
      <c r="J886" s="3"/>
      <c r="K886" s="3"/>
      <c r="L886" s="3"/>
      <c r="M886" s="2"/>
      <c r="N886" s="2"/>
    </row>
    <row r="887" spans="5:14" x14ac:dyDescent="0.35">
      <c r="E887" s="2"/>
      <c r="F887" s="2"/>
      <c r="G887" s="3"/>
      <c r="H887" s="3"/>
      <c r="I887" s="3"/>
      <c r="J887" s="3"/>
      <c r="K887" s="3"/>
      <c r="L887" s="3"/>
      <c r="M887" s="2"/>
      <c r="N887" s="2"/>
    </row>
    <row r="888" spans="5:14" x14ac:dyDescent="0.35">
      <c r="E888" s="2"/>
      <c r="F888" s="2"/>
      <c r="G888" s="3"/>
      <c r="H888" s="3"/>
      <c r="I888" s="3"/>
      <c r="J888" s="3"/>
      <c r="K888" s="3"/>
      <c r="L888" s="3"/>
      <c r="M888" s="2"/>
      <c r="N888" s="2"/>
    </row>
    <row r="889" spans="5:14" x14ac:dyDescent="0.35">
      <c r="E889" s="2"/>
      <c r="F889" s="2"/>
      <c r="G889" s="3"/>
      <c r="H889" s="3"/>
      <c r="I889" s="3"/>
      <c r="J889" s="3"/>
      <c r="K889" s="3"/>
      <c r="L889" s="3"/>
      <c r="M889" s="2"/>
      <c r="N889" s="2"/>
    </row>
    <row r="890" spans="5:14" x14ac:dyDescent="0.35">
      <c r="E890" s="2"/>
      <c r="F890" s="2"/>
      <c r="G890" s="3"/>
      <c r="H890" s="3"/>
      <c r="I890" s="3"/>
      <c r="J890" s="3"/>
      <c r="K890" s="3"/>
      <c r="L890" s="3"/>
      <c r="M890" s="2"/>
      <c r="N890" s="2"/>
    </row>
    <row r="891" spans="5:14" x14ac:dyDescent="0.35">
      <c r="E891" s="2"/>
      <c r="F891" s="2"/>
      <c r="G891" s="3"/>
      <c r="H891" s="3"/>
      <c r="I891" s="3"/>
      <c r="J891" s="3"/>
      <c r="K891" s="3"/>
      <c r="L891" s="3"/>
      <c r="M891" s="2"/>
      <c r="N891" s="2"/>
    </row>
    <row r="892" spans="5:14" x14ac:dyDescent="0.35">
      <c r="E892" s="2"/>
      <c r="F892" s="2"/>
      <c r="G892" s="3"/>
      <c r="H892" s="3"/>
      <c r="I892" s="3"/>
      <c r="J892" s="3"/>
      <c r="K892" s="3"/>
      <c r="L892" s="3"/>
      <c r="M892" s="2"/>
      <c r="N892" s="2"/>
    </row>
    <row r="893" spans="5:14" x14ac:dyDescent="0.35">
      <c r="E893" s="2"/>
      <c r="F893" s="2"/>
      <c r="G893" s="3"/>
      <c r="H893" s="3"/>
      <c r="I893" s="3"/>
      <c r="J893" s="3"/>
      <c r="K893" s="3"/>
      <c r="L893" s="3"/>
      <c r="M893" s="2"/>
      <c r="N893" s="2"/>
    </row>
    <row r="894" spans="5:14" x14ac:dyDescent="0.35">
      <c r="E894" s="2"/>
      <c r="F894" s="2"/>
      <c r="G894" s="3"/>
      <c r="H894" s="3"/>
      <c r="I894" s="3"/>
      <c r="J894" s="3"/>
      <c r="K894" s="3"/>
      <c r="L894" s="3"/>
      <c r="M894" s="2"/>
      <c r="N894" s="2"/>
    </row>
    <row r="895" spans="5:14" x14ac:dyDescent="0.35">
      <c r="E895" s="2"/>
      <c r="F895" s="2"/>
      <c r="G895" s="3"/>
      <c r="H895" s="3"/>
      <c r="I895" s="3"/>
      <c r="J895" s="3"/>
      <c r="K895" s="3"/>
      <c r="L895" s="3"/>
      <c r="M895" s="2"/>
      <c r="N895" s="2"/>
    </row>
    <row r="896" spans="5:14" x14ac:dyDescent="0.35">
      <c r="E896" s="2"/>
      <c r="F896" s="2"/>
      <c r="G896" s="3"/>
      <c r="H896" s="3"/>
      <c r="I896" s="3"/>
      <c r="J896" s="3"/>
      <c r="K896" s="3"/>
      <c r="L896" s="3"/>
      <c r="M896" s="2"/>
      <c r="N896" s="2"/>
    </row>
    <row r="897" spans="5:14" x14ac:dyDescent="0.35">
      <c r="E897" s="2"/>
      <c r="F897" s="2"/>
      <c r="G897" s="3"/>
      <c r="H897" s="3"/>
      <c r="I897" s="3"/>
      <c r="J897" s="3"/>
      <c r="K897" s="3"/>
      <c r="L897" s="3"/>
      <c r="M897" s="2"/>
      <c r="N897" s="2"/>
    </row>
    <row r="898" spans="5:14" x14ac:dyDescent="0.35">
      <c r="E898" s="2"/>
      <c r="F898" s="2"/>
      <c r="G898" s="3"/>
      <c r="H898" s="3"/>
      <c r="I898" s="3"/>
      <c r="J898" s="3"/>
      <c r="K898" s="3"/>
      <c r="L898" s="3"/>
      <c r="M898" s="2"/>
      <c r="N898" s="2"/>
    </row>
    <row r="899" spans="5:14" x14ac:dyDescent="0.35">
      <c r="E899" s="2"/>
      <c r="F899" s="2"/>
      <c r="G899" s="3"/>
      <c r="H899" s="3"/>
      <c r="I899" s="3"/>
      <c r="J899" s="3"/>
      <c r="K899" s="3"/>
      <c r="L899" s="3"/>
      <c r="M899" s="2"/>
      <c r="N899" s="2"/>
    </row>
    <row r="900" spans="5:14" x14ac:dyDescent="0.35">
      <c r="E900" s="2"/>
      <c r="F900" s="2"/>
      <c r="G900" s="3"/>
      <c r="H900" s="3"/>
      <c r="I900" s="3"/>
      <c r="J900" s="3"/>
      <c r="K900" s="3"/>
      <c r="L900" s="3"/>
      <c r="M900" s="2"/>
      <c r="N900" s="2"/>
    </row>
    <row r="901" spans="5:14" x14ac:dyDescent="0.35">
      <c r="E901" s="2"/>
      <c r="F901" s="2"/>
      <c r="G901" s="3"/>
      <c r="H901" s="3"/>
      <c r="I901" s="3"/>
      <c r="J901" s="3"/>
      <c r="K901" s="3"/>
      <c r="L901" s="3"/>
      <c r="M901" s="2"/>
      <c r="N901" s="2"/>
    </row>
    <row r="902" spans="5:14" x14ac:dyDescent="0.35">
      <c r="E902" s="2"/>
      <c r="F902" s="2"/>
      <c r="G902" s="3"/>
      <c r="H902" s="3"/>
      <c r="I902" s="3"/>
      <c r="J902" s="3"/>
      <c r="K902" s="3"/>
      <c r="L902" s="3"/>
      <c r="M902" s="2"/>
      <c r="N902" s="2"/>
    </row>
    <row r="903" spans="5:14" x14ac:dyDescent="0.35">
      <c r="E903" s="2"/>
      <c r="F903" s="2"/>
      <c r="G903" s="3"/>
      <c r="H903" s="3"/>
      <c r="I903" s="3"/>
      <c r="J903" s="3"/>
      <c r="K903" s="3"/>
      <c r="L903" s="3"/>
      <c r="M903" s="2"/>
      <c r="N903" s="2"/>
    </row>
    <row r="904" spans="5:14" x14ac:dyDescent="0.35">
      <c r="E904" s="2"/>
      <c r="F904" s="2"/>
      <c r="G904" s="3"/>
      <c r="H904" s="3"/>
      <c r="I904" s="3"/>
      <c r="J904" s="3"/>
      <c r="K904" s="3"/>
      <c r="L904" s="3"/>
      <c r="M904" s="2"/>
      <c r="N904" s="2"/>
    </row>
    <row r="905" spans="5:14" x14ac:dyDescent="0.35">
      <c r="E905" s="2"/>
      <c r="F905" s="2"/>
      <c r="G905" s="3"/>
      <c r="H905" s="3"/>
      <c r="I905" s="3"/>
      <c r="J905" s="3"/>
      <c r="K905" s="3"/>
      <c r="L905" s="3"/>
      <c r="M905" s="2"/>
      <c r="N905" s="2"/>
    </row>
    <row r="906" spans="5:14" x14ac:dyDescent="0.35">
      <c r="E906" s="2"/>
      <c r="F906" s="2"/>
      <c r="G906" s="3"/>
      <c r="H906" s="3"/>
      <c r="I906" s="3"/>
      <c r="J906" s="3"/>
      <c r="K906" s="3"/>
      <c r="L906" s="3"/>
      <c r="M906" s="2"/>
      <c r="N906" s="2"/>
    </row>
    <row r="907" spans="5:14" x14ac:dyDescent="0.35">
      <c r="E907" s="2"/>
      <c r="F907" s="2"/>
      <c r="G907" s="3"/>
      <c r="H907" s="3"/>
      <c r="I907" s="3"/>
      <c r="J907" s="3"/>
      <c r="K907" s="3"/>
      <c r="L907" s="3"/>
      <c r="M907" s="2"/>
      <c r="N907" s="2"/>
    </row>
    <row r="908" spans="5:14" x14ac:dyDescent="0.35">
      <c r="E908" s="2"/>
      <c r="F908" s="2"/>
      <c r="G908" s="3"/>
      <c r="H908" s="3"/>
      <c r="I908" s="3"/>
      <c r="J908" s="3"/>
      <c r="K908" s="3"/>
      <c r="L908" s="3"/>
      <c r="M908" s="2"/>
      <c r="N908" s="2"/>
    </row>
    <row r="909" spans="5:14" x14ac:dyDescent="0.35">
      <c r="E909" s="2"/>
      <c r="F909" s="2"/>
      <c r="G909" s="3"/>
      <c r="H909" s="3"/>
      <c r="I909" s="3"/>
      <c r="J909" s="3"/>
      <c r="K909" s="3"/>
      <c r="L909" s="3"/>
      <c r="M909" s="2"/>
      <c r="N909" s="2"/>
    </row>
    <row r="910" spans="5:14" x14ac:dyDescent="0.35">
      <c r="E910" s="2"/>
      <c r="F910" s="2"/>
      <c r="G910" s="3"/>
      <c r="H910" s="3"/>
      <c r="I910" s="3"/>
      <c r="J910" s="3"/>
      <c r="K910" s="3"/>
      <c r="L910" s="3"/>
      <c r="M910" s="2"/>
      <c r="N910" s="2"/>
    </row>
    <row r="911" spans="5:14" x14ac:dyDescent="0.35">
      <c r="E911" s="2"/>
      <c r="F911" s="2"/>
      <c r="G911" s="3"/>
      <c r="H911" s="3"/>
      <c r="I911" s="3"/>
      <c r="J911" s="3"/>
      <c r="K911" s="3"/>
      <c r="L911" s="3"/>
      <c r="M911" s="2"/>
      <c r="N911" s="2"/>
    </row>
    <row r="912" spans="5:14" x14ac:dyDescent="0.35">
      <c r="E912" s="2"/>
      <c r="F912" s="2"/>
      <c r="G912" s="3"/>
      <c r="H912" s="3"/>
      <c r="I912" s="3"/>
      <c r="J912" s="3"/>
      <c r="K912" s="3"/>
      <c r="L912" s="3"/>
      <c r="M912" s="2"/>
      <c r="N912" s="2"/>
    </row>
    <row r="913" spans="5:14" x14ac:dyDescent="0.35">
      <c r="E913" s="2"/>
      <c r="F913" s="2"/>
      <c r="G913" s="3"/>
      <c r="H913" s="3"/>
      <c r="I913" s="3"/>
      <c r="J913" s="3"/>
      <c r="K913" s="3"/>
      <c r="L913" s="3"/>
      <c r="M913" s="2"/>
      <c r="N913" s="2"/>
    </row>
    <row r="914" spans="5:14" x14ac:dyDescent="0.35">
      <c r="E914" s="2"/>
      <c r="F914" s="2"/>
      <c r="G914" s="3"/>
      <c r="H914" s="3"/>
      <c r="I914" s="3"/>
      <c r="J914" s="3"/>
      <c r="K914" s="3"/>
      <c r="L914" s="3"/>
      <c r="M914" s="2"/>
      <c r="N914" s="2"/>
    </row>
    <row r="915" spans="5:14" x14ac:dyDescent="0.35">
      <c r="E915" s="2"/>
      <c r="F915" s="2"/>
      <c r="G915" s="3"/>
      <c r="H915" s="3"/>
      <c r="I915" s="3"/>
      <c r="J915" s="3"/>
      <c r="K915" s="3"/>
      <c r="L915" s="3"/>
      <c r="M915" s="2"/>
      <c r="N915" s="2"/>
    </row>
    <row r="916" spans="5:14" x14ac:dyDescent="0.35">
      <c r="E916" s="2"/>
      <c r="F916" s="2"/>
      <c r="G916" s="3"/>
      <c r="H916" s="3"/>
      <c r="I916" s="3"/>
      <c r="J916" s="3"/>
      <c r="K916" s="3"/>
      <c r="L916" s="3"/>
      <c r="M916" s="2"/>
      <c r="N916" s="2"/>
    </row>
    <row r="917" spans="5:14" x14ac:dyDescent="0.35">
      <c r="E917" s="2"/>
      <c r="F917" s="2"/>
      <c r="G917" s="3"/>
      <c r="H917" s="3"/>
      <c r="I917" s="3"/>
      <c r="J917" s="3"/>
      <c r="K917" s="3"/>
      <c r="L917" s="3"/>
      <c r="M917" s="2"/>
      <c r="N917" s="2"/>
    </row>
    <row r="918" spans="5:14" x14ac:dyDescent="0.35">
      <c r="E918" s="2"/>
      <c r="F918" s="2"/>
      <c r="G918" s="3"/>
      <c r="H918" s="3"/>
      <c r="I918" s="3"/>
      <c r="J918" s="3"/>
      <c r="K918" s="3"/>
      <c r="L918" s="3"/>
      <c r="M918" s="2"/>
      <c r="N918" s="2"/>
    </row>
    <row r="919" spans="5:14" x14ac:dyDescent="0.35">
      <c r="E919" s="2"/>
      <c r="F919" s="2"/>
      <c r="G919" s="3"/>
      <c r="H919" s="3"/>
      <c r="I919" s="3"/>
      <c r="J919" s="3"/>
      <c r="K919" s="3"/>
      <c r="L919" s="3"/>
      <c r="M919" s="2"/>
      <c r="N919" s="2"/>
    </row>
    <row r="920" spans="5:14" x14ac:dyDescent="0.35">
      <c r="E920" s="2"/>
      <c r="F920" s="2"/>
      <c r="G920" s="3"/>
      <c r="H920" s="3"/>
      <c r="I920" s="3"/>
      <c r="J920" s="3"/>
      <c r="K920" s="3"/>
      <c r="L920" s="3"/>
      <c r="M920" s="2"/>
      <c r="N920" s="2"/>
    </row>
    <row r="921" spans="5:14" x14ac:dyDescent="0.35">
      <c r="E921" s="2"/>
      <c r="F921" s="2"/>
      <c r="G921" s="3"/>
      <c r="H921" s="3"/>
      <c r="I921" s="3"/>
      <c r="J921" s="3"/>
      <c r="K921" s="3"/>
      <c r="L921" s="3"/>
      <c r="M921" s="2"/>
      <c r="N921" s="2"/>
    </row>
    <row r="922" spans="5:14" x14ac:dyDescent="0.35">
      <c r="E922" s="2"/>
      <c r="F922" s="2"/>
      <c r="G922" s="3"/>
      <c r="H922" s="3"/>
      <c r="I922" s="3"/>
      <c r="J922" s="3"/>
      <c r="K922" s="3"/>
      <c r="L922" s="3"/>
      <c r="M922" s="2"/>
      <c r="N922" s="2"/>
    </row>
    <row r="923" spans="5:14" x14ac:dyDescent="0.35">
      <c r="E923" s="2"/>
      <c r="F923" s="2"/>
      <c r="G923" s="3"/>
      <c r="H923" s="3"/>
      <c r="I923" s="3"/>
      <c r="J923" s="3"/>
      <c r="K923" s="3"/>
      <c r="L923" s="3"/>
      <c r="M923" s="2"/>
      <c r="N923" s="2"/>
    </row>
    <row r="924" spans="5:14" x14ac:dyDescent="0.35">
      <c r="E924" s="2"/>
      <c r="F924" s="2"/>
      <c r="G924" s="3"/>
      <c r="H924" s="3"/>
      <c r="I924" s="3"/>
      <c r="J924" s="3"/>
      <c r="K924" s="3"/>
      <c r="L924" s="3"/>
      <c r="M924" s="2"/>
      <c r="N924" s="2"/>
    </row>
    <row r="925" spans="5:14" x14ac:dyDescent="0.35">
      <c r="E925" s="2"/>
      <c r="F925" s="2"/>
      <c r="G925" s="3"/>
      <c r="H925" s="3"/>
      <c r="I925" s="3"/>
      <c r="J925" s="3"/>
      <c r="K925" s="3"/>
      <c r="L925" s="3"/>
      <c r="M925" s="2"/>
      <c r="N925" s="2"/>
    </row>
    <row r="926" spans="5:14" x14ac:dyDescent="0.35">
      <c r="E926" s="2"/>
      <c r="F926" s="2"/>
      <c r="G926" s="3"/>
      <c r="H926" s="3"/>
      <c r="I926" s="3"/>
      <c r="J926" s="3"/>
      <c r="K926" s="3"/>
      <c r="L926" s="3"/>
      <c r="M926" s="2"/>
      <c r="N926" s="2"/>
    </row>
    <row r="927" spans="5:14" x14ac:dyDescent="0.35">
      <c r="E927" s="2"/>
      <c r="F927" s="2"/>
      <c r="G927" s="3"/>
      <c r="H927" s="3"/>
      <c r="I927" s="3"/>
      <c r="J927" s="3"/>
      <c r="K927" s="3"/>
      <c r="L927" s="3"/>
      <c r="M927" s="2"/>
      <c r="N927" s="2"/>
    </row>
    <row r="928" spans="5:14" x14ac:dyDescent="0.35">
      <c r="E928" s="2"/>
      <c r="F928" s="2"/>
      <c r="G928" s="3"/>
      <c r="H928" s="3"/>
      <c r="I928" s="3"/>
      <c r="J928" s="3"/>
      <c r="K928" s="3"/>
      <c r="L928" s="3"/>
      <c r="M928" s="2"/>
      <c r="N928" s="2"/>
    </row>
    <row r="929" spans="5:14" x14ac:dyDescent="0.35">
      <c r="E929" s="2"/>
      <c r="F929" s="2"/>
      <c r="G929" s="3"/>
      <c r="H929" s="3"/>
      <c r="I929" s="3"/>
      <c r="J929" s="3"/>
      <c r="K929" s="3"/>
      <c r="L929" s="3"/>
      <c r="M929" s="2"/>
      <c r="N929" s="2"/>
    </row>
    <row r="930" spans="5:14" x14ac:dyDescent="0.35">
      <c r="E930" s="2"/>
      <c r="F930" s="2"/>
      <c r="G930" s="3"/>
      <c r="H930" s="3"/>
      <c r="I930" s="3"/>
      <c r="J930" s="3"/>
      <c r="K930" s="3"/>
      <c r="L930" s="3"/>
      <c r="M930" s="2"/>
      <c r="N930" s="2"/>
    </row>
    <row r="931" spans="5:14" x14ac:dyDescent="0.35">
      <c r="E931" s="2"/>
      <c r="F931" s="2"/>
      <c r="G931" s="3"/>
      <c r="H931" s="3"/>
      <c r="I931" s="3"/>
      <c r="J931" s="3"/>
      <c r="K931" s="3"/>
      <c r="L931" s="3"/>
      <c r="M931" s="2"/>
      <c r="N931" s="2"/>
    </row>
    <row r="932" spans="5:14" x14ac:dyDescent="0.35">
      <c r="E932" s="2"/>
      <c r="F932" s="2"/>
      <c r="G932" s="3"/>
      <c r="H932" s="3"/>
      <c r="I932" s="3"/>
      <c r="J932" s="3"/>
      <c r="K932" s="3"/>
      <c r="L932" s="3"/>
      <c r="M932" s="2"/>
      <c r="N932" s="2"/>
    </row>
    <row r="933" spans="5:14" x14ac:dyDescent="0.35">
      <c r="E933" s="2"/>
      <c r="F933" s="2"/>
      <c r="G933" s="3"/>
      <c r="H933" s="3"/>
      <c r="I933" s="3"/>
      <c r="J933" s="3"/>
      <c r="K933" s="3"/>
      <c r="L933" s="3"/>
      <c r="M933" s="2"/>
      <c r="N933" s="2"/>
    </row>
    <row r="934" spans="5:14" x14ac:dyDescent="0.35">
      <c r="E934" s="2"/>
      <c r="F934" s="2"/>
      <c r="G934" s="3"/>
      <c r="H934" s="3"/>
      <c r="I934" s="3"/>
      <c r="J934" s="3"/>
      <c r="K934" s="3"/>
      <c r="L934" s="3"/>
      <c r="M934" s="2"/>
      <c r="N934" s="2"/>
    </row>
    <row r="935" spans="5:14" x14ac:dyDescent="0.35">
      <c r="E935" s="2"/>
      <c r="F935" s="2"/>
      <c r="G935" s="3"/>
      <c r="H935" s="3"/>
      <c r="I935" s="3"/>
      <c r="J935" s="3"/>
      <c r="K935" s="3"/>
      <c r="L935" s="3"/>
      <c r="M935" s="2"/>
      <c r="N935" s="2"/>
    </row>
    <row r="936" spans="5:14" x14ac:dyDescent="0.35">
      <c r="E936" s="2"/>
      <c r="F936" s="2"/>
      <c r="G936" s="3"/>
      <c r="H936" s="3"/>
      <c r="I936" s="3"/>
      <c r="J936" s="3"/>
      <c r="K936" s="3"/>
      <c r="L936" s="3"/>
      <c r="M936" s="2"/>
      <c r="N936" s="2"/>
    </row>
    <row r="937" spans="5:14" x14ac:dyDescent="0.35">
      <c r="E937" s="2"/>
      <c r="F937" s="2"/>
      <c r="G937" s="3"/>
      <c r="H937" s="3"/>
      <c r="I937" s="3"/>
      <c r="J937" s="3"/>
      <c r="K937" s="3"/>
      <c r="L937" s="3"/>
      <c r="M937" s="2"/>
      <c r="N937" s="2"/>
    </row>
    <row r="938" spans="5:14" x14ac:dyDescent="0.35">
      <c r="E938" s="2"/>
      <c r="F938" s="2"/>
      <c r="G938" s="3"/>
      <c r="H938" s="3"/>
      <c r="I938" s="3"/>
      <c r="J938" s="3"/>
      <c r="K938" s="3"/>
      <c r="L938" s="3"/>
      <c r="M938" s="2"/>
      <c r="N938" s="2"/>
    </row>
    <row r="939" spans="5:14" x14ac:dyDescent="0.35">
      <c r="E939" s="2"/>
      <c r="F939" s="2"/>
      <c r="G939" s="3"/>
      <c r="H939" s="3"/>
      <c r="I939" s="3"/>
      <c r="J939" s="3"/>
      <c r="K939" s="3"/>
      <c r="L939" s="3"/>
      <c r="M939" s="2"/>
      <c r="N939" s="2"/>
    </row>
    <row r="940" spans="5:14" x14ac:dyDescent="0.35">
      <c r="E940" s="2"/>
      <c r="F940" s="2"/>
      <c r="G940" s="3"/>
      <c r="H940" s="3"/>
      <c r="I940" s="3"/>
      <c r="J940" s="3"/>
      <c r="K940" s="3"/>
      <c r="L940" s="3"/>
      <c r="M940" s="2"/>
      <c r="N940" s="2"/>
    </row>
    <row r="941" spans="5:14" x14ac:dyDescent="0.35">
      <c r="E941" s="2"/>
      <c r="F941" s="2"/>
      <c r="G941" s="3"/>
      <c r="H941" s="3"/>
      <c r="I941" s="3"/>
      <c r="J941" s="3"/>
      <c r="K941" s="3"/>
      <c r="L941" s="3"/>
      <c r="M941" s="2"/>
      <c r="N941" s="2"/>
    </row>
    <row r="942" spans="5:14" x14ac:dyDescent="0.35">
      <c r="E942" s="2"/>
      <c r="F942" s="2"/>
      <c r="G942" s="3"/>
      <c r="H942" s="3"/>
      <c r="I942" s="3"/>
      <c r="J942" s="3"/>
      <c r="K942" s="3"/>
      <c r="L942" s="3"/>
      <c r="M942" s="2"/>
      <c r="N942" s="2"/>
    </row>
    <row r="943" spans="5:14" x14ac:dyDescent="0.35">
      <c r="E943" s="2"/>
      <c r="F943" s="2"/>
      <c r="G943" s="3"/>
      <c r="H943" s="3"/>
      <c r="I943" s="3"/>
      <c r="J943" s="3"/>
      <c r="K943" s="3"/>
      <c r="L943" s="3"/>
      <c r="M943" s="2"/>
      <c r="N943" s="2"/>
    </row>
    <row r="944" spans="5:14" x14ac:dyDescent="0.35">
      <c r="E944" s="2"/>
      <c r="F944" s="2"/>
      <c r="G944" s="3"/>
      <c r="H944" s="3"/>
      <c r="I944" s="3"/>
      <c r="J944" s="3"/>
      <c r="K944" s="3"/>
      <c r="L944" s="3"/>
      <c r="M944" s="2"/>
      <c r="N944" s="2"/>
    </row>
    <row r="945" spans="5:14" x14ac:dyDescent="0.35">
      <c r="E945" s="2"/>
      <c r="F945" s="2"/>
      <c r="G945" s="3"/>
      <c r="H945" s="3"/>
      <c r="I945" s="3"/>
      <c r="J945" s="3"/>
      <c r="K945" s="3"/>
      <c r="L945" s="3"/>
      <c r="M945" s="2"/>
      <c r="N945" s="2"/>
    </row>
    <row r="946" spans="5:14" x14ac:dyDescent="0.35">
      <c r="E946" s="2"/>
      <c r="F946" s="2"/>
      <c r="G946" s="3"/>
      <c r="H946" s="3"/>
      <c r="I946" s="3"/>
      <c r="J946" s="3"/>
      <c r="K946" s="3"/>
      <c r="L946" s="3"/>
      <c r="M946" s="2"/>
      <c r="N946" s="2"/>
    </row>
    <row r="947" spans="5:14" x14ac:dyDescent="0.35">
      <c r="E947" s="2"/>
      <c r="F947" s="2"/>
      <c r="G947" s="3"/>
      <c r="H947" s="3"/>
      <c r="I947" s="3"/>
      <c r="J947" s="3"/>
      <c r="K947" s="3"/>
      <c r="L947" s="3"/>
      <c r="M947" s="2"/>
      <c r="N947" s="2"/>
    </row>
    <row r="948" spans="5:14" x14ac:dyDescent="0.35">
      <c r="E948" s="2"/>
      <c r="F948" s="2"/>
      <c r="G948" s="3"/>
      <c r="H948" s="3"/>
      <c r="I948" s="3"/>
      <c r="J948" s="3"/>
      <c r="K948" s="3"/>
      <c r="L948" s="3"/>
      <c r="M948" s="2"/>
      <c r="N948" s="2"/>
    </row>
    <row r="949" spans="5:14" x14ac:dyDescent="0.35">
      <c r="E949" s="2"/>
      <c r="F949" s="2"/>
      <c r="G949" s="3"/>
      <c r="H949" s="3"/>
      <c r="I949" s="3"/>
      <c r="J949" s="3"/>
      <c r="K949" s="3"/>
      <c r="L949" s="3"/>
      <c r="M949" s="2"/>
      <c r="N949" s="2"/>
    </row>
    <row r="950" spans="5:14" x14ac:dyDescent="0.35">
      <c r="E950" s="2"/>
      <c r="F950" s="2"/>
      <c r="G950" s="3"/>
      <c r="H950" s="3"/>
      <c r="I950" s="3"/>
      <c r="J950" s="3"/>
      <c r="K950" s="3"/>
      <c r="L950" s="3"/>
      <c r="M950" s="2"/>
      <c r="N950" s="2"/>
    </row>
    <row r="951" spans="5:14" x14ac:dyDescent="0.35">
      <c r="E951" s="2"/>
      <c r="F951" s="2"/>
      <c r="G951" s="3"/>
      <c r="H951" s="3"/>
      <c r="I951" s="3"/>
      <c r="J951" s="3"/>
      <c r="K951" s="3"/>
      <c r="L951" s="3"/>
      <c r="M951" s="2"/>
      <c r="N951" s="2"/>
    </row>
    <row r="952" spans="5:14" x14ac:dyDescent="0.35">
      <c r="E952" s="2"/>
      <c r="F952" s="2"/>
      <c r="G952" s="3"/>
      <c r="H952" s="3"/>
      <c r="I952" s="3"/>
      <c r="J952" s="3"/>
      <c r="K952" s="3"/>
      <c r="L952" s="3"/>
      <c r="M952" s="2"/>
      <c r="N952" s="2"/>
    </row>
    <row r="953" spans="5:14" x14ac:dyDescent="0.35">
      <c r="E953" s="2"/>
      <c r="F953" s="2"/>
      <c r="G953" s="3"/>
      <c r="H953" s="3"/>
      <c r="I953" s="3"/>
      <c r="J953" s="3"/>
      <c r="K953" s="3"/>
      <c r="L953" s="3"/>
      <c r="M953" s="2"/>
      <c r="N953" s="2"/>
    </row>
    <row r="954" spans="5:14" x14ac:dyDescent="0.35">
      <c r="E954" s="2"/>
      <c r="F954" s="2"/>
      <c r="G954" s="3"/>
      <c r="H954" s="3"/>
      <c r="I954" s="3"/>
      <c r="J954" s="3"/>
      <c r="K954" s="3"/>
      <c r="L954" s="3"/>
      <c r="M954" s="2"/>
      <c r="N954" s="2"/>
    </row>
    <row r="955" spans="5:14" x14ac:dyDescent="0.35">
      <c r="E955" s="2"/>
      <c r="F955" s="2"/>
      <c r="G955" s="3"/>
      <c r="H955" s="3"/>
      <c r="I955" s="3"/>
      <c r="J955" s="3"/>
      <c r="K955" s="3"/>
      <c r="L955" s="3"/>
      <c r="M955" s="2"/>
      <c r="N955" s="2"/>
    </row>
    <row r="956" spans="5:14" x14ac:dyDescent="0.35">
      <c r="E956" s="2"/>
      <c r="F956" s="2"/>
      <c r="G956" s="3"/>
      <c r="H956" s="3"/>
      <c r="I956" s="3"/>
      <c r="J956" s="3"/>
      <c r="K956" s="3"/>
      <c r="L956" s="3"/>
      <c r="M956" s="2"/>
      <c r="N956" s="2"/>
    </row>
    <row r="957" spans="5:14" x14ac:dyDescent="0.35">
      <c r="E957" s="2"/>
      <c r="F957" s="2"/>
      <c r="G957" s="3"/>
      <c r="H957" s="3"/>
      <c r="I957" s="3"/>
      <c r="J957" s="3"/>
      <c r="K957" s="3"/>
      <c r="L957" s="3"/>
      <c r="M957" s="2"/>
      <c r="N957" s="2"/>
    </row>
    <row r="958" spans="5:14" x14ac:dyDescent="0.35">
      <c r="E958" s="2"/>
      <c r="F958" s="2"/>
      <c r="G958" s="3"/>
      <c r="H958" s="3"/>
      <c r="I958" s="3"/>
      <c r="J958" s="3"/>
      <c r="K958" s="3"/>
      <c r="L958" s="3"/>
      <c r="M958" s="2"/>
      <c r="N958" s="2"/>
    </row>
    <row r="959" spans="5:14" x14ac:dyDescent="0.35">
      <c r="E959" s="2"/>
      <c r="F959" s="2"/>
      <c r="G959" s="3"/>
      <c r="H959" s="3"/>
      <c r="I959" s="3"/>
      <c r="J959" s="3"/>
      <c r="K959" s="3"/>
      <c r="L959" s="3"/>
      <c r="M959" s="2"/>
      <c r="N959" s="2"/>
    </row>
    <row r="960" spans="5:14" x14ac:dyDescent="0.35">
      <c r="E960" s="2"/>
      <c r="F960" s="2"/>
      <c r="G960" s="3"/>
      <c r="H960" s="3"/>
      <c r="I960" s="3"/>
      <c r="J960" s="3"/>
      <c r="K960" s="3"/>
      <c r="L960" s="3"/>
      <c r="M960" s="2"/>
      <c r="N960" s="2"/>
    </row>
    <row r="961" spans="5:14" x14ac:dyDescent="0.35">
      <c r="E961" s="2"/>
      <c r="F961" s="2"/>
      <c r="G961" s="3"/>
      <c r="H961" s="3"/>
      <c r="I961" s="3"/>
      <c r="J961" s="3"/>
      <c r="K961" s="3"/>
      <c r="L961" s="3"/>
      <c r="M961" s="2"/>
      <c r="N961" s="2"/>
    </row>
    <row r="962" spans="5:14" x14ac:dyDescent="0.35">
      <c r="E962" s="2"/>
      <c r="F962" s="2"/>
      <c r="G962" s="3"/>
      <c r="H962" s="3"/>
      <c r="I962" s="3"/>
      <c r="J962" s="3"/>
      <c r="K962" s="3"/>
      <c r="L962" s="3"/>
      <c r="M962" s="2"/>
      <c r="N962" s="2"/>
    </row>
    <row r="963" spans="5:14" x14ac:dyDescent="0.35">
      <c r="E963" s="2"/>
      <c r="F963" s="2"/>
      <c r="G963" s="3"/>
      <c r="H963" s="3"/>
      <c r="I963" s="3"/>
      <c r="J963" s="3"/>
      <c r="K963" s="3"/>
      <c r="L963" s="3"/>
      <c r="M963" s="2"/>
      <c r="N963" s="2"/>
    </row>
    <row r="964" spans="5:14" x14ac:dyDescent="0.35">
      <c r="E964" s="2"/>
      <c r="F964" s="2"/>
      <c r="G964" s="3"/>
      <c r="H964" s="3"/>
      <c r="I964" s="3"/>
      <c r="J964" s="3"/>
      <c r="K964" s="3"/>
      <c r="L964" s="3"/>
      <c r="M964" s="2"/>
      <c r="N964" s="2"/>
    </row>
    <row r="965" spans="5:14" x14ac:dyDescent="0.35">
      <c r="E965" s="2"/>
      <c r="F965" s="2"/>
      <c r="G965" s="3"/>
      <c r="H965" s="3"/>
      <c r="I965" s="3"/>
      <c r="J965" s="3"/>
      <c r="K965" s="3"/>
      <c r="L965" s="3"/>
      <c r="M965" s="2"/>
      <c r="N965" s="2"/>
    </row>
    <row r="966" spans="5:14" x14ac:dyDescent="0.35">
      <c r="E966" s="2"/>
      <c r="F966" s="2"/>
      <c r="G966" s="3"/>
      <c r="H966" s="3"/>
      <c r="I966" s="3"/>
      <c r="J966" s="3"/>
      <c r="K966" s="3"/>
      <c r="L966" s="3"/>
      <c r="M966" s="2"/>
      <c r="N966" s="2"/>
    </row>
    <row r="967" spans="5:14" x14ac:dyDescent="0.35">
      <c r="E967" s="2"/>
      <c r="F967" s="2"/>
      <c r="G967" s="3"/>
      <c r="H967" s="3"/>
      <c r="I967" s="3"/>
      <c r="J967" s="3"/>
      <c r="K967" s="3"/>
      <c r="L967" s="3"/>
      <c r="M967" s="2"/>
      <c r="N967" s="2"/>
    </row>
    <row r="968" spans="5:14" x14ac:dyDescent="0.35">
      <c r="E968" s="2"/>
      <c r="F968" s="2"/>
      <c r="G968" s="3"/>
      <c r="H968" s="3"/>
      <c r="I968" s="3"/>
      <c r="J968" s="3"/>
      <c r="K968" s="3"/>
      <c r="L968" s="3"/>
      <c r="M968" s="2"/>
      <c r="N968" s="2"/>
    </row>
    <row r="969" spans="5:14" x14ac:dyDescent="0.35">
      <c r="E969" s="2"/>
      <c r="F969" s="2"/>
      <c r="G969" s="3"/>
      <c r="H969" s="3"/>
      <c r="I969" s="3"/>
      <c r="J969" s="3"/>
      <c r="K969" s="3"/>
      <c r="L969" s="3"/>
      <c r="M969" s="2"/>
      <c r="N969" s="2"/>
    </row>
    <row r="970" spans="5:14" x14ac:dyDescent="0.35">
      <c r="E970" s="2"/>
      <c r="F970" s="2"/>
      <c r="G970" s="3"/>
      <c r="H970" s="3"/>
      <c r="I970" s="3"/>
      <c r="J970" s="3"/>
      <c r="K970" s="3"/>
      <c r="L970" s="3"/>
      <c r="M970" s="2"/>
      <c r="N970" s="2"/>
    </row>
    <row r="971" spans="5:14" x14ac:dyDescent="0.35">
      <c r="E971" s="2"/>
      <c r="F971" s="2"/>
      <c r="G971" s="3"/>
      <c r="H971" s="3"/>
      <c r="I971" s="3"/>
      <c r="J971" s="3"/>
      <c r="K971" s="3"/>
      <c r="L971" s="3"/>
      <c r="M971" s="2"/>
      <c r="N971" s="2"/>
    </row>
    <row r="972" spans="5:14" x14ac:dyDescent="0.35">
      <c r="E972" s="2"/>
      <c r="F972" s="2"/>
      <c r="G972" s="3"/>
      <c r="H972" s="3"/>
      <c r="I972" s="3"/>
      <c r="J972" s="3"/>
      <c r="K972" s="3"/>
      <c r="L972" s="3"/>
      <c r="M972" s="2"/>
      <c r="N972" s="2"/>
    </row>
    <row r="973" spans="5:14" x14ac:dyDescent="0.35">
      <c r="E973" s="2"/>
      <c r="F973" s="2"/>
      <c r="G973" s="3"/>
      <c r="H973" s="3"/>
      <c r="I973" s="3"/>
      <c r="J973" s="3"/>
      <c r="K973" s="3"/>
      <c r="L973" s="3"/>
      <c r="M973" s="2"/>
      <c r="N973" s="2"/>
    </row>
    <row r="974" spans="5:14" x14ac:dyDescent="0.35">
      <c r="E974" s="2"/>
      <c r="F974" s="2"/>
      <c r="G974" s="3"/>
      <c r="H974" s="3"/>
      <c r="I974" s="3"/>
      <c r="J974" s="3"/>
      <c r="K974" s="3"/>
      <c r="L974" s="3"/>
      <c r="M974" s="2"/>
      <c r="N974" s="2"/>
    </row>
    <row r="975" spans="5:14" x14ac:dyDescent="0.35">
      <c r="E975" s="2"/>
      <c r="F975" s="2"/>
      <c r="G975" s="3"/>
      <c r="H975" s="3"/>
      <c r="I975" s="3"/>
      <c r="J975" s="3"/>
      <c r="K975" s="3"/>
      <c r="L975" s="3"/>
      <c r="M975" s="2"/>
      <c r="N975" s="2"/>
    </row>
    <row r="976" spans="5:14" x14ac:dyDescent="0.35">
      <c r="E976" s="2"/>
      <c r="F976" s="2"/>
      <c r="G976" s="3"/>
      <c r="H976" s="3"/>
      <c r="I976" s="3"/>
      <c r="J976" s="3"/>
      <c r="K976" s="3"/>
      <c r="L976" s="3"/>
      <c r="M976" s="2"/>
      <c r="N976" s="2"/>
    </row>
    <row r="977" spans="5:14" x14ac:dyDescent="0.35">
      <c r="E977" s="2"/>
      <c r="F977" s="2"/>
      <c r="G977" s="3"/>
      <c r="H977" s="3"/>
      <c r="I977" s="3"/>
      <c r="J977" s="3"/>
      <c r="K977" s="3"/>
      <c r="L977" s="3"/>
      <c r="M977" s="2"/>
      <c r="N977" s="2"/>
    </row>
    <row r="978" spans="5:14" x14ac:dyDescent="0.35">
      <c r="E978" s="2"/>
      <c r="F978" s="2"/>
      <c r="G978" s="3"/>
      <c r="H978" s="3"/>
      <c r="I978" s="3"/>
      <c r="J978" s="3"/>
      <c r="K978" s="3"/>
      <c r="L978" s="3"/>
      <c r="M978" s="2"/>
      <c r="N978" s="2"/>
    </row>
    <row r="979" spans="5:14" x14ac:dyDescent="0.35">
      <c r="E979" s="2"/>
      <c r="F979" s="2"/>
      <c r="G979" s="3"/>
      <c r="H979" s="3"/>
      <c r="I979" s="3"/>
      <c r="J979" s="3"/>
      <c r="K979" s="3"/>
      <c r="L979" s="3"/>
      <c r="M979" s="2"/>
      <c r="N979" s="2"/>
    </row>
    <row r="980" spans="5:14" x14ac:dyDescent="0.35">
      <c r="E980" s="2"/>
      <c r="F980" s="2"/>
      <c r="G980" s="3"/>
      <c r="H980" s="3"/>
      <c r="I980" s="3"/>
      <c r="J980" s="3"/>
      <c r="K980" s="3"/>
      <c r="L980" s="3"/>
      <c r="M980" s="2"/>
      <c r="N980" s="2"/>
    </row>
    <row r="981" spans="5:14" x14ac:dyDescent="0.35">
      <c r="E981" s="2"/>
      <c r="F981" s="2"/>
      <c r="G981" s="3"/>
      <c r="H981" s="3"/>
      <c r="I981" s="3"/>
      <c r="J981" s="3"/>
      <c r="K981" s="3"/>
      <c r="L981" s="3"/>
      <c r="M981" s="2"/>
      <c r="N981" s="2"/>
    </row>
    <row r="982" spans="5:14" x14ac:dyDescent="0.35">
      <c r="E982" s="2"/>
      <c r="F982" s="2"/>
      <c r="G982" s="3"/>
      <c r="H982" s="3"/>
      <c r="I982" s="3"/>
      <c r="J982" s="3"/>
      <c r="K982" s="3"/>
      <c r="L982" s="3"/>
      <c r="M982" s="2"/>
      <c r="N982" s="2"/>
    </row>
    <row r="983" spans="5:14" x14ac:dyDescent="0.35">
      <c r="E983" s="2"/>
      <c r="F983" s="2"/>
      <c r="G983" s="3"/>
      <c r="H983" s="3"/>
      <c r="I983" s="3"/>
      <c r="J983" s="3"/>
      <c r="K983" s="3"/>
      <c r="L983" s="3"/>
      <c r="M983" s="2"/>
      <c r="N983" s="2"/>
    </row>
    <row r="984" spans="5:14" x14ac:dyDescent="0.35">
      <c r="E984" s="2"/>
      <c r="F984" s="2"/>
      <c r="G984" s="3"/>
      <c r="H984" s="3"/>
      <c r="I984" s="3"/>
      <c r="J984" s="3"/>
      <c r="K984" s="3"/>
      <c r="L984" s="3"/>
      <c r="M984" s="2"/>
      <c r="N984" s="2"/>
    </row>
    <row r="985" spans="5:14" x14ac:dyDescent="0.35">
      <c r="E985" s="2"/>
      <c r="F985" s="2"/>
      <c r="G985" s="3"/>
      <c r="H985" s="3"/>
      <c r="I985" s="3"/>
      <c r="J985" s="3"/>
      <c r="K985" s="3"/>
      <c r="L985" s="3"/>
      <c r="M985" s="2"/>
      <c r="N985" s="2"/>
    </row>
    <row r="986" spans="5:14" x14ac:dyDescent="0.35">
      <c r="E986" s="2"/>
      <c r="F986" s="2"/>
      <c r="G986" s="3"/>
      <c r="H986" s="3"/>
      <c r="I986" s="3"/>
      <c r="J986" s="3"/>
      <c r="K986" s="3"/>
      <c r="L986" s="3"/>
      <c r="M986" s="2"/>
      <c r="N986" s="2"/>
    </row>
    <row r="987" spans="5:14" x14ac:dyDescent="0.35">
      <c r="E987" s="2"/>
      <c r="F987" s="2"/>
      <c r="G987" s="3"/>
      <c r="H987" s="3"/>
      <c r="I987" s="3"/>
      <c r="J987" s="3"/>
      <c r="K987" s="3"/>
      <c r="L987" s="3"/>
      <c r="M987" s="2"/>
      <c r="N987" s="2"/>
    </row>
    <row r="988" spans="5:14" x14ac:dyDescent="0.35">
      <c r="E988" s="2"/>
      <c r="F988" s="2"/>
      <c r="G988" s="3"/>
      <c r="H988" s="3"/>
      <c r="I988" s="3"/>
      <c r="J988" s="3"/>
      <c r="K988" s="3"/>
      <c r="L988" s="3"/>
      <c r="M988" s="2"/>
      <c r="N988" s="2"/>
    </row>
    <row r="989" spans="5:14" x14ac:dyDescent="0.35">
      <c r="E989" s="2"/>
      <c r="F989" s="2"/>
      <c r="G989" s="3"/>
      <c r="H989" s="3"/>
      <c r="I989" s="3"/>
      <c r="J989" s="3"/>
      <c r="K989" s="3"/>
      <c r="L989" s="3"/>
      <c r="M989" s="2"/>
      <c r="N989" s="2"/>
    </row>
    <row r="990" spans="5:14" x14ac:dyDescent="0.35">
      <c r="E990" s="2"/>
      <c r="F990" s="2"/>
      <c r="G990" s="3"/>
      <c r="H990" s="3"/>
      <c r="I990" s="3"/>
      <c r="J990" s="3"/>
      <c r="K990" s="3"/>
      <c r="L990" s="3"/>
      <c r="M990" s="2"/>
      <c r="N990" s="2"/>
    </row>
    <row r="991" spans="5:14" x14ac:dyDescent="0.35">
      <c r="E991" s="2"/>
      <c r="F991" s="2"/>
      <c r="G991" s="3"/>
      <c r="H991" s="3"/>
      <c r="I991" s="3"/>
      <c r="J991" s="3"/>
      <c r="K991" s="3"/>
      <c r="L991" s="3"/>
      <c r="M991" s="2"/>
      <c r="N991" s="2"/>
    </row>
    <row r="992" spans="5:14" x14ac:dyDescent="0.35">
      <c r="E992" s="2"/>
      <c r="F992" s="2"/>
      <c r="G992" s="3"/>
      <c r="H992" s="3"/>
      <c r="I992" s="3"/>
      <c r="J992" s="3"/>
      <c r="K992" s="3"/>
      <c r="L992" s="3"/>
      <c r="M992" s="2"/>
      <c r="N992" s="2"/>
    </row>
    <row r="993" spans="5:14" x14ac:dyDescent="0.35">
      <c r="E993" s="2"/>
      <c r="F993" s="2"/>
      <c r="G993" s="3"/>
      <c r="H993" s="3"/>
      <c r="I993" s="3"/>
      <c r="J993" s="3"/>
      <c r="K993" s="3"/>
      <c r="L993" s="3"/>
      <c r="M993" s="2"/>
      <c r="N993" s="2"/>
    </row>
    <row r="994" spans="5:14" x14ac:dyDescent="0.35">
      <c r="E994" s="2"/>
      <c r="F994" s="2"/>
      <c r="G994" s="3"/>
      <c r="H994" s="3"/>
      <c r="I994" s="3"/>
      <c r="J994" s="3"/>
      <c r="K994" s="3"/>
      <c r="L994" s="3"/>
      <c r="M994" s="2"/>
      <c r="N994" s="2"/>
    </row>
    <row r="995" spans="5:14" x14ac:dyDescent="0.35">
      <c r="E995" s="2"/>
      <c r="F995" s="2"/>
      <c r="G995" s="3"/>
      <c r="H995" s="3"/>
      <c r="I995" s="3"/>
      <c r="J995" s="3"/>
      <c r="K995" s="3"/>
      <c r="L995" s="3"/>
      <c r="M995" s="2"/>
      <c r="N995" s="2"/>
    </row>
    <row r="996" spans="5:14" x14ac:dyDescent="0.35">
      <c r="E996" s="2"/>
      <c r="F996" s="2"/>
      <c r="G996" s="3"/>
      <c r="H996" s="3"/>
      <c r="I996" s="3"/>
      <c r="J996" s="3"/>
      <c r="K996" s="3"/>
      <c r="L996" s="3"/>
      <c r="M996" s="2"/>
      <c r="N996" s="2"/>
    </row>
    <row r="997" spans="5:14" x14ac:dyDescent="0.35">
      <c r="E997" s="2"/>
      <c r="F997" s="2"/>
      <c r="G997" s="3"/>
      <c r="H997" s="3"/>
      <c r="I997" s="3"/>
      <c r="J997" s="3"/>
      <c r="K997" s="3"/>
      <c r="L997" s="3"/>
      <c r="M997" s="2"/>
      <c r="N997" s="2"/>
    </row>
    <row r="998" spans="5:14" x14ac:dyDescent="0.35">
      <c r="E998" s="2"/>
      <c r="F998" s="2"/>
      <c r="G998" s="3"/>
      <c r="H998" s="3"/>
      <c r="I998" s="3"/>
      <c r="J998" s="3"/>
      <c r="K998" s="3"/>
      <c r="L998" s="3"/>
      <c r="M998" s="2"/>
      <c r="N998" s="2"/>
    </row>
    <row r="999" spans="5:14" x14ac:dyDescent="0.35">
      <c r="E999" s="2"/>
      <c r="F999" s="2"/>
      <c r="G999" s="3"/>
      <c r="H999" s="3"/>
      <c r="I999" s="3"/>
      <c r="J999" s="3"/>
      <c r="K999" s="3"/>
      <c r="L999" s="3"/>
      <c r="M999" s="2"/>
      <c r="N999" s="2"/>
    </row>
    <row r="1000" spans="5:14" x14ac:dyDescent="0.35">
      <c r="E1000" s="2"/>
      <c r="F1000" s="2"/>
      <c r="G1000" s="3"/>
      <c r="H1000" s="3"/>
      <c r="I1000" s="3"/>
      <c r="J1000" s="3"/>
      <c r="K1000" s="3"/>
      <c r="L1000" s="3"/>
      <c r="M1000" s="2"/>
      <c r="N1000" s="2"/>
    </row>
    <row r="1001" spans="5:14" x14ac:dyDescent="0.35">
      <c r="E1001" s="2"/>
      <c r="F1001" s="2"/>
      <c r="G1001" s="3"/>
      <c r="H1001" s="3"/>
      <c r="I1001" s="3"/>
      <c r="J1001" s="3"/>
      <c r="K1001" s="3"/>
      <c r="L1001" s="3"/>
      <c r="M1001" s="2"/>
      <c r="N1001" s="2"/>
    </row>
    <row r="1002" spans="5:14" x14ac:dyDescent="0.35">
      <c r="E1002" s="2"/>
      <c r="F1002" s="2"/>
      <c r="G1002" s="3"/>
      <c r="H1002" s="3"/>
      <c r="I1002" s="3"/>
      <c r="J1002" s="3"/>
      <c r="K1002" s="3"/>
      <c r="L1002" s="3"/>
      <c r="M1002" s="2"/>
      <c r="N1002" s="2"/>
    </row>
    <row r="1003" spans="5:14" x14ac:dyDescent="0.35">
      <c r="E1003" s="2"/>
      <c r="F1003" s="2"/>
      <c r="G1003" s="3"/>
      <c r="H1003" s="3"/>
      <c r="I1003" s="3"/>
      <c r="J1003" s="3"/>
      <c r="K1003" s="3"/>
      <c r="L1003" s="3"/>
      <c r="M1003" s="2"/>
      <c r="N1003" s="2"/>
    </row>
    <row r="1004" spans="5:14" x14ac:dyDescent="0.35">
      <c r="E1004" s="2"/>
      <c r="F1004" s="2"/>
      <c r="G1004" s="3"/>
      <c r="H1004" s="3"/>
      <c r="I1004" s="3"/>
      <c r="J1004" s="3"/>
      <c r="K1004" s="3"/>
      <c r="L1004" s="3"/>
      <c r="M1004" s="2"/>
      <c r="N1004" s="2"/>
    </row>
    <row r="1005" spans="5:14" x14ac:dyDescent="0.35">
      <c r="E1005" s="2"/>
      <c r="F1005" s="2"/>
      <c r="G1005" s="3"/>
      <c r="H1005" s="3"/>
      <c r="I1005" s="3"/>
      <c r="J1005" s="3"/>
      <c r="K1005" s="3"/>
      <c r="L1005" s="3"/>
      <c r="M1005" s="2"/>
      <c r="N1005" s="2"/>
    </row>
    <row r="1006" spans="5:14" x14ac:dyDescent="0.35">
      <c r="E1006" s="2"/>
      <c r="F1006" s="2"/>
      <c r="G1006" s="3"/>
      <c r="H1006" s="3"/>
      <c r="I1006" s="3"/>
      <c r="J1006" s="3"/>
      <c r="K1006" s="3"/>
      <c r="L1006" s="3"/>
      <c r="M1006" s="2"/>
      <c r="N1006" s="2"/>
    </row>
    <row r="1007" spans="5:14" x14ac:dyDescent="0.35">
      <c r="E1007" s="2"/>
      <c r="F1007" s="2"/>
      <c r="G1007" s="3"/>
      <c r="H1007" s="3"/>
      <c r="I1007" s="3"/>
      <c r="J1007" s="3"/>
      <c r="K1007" s="3"/>
      <c r="L1007" s="3"/>
      <c r="M1007" s="2"/>
      <c r="N1007" s="2"/>
    </row>
    <row r="1008" spans="5:14" x14ac:dyDescent="0.35">
      <c r="E1008" s="2"/>
      <c r="F1008" s="2"/>
      <c r="G1008" s="3"/>
      <c r="H1008" s="3"/>
      <c r="I1008" s="3"/>
      <c r="J1008" s="3"/>
      <c r="K1008" s="3"/>
      <c r="L1008" s="3"/>
      <c r="M1008" s="2"/>
      <c r="N1008" s="2"/>
    </row>
    <row r="1009" spans="5:14" x14ac:dyDescent="0.35">
      <c r="E1009" s="2"/>
      <c r="F1009" s="2"/>
      <c r="G1009" s="3"/>
      <c r="H1009" s="3"/>
      <c r="I1009" s="3"/>
      <c r="J1009" s="3"/>
      <c r="K1009" s="3"/>
      <c r="L1009" s="3"/>
      <c r="M1009" s="2"/>
      <c r="N1009" s="2"/>
    </row>
    <row r="1010" spans="5:14" x14ac:dyDescent="0.35">
      <c r="E1010" s="2"/>
      <c r="F1010" s="2"/>
      <c r="G1010" s="3"/>
      <c r="H1010" s="3"/>
      <c r="I1010" s="3"/>
      <c r="J1010" s="3"/>
      <c r="K1010" s="3"/>
      <c r="L1010" s="3"/>
      <c r="M1010" s="2"/>
      <c r="N1010" s="2"/>
    </row>
    <row r="1011" spans="5:14" x14ac:dyDescent="0.35">
      <c r="E1011" s="2"/>
      <c r="F1011" s="2"/>
      <c r="G1011" s="3"/>
      <c r="H1011" s="3"/>
      <c r="I1011" s="3"/>
      <c r="J1011" s="3"/>
      <c r="K1011" s="3"/>
      <c r="L1011" s="3"/>
      <c r="M1011" s="2"/>
      <c r="N1011" s="2"/>
    </row>
    <row r="1012" spans="5:14" x14ac:dyDescent="0.35">
      <c r="E1012" s="2"/>
      <c r="F1012" s="2"/>
      <c r="G1012" s="3"/>
      <c r="H1012" s="3"/>
      <c r="I1012" s="3"/>
      <c r="J1012" s="3"/>
      <c r="K1012" s="3"/>
      <c r="L1012" s="3"/>
      <c r="M1012" s="2"/>
      <c r="N1012" s="2"/>
    </row>
    <row r="1013" spans="5:14" x14ac:dyDescent="0.35">
      <c r="E1013" s="2"/>
      <c r="F1013" s="2"/>
      <c r="G1013" s="3"/>
      <c r="H1013" s="3"/>
      <c r="I1013" s="3"/>
      <c r="J1013" s="3"/>
      <c r="K1013" s="3"/>
      <c r="L1013" s="3"/>
      <c r="M1013" s="2"/>
      <c r="N1013" s="2"/>
    </row>
    <row r="1014" spans="5:14" x14ac:dyDescent="0.35">
      <c r="E1014" s="2"/>
      <c r="F1014" s="2"/>
      <c r="G1014" s="3"/>
      <c r="H1014" s="3"/>
      <c r="I1014" s="3"/>
      <c r="J1014" s="3"/>
      <c r="K1014" s="3"/>
      <c r="L1014" s="3"/>
      <c r="M1014" s="2"/>
      <c r="N1014" s="2"/>
    </row>
    <row r="1015" spans="5:14" x14ac:dyDescent="0.35">
      <c r="E1015" s="2"/>
      <c r="F1015" s="2"/>
      <c r="G1015" s="3"/>
      <c r="H1015" s="3"/>
      <c r="I1015" s="3"/>
      <c r="J1015" s="3"/>
      <c r="K1015" s="3"/>
      <c r="L1015" s="3"/>
      <c r="M1015" s="2"/>
      <c r="N1015" s="2"/>
    </row>
    <row r="1016" spans="5:14" x14ac:dyDescent="0.35">
      <c r="E1016" s="2"/>
      <c r="F1016" s="2"/>
      <c r="G1016" s="3"/>
      <c r="H1016" s="3"/>
      <c r="I1016" s="3"/>
      <c r="J1016" s="3"/>
      <c r="K1016" s="3"/>
      <c r="L1016" s="3"/>
      <c r="M1016" s="2"/>
      <c r="N1016" s="2"/>
    </row>
    <row r="1017" spans="5:14" x14ac:dyDescent="0.35">
      <c r="E1017" s="2"/>
      <c r="F1017" s="2"/>
      <c r="G1017" s="3"/>
      <c r="H1017" s="3"/>
      <c r="I1017" s="3"/>
      <c r="J1017" s="3"/>
      <c r="K1017" s="3"/>
      <c r="L1017" s="3"/>
      <c r="M1017" s="2"/>
      <c r="N1017" s="2"/>
    </row>
    <row r="1018" spans="5:14" x14ac:dyDescent="0.35">
      <c r="E1018" s="2"/>
      <c r="F1018" s="2"/>
      <c r="G1018" s="3"/>
      <c r="H1018" s="3"/>
      <c r="I1018" s="3"/>
      <c r="J1018" s="3"/>
      <c r="K1018" s="3"/>
      <c r="L1018" s="3"/>
      <c r="M1018" s="2"/>
      <c r="N1018" s="2"/>
    </row>
    <row r="1019" spans="5:14" x14ac:dyDescent="0.35">
      <c r="E1019" s="2"/>
      <c r="F1019" s="2"/>
      <c r="G1019" s="3"/>
      <c r="H1019" s="3"/>
      <c r="I1019" s="3"/>
      <c r="J1019" s="3"/>
      <c r="K1019" s="3"/>
      <c r="L1019" s="3"/>
      <c r="M1019" s="2"/>
      <c r="N1019" s="2"/>
    </row>
    <row r="1020" spans="5:14" x14ac:dyDescent="0.35">
      <c r="E1020" s="2"/>
      <c r="F1020" s="2"/>
      <c r="G1020" s="3"/>
      <c r="H1020" s="3"/>
      <c r="I1020" s="3"/>
      <c r="J1020" s="3"/>
      <c r="K1020" s="3"/>
      <c r="L1020" s="3"/>
      <c r="M1020" s="2"/>
      <c r="N1020" s="2"/>
    </row>
    <row r="1021" spans="5:14" x14ac:dyDescent="0.35">
      <c r="E1021" s="2"/>
      <c r="F1021" s="2"/>
      <c r="G1021" s="3"/>
      <c r="H1021" s="3"/>
      <c r="I1021" s="3"/>
      <c r="J1021" s="3"/>
      <c r="K1021" s="3"/>
      <c r="L1021" s="3"/>
      <c r="M1021" s="2"/>
      <c r="N1021" s="2"/>
    </row>
    <row r="1022" spans="5:14" x14ac:dyDescent="0.35">
      <c r="E1022" s="2"/>
      <c r="F1022" s="2"/>
      <c r="G1022" s="3"/>
      <c r="H1022" s="3"/>
      <c r="I1022" s="3"/>
      <c r="J1022" s="3"/>
      <c r="K1022" s="3"/>
      <c r="L1022" s="3"/>
      <c r="M1022" s="2"/>
      <c r="N1022" s="2"/>
    </row>
    <row r="1023" spans="5:14" x14ac:dyDescent="0.35">
      <c r="E1023" s="2"/>
      <c r="F1023" s="2"/>
      <c r="G1023" s="3"/>
      <c r="H1023" s="3"/>
      <c r="I1023" s="3"/>
      <c r="J1023" s="3"/>
      <c r="K1023" s="3"/>
      <c r="L1023" s="3"/>
      <c r="M1023" s="2"/>
      <c r="N1023" s="2"/>
    </row>
    <row r="1024" spans="5:14" x14ac:dyDescent="0.35">
      <c r="E1024" s="2"/>
      <c r="F1024" s="2"/>
      <c r="G1024" s="3"/>
      <c r="H1024" s="3"/>
      <c r="I1024" s="3"/>
      <c r="J1024" s="3"/>
      <c r="K1024" s="3"/>
      <c r="L1024" s="3"/>
      <c r="M1024" s="2"/>
      <c r="N1024" s="2"/>
    </row>
    <row r="1025" spans="5:14" x14ac:dyDescent="0.35">
      <c r="E1025" s="2"/>
      <c r="F1025" s="2"/>
      <c r="G1025" s="3"/>
      <c r="H1025" s="3"/>
      <c r="I1025" s="3"/>
      <c r="J1025" s="3"/>
      <c r="K1025" s="3"/>
      <c r="L1025" s="3"/>
      <c r="M1025" s="2"/>
      <c r="N1025" s="2"/>
    </row>
    <row r="1026" spans="5:14" x14ac:dyDescent="0.35">
      <c r="E1026" s="2"/>
      <c r="F1026" s="2"/>
      <c r="G1026" s="3"/>
      <c r="H1026" s="3"/>
      <c r="I1026" s="3"/>
      <c r="J1026" s="3"/>
      <c r="K1026" s="3"/>
      <c r="L1026" s="3"/>
      <c r="M1026" s="2"/>
      <c r="N1026" s="2"/>
    </row>
    <row r="1027" spans="5:14" x14ac:dyDescent="0.35">
      <c r="E1027" s="2"/>
      <c r="F1027" s="2"/>
      <c r="G1027" s="3"/>
      <c r="H1027" s="3"/>
      <c r="I1027" s="3"/>
      <c r="J1027" s="3"/>
      <c r="K1027" s="3"/>
      <c r="L1027" s="3"/>
      <c r="M1027" s="2"/>
      <c r="N1027" s="2"/>
    </row>
    <row r="1028" spans="5:14" x14ac:dyDescent="0.35">
      <c r="E1028" s="2"/>
      <c r="F1028" s="2"/>
      <c r="G1028" s="3"/>
      <c r="H1028" s="3"/>
      <c r="I1028" s="3"/>
      <c r="J1028" s="3"/>
      <c r="K1028" s="3"/>
      <c r="L1028" s="3"/>
      <c r="M1028" s="2"/>
      <c r="N1028" s="2"/>
    </row>
    <row r="1029" spans="5:14" x14ac:dyDescent="0.35">
      <c r="E1029" s="2"/>
      <c r="F1029" s="2"/>
      <c r="G1029" s="3"/>
      <c r="H1029" s="3"/>
      <c r="I1029" s="3"/>
      <c r="J1029" s="3"/>
      <c r="K1029" s="3"/>
      <c r="L1029" s="3"/>
      <c r="M1029" s="2"/>
      <c r="N1029" s="2"/>
    </row>
    <row r="1030" spans="5:14" x14ac:dyDescent="0.35">
      <c r="E1030" s="2"/>
      <c r="F1030" s="2"/>
      <c r="G1030" s="3"/>
      <c r="H1030" s="3"/>
      <c r="I1030" s="3"/>
      <c r="J1030" s="3"/>
      <c r="K1030" s="3"/>
      <c r="L1030" s="3"/>
      <c r="M1030" s="2"/>
      <c r="N1030" s="2"/>
    </row>
    <row r="1031" spans="5:14" x14ac:dyDescent="0.35">
      <c r="E1031" s="2"/>
      <c r="F1031" s="2"/>
      <c r="G1031" s="3"/>
      <c r="H1031" s="3"/>
      <c r="I1031" s="3"/>
      <c r="J1031" s="3"/>
      <c r="K1031" s="3"/>
      <c r="L1031" s="3"/>
      <c r="M1031" s="2"/>
      <c r="N1031" s="2"/>
    </row>
    <row r="1032" spans="5:14" x14ac:dyDescent="0.35">
      <c r="E1032" s="2"/>
      <c r="F1032" s="2"/>
      <c r="G1032" s="3"/>
      <c r="H1032" s="3"/>
      <c r="I1032" s="3"/>
      <c r="J1032" s="3"/>
      <c r="K1032" s="3"/>
      <c r="L1032" s="3"/>
      <c r="M1032" s="2"/>
      <c r="N1032" s="2"/>
    </row>
    <row r="1033" spans="5:14" x14ac:dyDescent="0.35">
      <c r="E1033" s="2"/>
      <c r="F1033" s="2"/>
      <c r="G1033" s="3"/>
      <c r="H1033" s="3"/>
      <c r="I1033" s="3"/>
      <c r="J1033" s="3"/>
      <c r="K1033" s="3"/>
      <c r="L1033" s="3"/>
      <c r="M1033" s="2"/>
      <c r="N1033" s="2"/>
    </row>
    <row r="1034" spans="5:14" x14ac:dyDescent="0.35">
      <c r="E1034" s="2"/>
      <c r="F1034" s="2"/>
      <c r="G1034" s="3"/>
      <c r="H1034" s="3"/>
      <c r="I1034" s="3"/>
      <c r="J1034" s="3"/>
      <c r="K1034" s="3"/>
      <c r="L1034" s="3"/>
      <c r="M1034" s="2"/>
      <c r="N1034" s="2"/>
    </row>
    <row r="1035" spans="5:14" x14ac:dyDescent="0.35">
      <c r="E1035" s="2"/>
      <c r="F1035" s="2"/>
      <c r="G1035" s="3"/>
      <c r="H1035" s="3"/>
      <c r="I1035" s="3"/>
      <c r="J1035" s="3"/>
      <c r="K1035" s="3"/>
      <c r="L1035" s="3"/>
      <c r="M1035" s="2"/>
      <c r="N1035" s="2"/>
    </row>
    <row r="1036" spans="5:14" x14ac:dyDescent="0.35">
      <c r="E1036" s="2"/>
      <c r="F1036" s="2"/>
      <c r="G1036" s="3"/>
      <c r="H1036" s="3"/>
      <c r="I1036" s="3"/>
      <c r="J1036" s="3"/>
      <c r="K1036" s="3"/>
      <c r="L1036" s="3"/>
      <c r="M1036" s="2"/>
      <c r="N1036" s="2"/>
    </row>
    <row r="1037" spans="5:14" x14ac:dyDescent="0.35">
      <c r="E1037" s="2"/>
      <c r="F1037" s="2"/>
      <c r="G1037" s="3"/>
      <c r="H1037" s="3"/>
      <c r="I1037" s="3"/>
      <c r="J1037" s="3"/>
      <c r="K1037" s="3"/>
      <c r="L1037" s="3"/>
      <c r="M1037" s="2"/>
      <c r="N1037" s="2"/>
    </row>
    <row r="1038" spans="5:14" x14ac:dyDescent="0.35">
      <c r="E1038" s="2"/>
      <c r="F1038" s="2"/>
      <c r="G1038" s="3"/>
      <c r="H1038" s="3"/>
      <c r="I1038" s="3"/>
      <c r="J1038" s="3"/>
      <c r="K1038" s="3"/>
      <c r="L1038" s="3"/>
      <c r="M1038" s="2"/>
      <c r="N1038" s="2"/>
    </row>
    <row r="1039" spans="5:14" x14ac:dyDescent="0.35">
      <c r="E1039" s="2"/>
      <c r="F1039" s="2"/>
      <c r="G1039" s="3"/>
      <c r="H1039" s="3"/>
      <c r="I1039" s="3"/>
      <c r="J1039" s="3"/>
      <c r="K1039" s="3"/>
      <c r="L1039" s="3"/>
      <c r="M1039" s="2"/>
      <c r="N1039" s="2"/>
    </row>
    <row r="1040" spans="5:14" x14ac:dyDescent="0.35">
      <c r="E1040" s="2"/>
      <c r="F1040" s="2"/>
      <c r="G1040" s="3"/>
      <c r="H1040" s="3"/>
      <c r="I1040" s="3"/>
      <c r="J1040" s="3"/>
      <c r="K1040" s="3"/>
      <c r="L1040" s="3"/>
      <c r="M1040" s="2"/>
      <c r="N1040" s="2"/>
    </row>
    <row r="1041" spans="5:14" x14ac:dyDescent="0.35">
      <c r="E1041" s="2"/>
      <c r="F1041" s="2"/>
      <c r="G1041" s="3"/>
      <c r="H1041" s="3"/>
      <c r="I1041" s="3"/>
      <c r="J1041" s="3"/>
      <c r="K1041" s="3"/>
      <c r="L1041" s="3"/>
      <c r="M1041" s="2"/>
      <c r="N1041" s="2"/>
    </row>
    <row r="1042" spans="5:14" x14ac:dyDescent="0.35">
      <c r="E1042" s="2"/>
      <c r="F1042" s="2"/>
      <c r="G1042" s="3"/>
      <c r="H1042" s="3"/>
      <c r="I1042" s="3"/>
      <c r="J1042" s="3"/>
      <c r="K1042" s="3"/>
      <c r="L1042" s="3"/>
      <c r="M1042" s="2"/>
      <c r="N1042" s="2"/>
    </row>
    <row r="1043" spans="5:14" x14ac:dyDescent="0.35">
      <c r="E1043" s="2"/>
      <c r="F1043" s="2"/>
      <c r="G1043" s="3"/>
      <c r="H1043" s="3"/>
      <c r="I1043" s="3"/>
      <c r="J1043" s="3"/>
      <c r="K1043" s="3"/>
      <c r="L1043" s="3"/>
      <c r="M1043" s="2"/>
      <c r="N1043" s="2"/>
    </row>
    <row r="1044" spans="5:14" x14ac:dyDescent="0.35">
      <c r="E1044" s="2"/>
      <c r="F1044" s="2"/>
      <c r="G1044" s="3"/>
      <c r="H1044" s="3"/>
      <c r="I1044" s="3"/>
      <c r="J1044" s="3"/>
      <c r="K1044" s="3"/>
      <c r="L1044" s="3"/>
      <c r="M1044" s="2"/>
      <c r="N1044" s="2"/>
    </row>
    <row r="1045" spans="5:14" x14ac:dyDescent="0.35">
      <c r="E1045" s="2"/>
      <c r="F1045" s="2"/>
      <c r="G1045" s="3"/>
      <c r="H1045" s="3"/>
      <c r="I1045" s="3"/>
      <c r="J1045" s="3"/>
      <c r="K1045" s="3"/>
      <c r="L1045" s="3"/>
      <c r="M1045" s="2"/>
      <c r="N1045" s="2"/>
    </row>
    <row r="1046" spans="5:14" x14ac:dyDescent="0.35">
      <c r="E1046" s="2"/>
      <c r="F1046" s="2"/>
      <c r="G1046" s="3"/>
      <c r="H1046" s="3"/>
      <c r="I1046" s="3"/>
      <c r="J1046" s="3"/>
      <c r="K1046" s="3"/>
      <c r="L1046" s="3"/>
      <c r="M1046" s="2"/>
      <c r="N1046" s="2"/>
    </row>
    <row r="1047" spans="5:14" x14ac:dyDescent="0.35">
      <c r="E1047" s="2"/>
      <c r="F1047" s="2"/>
      <c r="G1047" s="3"/>
      <c r="H1047" s="3"/>
      <c r="I1047" s="3"/>
      <c r="J1047" s="3"/>
      <c r="K1047" s="3"/>
      <c r="L1047" s="3"/>
      <c r="M1047" s="2"/>
      <c r="N1047" s="2"/>
    </row>
    <row r="1048" spans="5:14" x14ac:dyDescent="0.35">
      <c r="E1048" s="2"/>
      <c r="F1048" s="2"/>
      <c r="G1048" s="3"/>
      <c r="H1048" s="3"/>
      <c r="I1048" s="3"/>
      <c r="J1048" s="3"/>
      <c r="K1048" s="3"/>
      <c r="L1048" s="3"/>
      <c r="M1048" s="2"/>
      <c r="N1048" s="2"/>
    </row>
    <row r="1049" spans="5:14" x14ac:dyDescent="0.35">
      <c r="E1049" s="2"/>
      <c r="F1049" s="2"/>
      <c r="G1049" s="3"/>
      <c r="H1049" s="3"/>
      <c r="I1049" s="3"/>
      <c r="J1049" s="3"/>
      <c r="K1049" s="3"/>
      <c r="L1049" s="3"/>
      <c r="M1049" s="2"/>
      <c r="N1049" s="2"/>
    </row>
    <row r="1050" spans="5:14" x14ac:dyDescent="0.35">
      <c r="E1050" s="2"/>
      <c r="F1050" s="2"/>
      <c r="G1050" s="3"/>
      <c r="H1050" s="3"/>
      <c r="I1050" s="3"/>
      <c r="J1050" s="3"/>
      <c r="K1050" s="3"/>
      <c r="L1050" s="3"/>
      <c r="M1050" s="2"/>
      <c r="N1050" s="2"/>
    </row>
    <row r="1051" spans="5:14" x14ac:dyDescent="0.35">
      <c r="E1051" s="2"/>
      <c r="F1051" s="2"/>
      <c r="G1051" s="3"/>
      <c r="H1051" s="3"/>
      <c r="I1051" s="3"/>
      <c r="J1051" s="3"/>
      <c r="K1051" s="3"/>
      <c r="L1051" s="3"/>
      <c r="M1051" s="2"/>
      <c r="N1051" s="2"/>
    </row>
    <row r="1052" spans="5:14" x14ac:dyDescent="0.35">
      <c r="E1052" s="2"/>
      <c r="F1052" s="2"/>
      <c r="G1052" s="3"/>
      <c r="H1052" s="3"/>
      <c r="I1052" s="3"/>
      <c r="J1052" s="3"/>
      <c r="K1052" s="3"/>
      <c r="L1052" s="3"/>
      <c r="M1052" s="2"/>
      <c r="N1052" s="2"/>
    </row>
    <row r="1053" spans="5:14" x14ac:dyDescent="0.35">
      <c r="E1053" s="2"/>
      <c r="F1053" s="2"/>
      <c r="G1053" s="3"/>
      <c r="H1053" s="3"/>
      <c r="I1053" s="3"/>
      <c r="J1053" s="3"/>
      <c r="K1053" s="3"/>
      <c r="L1053" s="3"/>
      <c r="M1053" s="2"/>
      <c r="N1053" s="2"/>
    </row>
    <row r="1054" spans="5:14" x14ac:dyDescent="0.35">
      <c r="E1054" s="2"/>
      <c r="F1054" s="2"/>
      <c r="G1054" s="3"/>
      <c r="H1054" s="3"/>
      <c r="I1054" s="3"/>
      <c r="J1054" s="3"/>
      <c r="K1054" s="3"/>
      <c r="L1054" s="3"/>
      <c r="M1054" s="2"/>
      <c r="N1054" s="2"/>
    </row>
    <row r="1055" spans="5:14" x14ac:dyDescent="0.35">
      <c r="E1055" s="2"/>
      <c r="F1055" s="2"/>
      <c r="G1055" s="3"/>
      <c r="H1055" s="3"/>
      <c r="I1055" s="3"/>
      <c r="J1055" s="3"/>
      <c r="K1055" s="3"/>
      <c r="L1055" s="3"/>
      <c r="M1055" s="2"/>
      <c r="N1055" s="2"/>
    </row>
    <row r="1056" spans="5:14" x14ac:dyDescent="0.35">
      <c r="E1056" s="2"/>
      <c r="F1056" s="2"/>
      <c r="G1056" s="3"/>
      <c r="H1056" s="3"/>
      <c r="I1056" s="3"/>
      <c r="J1056" s="3"/>
      <c r="K1056" s="3"/>
      <c r="L1056" s="3"/>
      <c r="M1056" s="2"/>
      <c r="N1056" s="2"/>
    </row>
    <row r="1057" spans="5:14" x14ac:dyDescent="0.35">
      <c r="E1057" s="2"/>
      <c r="F1057" s="2"/>
      <c r="G1057" s="3"/>
      <c r="H1057" s="3"/>
      <c r="I1057" s="3"/>
      <c r="J1057" s="3"/>
      <c r="K1057" s="3"/>
      <c r="L1057" s="3"/>
      <c r="M1057" s="2"/>
      <c r="N1057" s="2"/>
    </row>
    <row r="1058" spans="5:14" x14ac:dyDescent="0.35">
      <c r="E1058" s="2"/>
      <c r="F1058" s="2"/>
      <c r="G1058" s="3"/>
      <c r="H1058" s="3"/>
      <c r="I1058" s="3"/>
      <c r="J1058" s="3"/>
      <c r="K1058" s="3"/>
      <c r="L1058" s="3"/>
      <c r="M1058" s="2"/>
      <c r="N1058" s="2"/>
    </row>
    <row r="1059" spans="5:14" x14ac:dyDescent="0.35">
      <c r="E1059" s="2"/>
      <c r="F1059" s="2"/>
      <c r="G1059" s="3"/>
      <c r="H1059" s="3"/>
      <c r="I1059" s="3"/>
      <c r="J1059" s="3"/>
      <c r="K1059" s="3"/>
      <c r="L1059" s="3"/>
      <c r="M1059" s="2"/>
      <c r="N1059" s="2"/>
    </row>
    <row r="1060" spans="5:14" x14ac:dyDescent="0.35">
      <c r="E1060" s="2"/>
      <c r="F1060" s="2"/>
      <c r="G1060" s="3"/>
      <c r="H1060" s="3"/>
      <c r="I1060" s="3"/>
      <c r="J1060" s="3"/>
      <c r="K1060" s="3"/>
      <c r="L1060" s="3"/>
      <c r="M1060" s="2"/>
      <c r="N1060" s="2"/>
    </row>
    <row r="1061" spans="5:14" x14ac:dyDescent="0.35">
      <c r="E1061" s="2"/>
      <c r="F1061" s="2"/>
      <c r="G1061" s="3"/>
      <c r="H1061" s="3"/>
      <c r="I1061" s="3"/>
      <c r="J1061" s="3"/>
      <c r="K1061" s="3"/>
      <c r="L1061" s="3"/>
      <c r="M1061" s="2"/>
      <c r="N1061" s="2"/>
    </row>
    <row r="1062" spans="5:14" x14ac:dyDescent="0.35">
      <c r="E1062" s="2"/>
      <c r="F1062" s="2"/>
      <c r="G1062" s="3"/>
      <c r="H1062" s="3"/>
      <c r="I1062" s="3"/>
      <c r="J1062" s="3"/>
      <c r="K1062" s="3"/>
      <c r="L1062" s="3"/>
      <c r="M1062" s="2"/>
      <c r="N1062" s="2"/>
    </row>
    <row r="1063" spans="5:14" x14ac:dyDescent="0.35">
      <c r="E1063" s="2"/>
      <c r="F1063" s="2"/>
      <c r="G1063" s="3"/>
      <c r="H1063" s="3"/>
      <c r="I1063" s="3"/>
      <c r="J1063" s="3"/>
      <c r="K1063" s="3"/>
      <c r="L1063" s="3"/>
      <c r="M1063" s="2"/>
      <c r="N1063" s="2"/>
    </row>
    <row r="1064" spans="5:14" x14ac:dyDescent="0.35">
      <c r="E1064" s="2"/>
      <c r="F1064" s="2"/>
      <c r="G1064" s="3"/>
      <c r="H1064" s="3"/>
      <c r="I1064" s="3"/>
      <c r="J1064" s="3"/>
      <c r="K1064" s="3"/>
      <c r="L1064" s="3"/>
      <c r="M1064" s="2"/>
      <c r="N1064" s="2"/>
    </row>
    <row r="1065" spans="5:14" x14ac:dyDescent="0.35">
      <c r="E1065" s="2"/>
      <c r="F1065" s="2"/>
      <c r="G1065" s="3"/>
      <c r="H1065" s="3"/>
      <c r="I1065" s="3"/>
      <c r="J1065" s="3"/>
      <c r="K1065" s="3"/>
      <c r="L1065" s="3"/>
      <c r="M1065" s="2"/>
      <c r="N1065" s="2"/>
    </row>
    <row r="1066" spans="5:14" x14ac:dyDescent="0.35">
      <c r="E1066" s="2"/>
      <c r="F1066" s="2"/>
      <c r="G1066" s="3"/>
      <c r="H1066" s="3"/>
      <c r="I1066" s="3"/>
      <c r="J1066" s="3"/>
      <c r="K1066" s="3"/>
      <c r="L1066" s="3"/>
      <c r="M1066" s="2"/>
      <c r="N1066" s="2"/>
    </row>
    <row r="1067" spans="5:14" x14ac:dyDescent="0.35">
      <c r="E1067" s="2"/>
      <c r="F1067" s="2"/>
      <c r="G1067" s="3"/>
      <c r="H1067" s="3"/>
      <c r="I1067" s="3"/>
      <c r="J1067" s="3"/>
      <c r="K1067" s="3"/>
      <c r="L1067" s="3"/>
      <c r="M1067" s="2"/>
      <c r="N1067" s="2"/>
    </row>
    <row r="1068" spans="5:14" x14ac:dyDescent="0.35">
      <c r="E1068" s="2"/>
      <c r="F1068" s="2"/>
      <c r="G1068" s="3"/>
      <c r="H1068" s="3"/>
      <c r="I1068" s="3"/>
      <c r="J1068" s="3"/>
      <c r="K1068" s="3"/>
      <c r="L1068" s="3"/>
      <c r="M1068" s="2"/>
      <c r="N1068" s="2"/>
    </row>
    <row r="1069" spans="5:14" x14ac:dyDescent="0.35">
      <c r="E1069" s="2"/>
      <c r="F1069" s="2"/>
      <c r="G1069" s="3"/>
      <c r="H1069" s="3"/>
      <c r="I1069" s="3"/>
      <c r="J1069" s="3"/>
      <c r="K1069" s="3"/>
      <c r="L1069" s="3"/>
      <c r="M1069" s="2"/>
      <c r="N1069" s="2"/>
    </row>
    <row r="1070" spans="5:14" x14ac:dyDescent="0.35">
      <c r="E1070" s="2"/>
      <c r="F1070" s="2"/>
      <c r="G1070" s="3"/>
      <c r="H1070" s="3"/>
      <c r="I1070" s="3"/>
      <c r="J1070" s="3"/>
      <c r="K1070" s="3"/>
      <c r="L1070" s="3"/>
      <c r="M1070" s="2"/>
      <c r="N1070" s="2"/>
    </row>
    <row r="1071" spans="5:14" x14ac:dyDescent="0.35">
      <c r="E1071" s="2"/>
      <c r="F1071" s="2"/>
      <c r="G1071" s="3"/>
      <c r="H1071" s="3"/>
      <c r="I1071" s="3"/>
      <c r="J1071" s="3"/>
      <c r="K1071" s="3"/>
      <c r="L1071" s="3"/>
      <c r="M1071" s="2"/>
      <c r="N1071" s="2"/>
    </row>
    <row r="1072" spans="5:14" x14ac:dyDescent="0.35">
      <c r="E1072" s="2"/>
      <c r="F1072" s="2"/>
      <c r="G1072" s="3"/>
      <c r="H1072" s="3"/>
      <c r="I1072" s="3"/>
      <c r="J1072" s="3"/>
      <c r="K1072" s="3"/>
      <c r="L1072" s="3"/>
      <c r="M1072" s="2"/>
      <c r="N1072" s="2"/>
    </row>
    <row r="1073" spans="5:14" x14ac:dyDescent="0.35">
      <c r="E1073" s="2"/>
      <c r="F1073" s="2"/>
      <c r="G1073" s="3"/>
      <c r="H1073" s="3"/>
      <c r="I1073" s="3"/>
      <c r="J1073" s="3"/>
      <c r="K1073" s="3"/>
      <c r="L1073" s="3"/>
      <c r="M1073" s="2"/>
      <c r="N1073" s="2"/>
    </row>
    <row r="1074" spans="5:14" x14ac:dyDescent="0.35">
      <c r="E1074" s="2"/>
      <c r="F1074" s="2"/>
      <c r="G1074" s="3"/>
      <c r="H1074" s="3"/>
      <c r="I1074" s="3"/>
      <c r="J1074" s="3"/>
      <c r="K1074" s="3"/>
      <c r="L1074" s="3"/>
      <c r="M1074" s="2"/>
      <c r="N1074" s="2"/>
    </row>
    <row r="1075" spans="5:14" x14ac:dyDescent="0.35">
      <c r="E1075" s="2"/>
      <c r="F1075" s="2"/>
      <c r="G1075" s="3"/>
      <c r="H1075" s="3"/>
      <c r="I1075" s="3"/>
      <c r="J1075" s="3"/>
      <c r="K1075" s="3"/>
      <c r="L1075" s="3"/>
      <c r="M1075" s="2"/>
      <c r="N1075" s="2"/>
    </row>
    <row r="1076" spans="5:14" x14ac:dyDescent="0.35">
      <c r="E1076" s="2"/>
      <c r="F1076" s="2"/>
      <c r="G1076" s="3"/>
      <c r="H1076" s="3"/>
      <c r="I1076" s="3"/>
      <c r="J1076" s="3"/>
      <c r="K1076" s="3"/>
      <c r="L1076" s="3"/>
      <c r="M1076" s="2"/>
      <c r="N1076" s="2"/>
    </row>
    <row r="1077" spans="5:14" x14ac:dyDescent="0.35">
      <c r="E1077" s="2"/>
      <c r="F1077" s="2"/>
      <c r="G1077" s="3"/>
      <c r="H1077" s="3"/>
      <c r="I1077" s="3"/>
      <c r="J1077" s="3"/>
      <c r="K1077" s="3"/>
      <c r="L1077" s="3"/>
      <c r="M1077" s="2"/>
      <c r="N1077" s="2"/>
    </row>
    <row r="1078" spans="5:14" x14ac:dyDescent="0.35">
      <c r="E1078" s="2"/>
      <c r="F1078" s="2"/>
      <c r="G1078" s="3"/>
      <c r="H1078" s="3"/>
      <c r="I1078" s="3"/>
      <c r="J1078" s="3"/>
      <c r="K1078" s="3"/>
      <c r="L1078" s="3"/>
      <c r="M1078" s="2"/>
      <c r="N1078" s="2"/>
    </row>
    <row r="1079" spans="5:14" x14ac:dyDescent="0.35">
      <c r="E1079" s="2"/>
      <c r="F1079" s="2"/>
      <c r="G1079" s="3"/>
      <c r="H1079" s="3"/>
      <c r="I1079" s="3"/>
      <c r="J1079" s="3"/>
      <c r="K1079" s="3"/>
      <c r="L1079" s="3"/>
      <c r="M1079" s="2"/>
      <c r="N1079" s="2"/>
    </row>
    <row r="1080" spans="5:14" x14ac:dyDescent="0.35">
      <c r="E1080" s="2"/>
      <c r="F1080" s="2"/>
      <c r="G1080" s="3"/>
      <c r="H1080" s="3"/>
      <c r="I1080" s="3"/>
      <c r="J1080" s="3"/>
      <c r="K1080" s="3"/>
      <c r="L1080" s="3"/>
      <c r="M1080" s="2"/>
      <c r="N1080" s="2"/>
    </row>
    <row r="1081" spans="5:14" x14ac:dyDescent="0.35">
      <c r="E1081" s="2"/>
      <c r="F1081" s="2"/>
      <c r="G1081" s="3"/>
      <c r="H1081" s="3"/>
      <c r="I1081" s="3"/>
      <c r="J1081" s="3"/>
      <c r="K1081" s="3"/>
      <c r="L1081" s="3"/>
      <c r="M1081" s="2"/>
      <c r="N1081" s="2"/>
    </row>
    <row r="1082" spans="5:14" x14ac:dyDescent="0.35">
      <c r="E1082" s="2"/>
      <c r="F1082" s="2"/>
      <c r="G1082" s="3"/>
      <c r="H1082" s="3"/>
      <c r="I1082" s="3"/>
      <c r="J1082" s="3"/>
      <c r="K1082" s="3"/>
      <c r="L1082" s="3"/>
      <c r="M1082" s="2"/>
      <c r="N1082" s="2"/>
    </row>
    <row r="1083" spans="5:14" x14ac:dyDescent="0.35">
      <c r="E1083" s="2"/>
      <c r="F1083" s="2"/>
      <c r="G1083" s="3"/>
      <c r="H1083" s="3"/>
      <c r="I1083" s="3"/>
      <c r="J1083" s="3"/>
      <c r="K1083" s="3"/>
      <c r="L1083" s="3"/>
      <c r="M1083" s="2"/>
      <c r="N1083" s="2"/>
    </row>
    <row r="1084" spans="5:14" x14ac:dyDescent="0.35">
      <c r="E1084" s="2"/>
      <c r="F1084" s="2"/>
      <c r="G1084" s="3"/>
      <c r="H1084" s="3"/>
      <c r="I1084" s="3"/>
      <c r="J1084" s="3"/>
      <c r="K1084" s="3"/>
      <c r="L1084" s="3"/>
      <c r="M1084" s="2"/>
      <c r="N1084" s="2"/>
    </row>
    <row r="1085" spans="5:14" x14ac:dyDescent="0.35">
      <c r="E1085" s="2"/>
      <c r="F1085" s="2"/>
      <c r="G1085" s="3"/>
      <c r="H1085" s="3"/>
      <c r="I1085" s="3"/>
      <c r="J1085" s="3"/>
      <c r="K1085" s="3"/>
      <c r="L1085" s="3"/>
      <c r="M1085" s="2"/>
      <c r="N1085" s="2"/>
    </row>
    <row r="1086" spans="5:14" x14ac:dyDescent="0.35">
      <c r="E1086" s="2"/>
      <c r="F1086" s="2"/>
      <c r="G1086" s="3"/>
      <c r="H1086" s="3"/>
      <c r="I1086" s="3"/>
      <c r="J1086" s="3"/>
      <c r="K1086" s="3"/>
      <c r="L1086" s="3"/>
      <c r="M1086" s="2"/>
      <c r="N1086" s="2"/>
    </row>
    <row r="1087" spans="5:14" x14ac:dyDescent="0.35">
      <c r="E1087" s="2"/>
      <c r="F1087" s="2"/>
      <c r="G1087" s="3"/>
      <c r="H1087" s="3"/>
      <c r="I1087" s="3"/>
      <c r="J1087" s="3"/>
      <c r="K1087" s="3"/>
      <c r="L1087" s="3"/>
      <c r="M1087" s="2"/>
      <c r="N1087" s="2"/>
    </row>
    <row r="1088" spans="5:14" x14ac:dyDescent="0.35">
      <c r="E1088" s="2"/>
      <c r="F1088" s="2"/>
      <c r="G1088" s="3"/>
      <c r="H1088" s="3"/>
      <c r="I1088" s="3"/>
      <c r="J1088" s="3"/>
      <c r="K1088" s="3"/>
      <c r="L1088" s="3"/>
      <c r="M1088" s="2"/>
      <c r="N1088" s="2"/>
    </row>
    <row r="1089" spans="5:14" x14ac:dyDescent="0.35">
      <c r="E1089" s="2"/>
      <c r="F1089" s="2"/>
      <c r="G1089" s="3"/>
      <c r="H1089" s="3"/>
      <c r="I1089" s="3"/>
      <c r="J1089" s="3"/>
      <c r="K1089" s="3"/>
      <c r="L1089" s="3"/>
      <c r="M1089" s="2"/>
      <c r="N1089" s="2"/>
    </row>
    <row r="1090" spans="5:14" x14ac:dyDescent="0.35">
      <c r="E1090" s="2"/>
      <c r="F1090" s="2"/>
      <c r="G1090" s="3"/>
      <c r="H1090" s="3"/>
      <c r="I1090" s="3"/>
      <c r="J1090" s="3"/>
      <c r="K1090" s="3"/>
      <c r="L1090" s="3"/>
      <c r="M1090" s="2"/>
      <c r="N1090" s="2"/>
    </row>
    <row r="1091" spans="5:14" x14ac:dyDescent="0.35">
      <c r="E1091" s="2"/>
      <c r="F1091" s="2"/>
      <c r="G1091" s="3"/>
      <c r="H1091" s="3"/>
      <c r="I1091" s="3"/>
      <c r="J1091" s="3"/>
      <c r="K1091" s="3"/>
      <c r="L1091" s="3"/>
      <c r="M1091" s="2"/>
      <c r="N1091" s="2"/>
    </row>
    <row r="1092" spans="5:14" x14ac:dyDescent="0.35">
      <c r="E1092" s="2"/>
      <c r="F1092" s="2"/>
      <c r="G1092" s="3"/>
      <c r="H1092" s="3"/>
      <c r="I1092" s="3"/>
      <c r="J1092" s="3"/>
      <c r="K1092" s="3"/>
      <c r="L1092" s="3"/>
      <c r="M1092" s="2"/>
      <c r="N1092" s="2"/>
    </row>
    <row r="1093" spans="5:14" x14ac:dyDescent="0.35">
      <c r="E1093" s="2"/>
      <c r="F1093" s="2"/>
      <c r="G1093" s="3"/>
      <c r="H1093" s="3"/>
      <c r="I1093" s="3"/>
      <c r="J1093" s="3"/>
      <c r="K1093" s="3"/>
      <c r="L1093" s="3"/>
      <c r="M1093" s="2"/>
      <c r="N1093" s="2"/>
    </row>
    <row r="1094" spans="5:14" x14ac:dyDescent="0.35">
      <c r="E1094" s="2"/>
      <c r="F1094" s="2"/>
      <c r="G1094" s="3"/>
      <c r="H1094" s="3"/>
      <c r="I1094" s="3"/>
      <c r="J1094" s="3"/>
      <c r="K1094" s="3"/>
      <c r="L1094" s="3"/>
      <c r="M1094" s="2"/>
      <c r="N1094" s="2"/>
    </row>
    <row r="1095" spans="5:14" x14ac:dyDescent="0.35">
      <c r="E1095" s="2"/>
      <c r="F1095" s="2"/>
      <c r="G1095" s="3"/>
      <c r="H1095" s="3"/>
      <c r="I1095" s="3"/>
      <c r="J1095" s="3"/>
      <c r="K1095" s="3"/>
      <c r="L1095" s="3"/>
      <c r="M1095" s="2"/>
      <c r="N1095" s="2"/>
    </row>
    <row r="1096" spans="5:14" x14ac:dyDescent="0.35">
      <c r="E1096" s="2"/>
      <c r="F1096" s="2"/>
      <c r="G1096" s="3"/>
      <c r="H1096" s="3"/>
      <c r="I1096" s="3"/>
      <c r="J1096" s="3"/>
      <c r="K1096" s="3"/>
      <c r="L1096" s="3"/>
      <c r="M1096" s="2"/>
      <c r="N1096" s="2"/>
    </row>
    <row r="1097" spans="5:14" x14ac:dyDescent="0.35">
      <c r="E1097" s="2"/>
      <c r="F1097" s="2"/>
      <c r="G1097" s="3"/>
      <c r="H1097" s="3"/>
      <c r="I1097" s="3"/>
      <c r="J1097" s="3"/>
      <c r="K1097" s="3"/>
      <c r="L1097" s="3"/>
      <c r="M1097" s="2"/>
      <c r="N1097" s="2"/>
    </row>
    <row r="1098" spans="5:14" x14ac:dyDescent="0.35">
      <c r="E1098" s="2"/>
      <c r="F1098" s="2"/>
      <c r="G1098" s="3"/>
      <c r="H1098" s="3"/>
      <c r="I1098" s="3"/>
      <c r="J1098" s="3"/>
      <c r="K1098" s="3"/>
      <c r="L1098" s="3"/>
      <c r="M1098" s="2"/>
      <c r="N1098" s="2"/>
    </row>
    <row r="1099" spans="5:14" x14ac:dyDescent="0.35">
      <c r="E1099" s="2"/>
      <c r="F1099" s="2"/>
      <c r="G1099" s="3"/>
      <c r="H1099" s="3"/>
      <c r="I1099" s="3"/>
      <c r="J1099" s="3"/>
      <c r="K1099" s="3"/>
      <c r="L1099" s="3"/>
      <c r="M1099" s="2"/>
      <c r="N1099" s="2"/>
    </row>
    <row r="1100" spans="5:14" x14ac:dyDescent="0.35">
      <c r="E1100" s="2"/>
      <c r="F1100" s="2"/>
      <c r="G1100" s="3"/>
      <c r="H1100" s="3"/>
      <c r="I1100" s="3"/>
      <c r="J1100" s="3"/>
      <c r="K1100" s="3"/>
      <c r="L1100" s="3"/>
      <c r="M1100" s="2"/>
      <c r="N1100" s="2"/>
    </row>
    <row r="1101" spans="5:14" x14ac:dyDescent="0.35">
      <c r="E1101" s="2"/>
      <c r="F1101" s="2"/>
      <c r="G1101" s="3"/>
      <c r="H1101" s="3"/>
      <c r="I1101" s="3"/>
      <c r="J1101" s="3"/>
      <c r="K1101" s="3"/>
      <c r="L1101" s="3"/>
      <c r="M1101" s="2"/>
      <c r="N1101" s="2"/>
    </row>
    <row r="1102" spans="5:14" x14ac:dyDescent="0.35">
      <c r="E1102" s="2"/>
      <c r="F1102" s="2"/>
      <c r="G1102" s="3"/>
      <c r="H1102" s="3"/>
      <c r="I1102" s="3"/>
      <c r="J1102" s="3"/>
      <c r="K1102" s="3"/>
      <c r="L1102" s="3"/>
      <c r="M1102" s="2"/>
      <c r="N1102" s="2"/>
    </row>
    <row r="1103" spans="5:14" x14ac:dyDescent="0.35">
      <c r="E1103" s="2"/>
      <c r="F1103" s="2"/>
      <c r="G1103" s="3"/>
      <c r="H1103" s="3"/>
      <c r="I1103" s="3"/>
      <c r="J1103" s="3"/>
      <c r="K1103" s="3"/>
      <c r="L1103" s="3"/>
      <c r="M1103" s="2"/>
      <c r="N1103" s="2"/>
    </row>
    <row r="1104" spans="5:14" x14ac:dyDescent="0.35">
      <c r="E1104" s="2"/>
      <c r="F1104" s="2"/>
      <c r="G1104" s="3"/>
      <c r="H1104" s="3"/>
      <c r="I1104" s="3"/>
      <c r="J1104" s="3"/>
      <c r="K1104" s="3"/>
      <c r="L1104" s="3"/>
      <c r="M1104" s="2"/>
      <c r="N1104" s="2"/>
    </row>
    <row r="1105" spans="5:14" x14ac:dyDescent="0.35">
      <c r="E1105" s="2"/>
      <c r="F1105" s="2"/>
      <c r="G1105" s="3"/>
      <c r="H1105" s="3"/>
      <c r="I1105" s="3"/>
      <c r="J1105" s="3"/>
      <c r="K1105" s="3"/>
      <c r="L1105" s="3"/>
      <c r="M1105" s="2"/>
      <c r="N1105" s="2"/>
    </row>
    <row r="1106" spans="5:14" x14ac:dyDescent="0.35">
      <c r="E1106" s="2"/>
      <c r="F1106" s="2"/>
      <c r="G1106" s="3"/>
      <c r="H1106" s="3"/>
      <c r="I1106" s="3"/>
      <c r="J1106" s="3"/>
      <c r="K1106" s="3"/>
      <c r="L1106" s="3"/>
      <c r="M1106" s="2"/>
      <c r="N1106" s="2"/>
    </row>
    <row r="1107" spans="5:14" x14ac:dyDescent="0.35">
      <c r="E1107" s="2"/>
      <c r="F1107" s="2"/>
      <c r="G1107" s="3"/>
      <c r="H1107" s="3"/>
      <c r="I1107" s="3"/>
      <c r="J1107" s="3"/>
      <c r="K1107" s="3"/>
      <c r="L1107" s="3"/>
      <c r="M1107" s="2"/>
      <c r="N1107" s="2"/>
    </row>
    <row r="1108" spans="5:14" x14ac:dyDescent="0.35">
      <c r="E1108" s="2"/>
      <c r="F1108" s="2"/>
      <c r="G1108" s="3"/>
      <c r="H1108" s="3"/>
      <c r="I1108" s="3"/>
      <c r="J1108" s="3"/>
      <c r="K1108" s="3"/>
      <c r="L1108" s="3"/>
      <c r="M1108" s="2"/>
      <c r="N1108" s="2"/>
    </row>
    <row r="1109" spans="5:14" x14ac:dyDescent="0.35">
      <c r="E1109" s="2"/>
      <c r="F1109" s="2"/>
      <c r="G1109" s="3"/>
      <c r="H1109" s="3"/>
      <c r="I1109" s="3"/>
      <c r="J1109" s="3"/>
      <c r="K1109" s="3"/>
      <c r="L1109" s="3"/>
      <c r="M1109" s="2"/>
      <c r="N1109" s="2"/>
    </row>
    <row r="1110" spans="5:14" x14ac:dyDescent="0.35">
      <c r="E1110" s="2"/>
      <c r="F1110" s="2"/>
      <c r="G1110" s="3"/>
      <c r="H1110" s="3"/>
      <c r="I1110" s="3"/>
      <c r="J1110" s="3"/>
      <c r="K1110" s="3"/>
      <c r="L1110" s="3"/>
      <c r="M1110" s="2"/>
      <c r="N1110" s="2"/>
    </row>
    <row r="1111" spans="5:14" x14ac:dyDescent="0.35">
      <c r="E1111" s="2"/>
      <c r="F1111" s="2"/>
      <c r="G1111" s="3"/>
      <c r="H1111" s="3"/>
      <c r="I1111" s="3"/>
      <c r="J1111" s="3"/>
      <c r="K1111" s="3"/>
      <c r="L1111" s="3"/>
      <c r="M1111" s="2"/>
      <c r="N1111" s="2"/>
    </row>
    <row r="1112" spans="5:14" x14ac:dyDescent="0.35">
      <c r="E1112" s="2"/>
      <c r="F1112" s="2"/>
      <c r="G1112" s="3"/>
      <c r="H1112" s="3"/>
      <c r="I1112" s="3"/>
      <c r="J1112" s="3"/>
      <c r="K1112" s="3"/>
      <c r="L1112" s="3"/>
      <c r="M1112" s="2"/>
      <c r="N1112" s="2"/>
    </row>
    <row r="1113" spans="5:14" x14ac:dyDescent="0.35">
      <c r="E1113" s="2"/>
      <c r="F1113" s="2"/>
      <c r="G1113" s="3"/>
      <c r="H1113" s="3"/>
      <c r="I1113" s="3"/>
      <c r="J1113" s="3"/>
      <c r="K1113" s="3"/>
      <c r="L1113" s="3"/>
      <c r="M1113" s="2"/>
      <c r="N1113" s="2"/>
    </row>
    <row r="1114" spans="5:14" x14ac:dyDescent="0.35">
      <c r="E1114" s="2"/>
      <c r="F1114" s="2"/>
      <c r="G1114" s="3"/>
      <c r="H1114" s="3"/>
      <c r="I1114" s="3"/>
      <c r="J1114" s="3"/>
      <c r="K1114" s="3"/>
      <c r="L1114" s="3"/>
      <c r="M1114" s="2"/>
      <c r="N1114" s="2"/>
    </row>
    <row r="1115" spans="5:14" x14ac:dyDescent="0.35">
      <c r="E1115" s="2"/>
      <c r="F1115" s="2"/>
      <c r="G1115" s="3"/>
      <c r="H1115" s="3"/>
      <c r="I1115" s="3"/>
      <c r="J1115" s="3"/>
      <c r="K1115" s="3"/>
      <c r="L1115" s="3"/>
      <c r="M1115" s="2"/>
      <c r="N1115" s="2"/>
    </row>
    <row r="1116" spans="5:14" x14ac:dyDescent="0.35">
      <c r="E1116" s="2"/>
      <c r="F1116" s="2"/>
      <c r="G1116" s="3"/>
      <c r="H1116" s="3"/>
      <c r="I1116" s="3"/>
      <c r="J1116" s="3"/>
      <c r="K1116" s="3"/>
      <c r="L1116" s="3"/>
      <c r="M1116" s="2"/>
      <c r="N1116" s="2"/>
    </row>
    <row r="1117" spans="5:14" x14ac:dyDescent="0.35">
      <c r="E1117" s="2"/>
      <c r="F1117" s="2"/>
      <c r="G1117" s="3"/>
      <c r="H1117" s="3"/>
      <c r="I1117" s="3"/>
      <c r="J1117" s="3"/>
      <c r="K1117" s="3"/>
      <c r="L1117" s="3"/>
      <c r="M1117" s="2"/>
      <c r="N1117" s="2"/>
    </row>
    <row r="1118" spans="5:14" x14ac:dyDescent="0.35">
      <c r="E1118" s="2"/>
      <c r="F1118" s="2"/>
      <c r="G1118" s="3"/>
      <c r="H1118" s="3"/>
      <c r="I1118" s="3"/>
      <c r="J1118" s="3"/>
      <c r="K1118" s="3"/>
      <c r="L1118" s="3"/>
      <c r="M1118" s="2"/>
      <c r="N1118" s="2"/>
    </row>
    <row r="1119" spans="5:14" x14ac:dyDescent="0.35">
      <c r="E1119" s="2"/>
      <c r="F1119" s="2"/>
      <c r="G1119" s="3"/>
      <c r="H1119" s="3"/>
      <c r="I1119" s="3"/>
      <c r="J1119" s="3"/>
      <c r="K1119" s="3"/>
      <c r="L1119" s="3"/>
      <c r="M1119" s="2"/>
      <c r="N1119" s="2"/>
    </row>
    <row r="1120" spans="5:14" x14ac:dyDescent="0.35">
      <c r="E1120" s="2"/>
      <c r="F1120" s="2"/>
      <c r="G1120" s="3"/>
      <c r="H1120" s="3"/>
      <c r="I1120" s="3"/>
      <c r="J1120" s="3"/>
      <c r="K1120" s="3"/>
      <c r="L1120" s="3"/>
      <c r="M1120" s="2"/>
      <c r="N1120" s="2"/>
    </row>
    <row r="1121" spans="5:14" x14ac:dyDescent="0.35">
      <c r="E1121" s="2"/>
      <c r="F1121" s="2"/>
      <c r="G1121" s="3"/>
      <c r="H1121" s="3"/>
      <c r="I1121" s="3"/>
      <c r="J1121" s="3"/>
      <c r="K1121" s="3"/>
      <c r="L1121" s="3"/>
      <c r="M1121" s="2"/>
      <c r="N1121" s="2"/>
    </row>
    <row r="1122" spans="5:14" x14ac:dyDescent="0.35">
      <c r="E1122" s="2"/>
      <c r="F1122" s="2"/>
      <c r="G1122" s="3"/>
      <c r="H1122" s="3"/>
      <c r="I1122" s="3"/>
      <c r="J1122" s="3"/>
      <c r="K1122" s="3"/>
      <c r="L1122" s="3"/>
      <c r="M1122" s="2"/>
      <c r="N1122" s="2"/>
    </row>
    <row r="1123" spans="5:14" x14ac:dyDescent="0.35">
      <c r="E1123" s="2"/>
      <c r="F1123" s="2"/>
      <c r="G1123" s="3"/>
      <c r="H1123" s="3"/>
      <c r="I1123" s="3"/>
      <c r="J1123" s="3"/>
      <c r="K1123" s="3"/>
      <c r="L1123" s="3"/>
      <c r="M1123" s="2"/>
      <c r="N1123" s="2"/>
    </row>
    <row r="1124" spans="5:14" x14ac:dyDescent="0.35">
      <c r="E1124" s="2"/>
      <c r="F1124" s="2"/>
      <c r="G1124" s="3"/>
      <c r="H1124" s="3"/>
      <c r="I1124" s="3"/>
      <c r="J1124" s="3"/>
      <c r="K1124" s="3"/>
      <c r="L1124" s="3"/>
      <c r="M1124" s="2"/>
      <c r="N1124" s="2"/>
    </row>
    <row r="1125" spans="5:14" x14ac:dyDescent="0.35">
      <c r="E1125" s="2"/>
      <c r="F1125" s="2"/>
      <c r="G1125" s="3"/>
      <c r="H1125" s="3"/>
      <c r="I1125" s="3"/>
      <c r="J1125" s="3"/>
      <c r="K1125" s="3"/>
      <c r="L1125" s="3"/>
      <c r="M1125" s="2"/>
      <c r="N1125" s="2"/>
    </row>
    <row r="1126" spans="5:14" x14ac:dyDescent="0.35">
      <c r="E1126" s="2"/>
      <c r="F1126" s="2"/>
      <c r="G1126" s="3"/>
      <c r="H1126" s="3"/>
      <c r="I1126" s="3"/>
      <c r="J1126" s="3"/>
      <c r="K1126" s="3"/>
      <c r="L1126" s="3"/>
      <c r="M1126" s="2"/>
      <c r="N1126" s="2"/>
    </row>
    <row r="1127" spans="5:14" x14ac:dyDescent="0.35">
      <c r="E1127" s="2"/>
      <c r="F1127" s="2"/>
      <c r="G1127" s="3"/>
      <c r="H1127" s="3"/>
      <c r="I1127" s="3"/>
      <c r="J1127" s="3"/>
      <c r="K1127" s="3"/>
      <c r="L1127" s="3"/>
      <c r="M1127" s="2"/>
      <c r="N1127" s="2"/>
    </row>
    <row r="1128" spans="5:14" x14ac:dyDescent="0.35">
      <c r="E1128" s="2"/>
      <c r="F1128" s="2"/>
      <c r="G1128" s="3"/>
      <c r="H1128" s="3"/>
      <c r="I1128" s="3"/>
      <c r="J1128" s="3"/>
      <c r="K1128" s="3"/>
      <c r="L1128" s="3"/>
      <c r="M1128" s="2"/>
      <c r="N1128" s="2"/>
    </row>
    <row r="1129" spans="5:14" x14ac:dyDescent="0.35">
      <c r="E1129" s="2"/>
      <c r="F1129" s="2"/>
      <c r="G1129" s="3"/>
      <c r="H1129" s="3"/>
      <c r="I1129" s="3"/>
      <c r="J1129" s="3"/>
      <c r="K1129" s="3"/>
      <c r="L1129" s="3"/>
      <c r="M1129" s="2"/>
      <c r="N1129" s="2"/>
    </row>
    <row r="1130" spans="5:14" x14ac:dyDescent="0.35">
      <c r="E1130" s="2"/>
      <c r="F1130" s="2"/>
      <c r="G1130" s="3"/>
      <c r="H1130" s="3"/>
      <c r="I1130" s="3"/>
      <c r="J1130" s="3"/>
      <c r="K1130" s="3"/>
      <c r="L1130" s="3"/>
      <c r="M1130" s="2"/>
      <c r="N1130" s="2"/>
    </row>
    <row r="1131" spans="5:14" x14ac:dyDescent="0.35">
      <c r="E1131" s="2"/>
      <c r="F1131" s="2"/>
      <c r="G1131" s="3"/>
      <c r="H1131" s="3"/>
      <c r="I1131" s="3"/>
      <c r="J1131" s="3"/>
      <c r="K1131" s="3"/>
      <c r="L1131" s="3"/>
      <c r="M1131" s="2"/>
      <c r="N1131" s="2"/>
    </row>
    <row r="1132" spans="5:14" x14ac:dyDescent="0.35">
      <c r="E1132" s="2"/>
      <c r="F1132" s="2"/>
      <c r="G1132" s="3"/>
      <c r="H1132" s="3"/>
      <c r="I1132" s="3"/>
      <c r="J1132" s="3"/>
      <c r="K1132" s="3"/>
      <c r="L1132" s="3"/>
      <c r="M1132" s="2"/>
      <c r="N1132" s="2"/>
    </row>
    <row r="1133" spans="5:14" x14ac:dyDescent="0.35">
      <c r="E1133" s="2"/>
      <c r="F1133" s="2"/>
      <c r="G1133" s="3"/>
      <c r="H1133" s="3"/>
      <c r="I1133" s="3"/>
      <c r="J1133" s="3"/>
      <c r="K1133" s="3"/>
      <c r="L1133" s="3"/>
      <c r="M1133" s="2"/>
      <c r="N1133" s="2"/>
    </row>
    <row r="1134" spans="5:14" x14ac:dyDescent="0.35">
      <c r="E1134" s="2"/>
      <c r="F1134" s="2"/>
      <c r="G1134" s="3"/>
      <c r="H1134" s="3"/>
      <c r="I1134" s="3"/>
      <c r="J1134" s="3"/>
      <c r="K1134" s="3"/>
      <c r="L1134" s="3"/>
      <c r="M1134" s="2"/>
      <c r="N1134" s="2"/>
    </row>
    <row r="1135" spans="5:14" x14ac:dyDescent="0.35">
      <c r="E1135" s="2"/>
      <c r="F1135" s="2"/>
      <c r="G1135" s="3"/>
      <c r="H1135" s="3"/>
      <c r="I1135" s="3"/>
      <c r="J1135" s="3"/>
      <c r="K1135" s="3"/>
      <c r="L1135" s="3"/>
      <c r="M1135" s="2"/>
      <c r="N1135" s="2"/>
    </row>
    <row r="1136" spans="5:14" x14ac:dyDescent="0.35">
      <c r="E1136" s="2"/>
      <c r="F1136" s="2"/>
      <c r="G1136" s="3"/>
      <c r="H1136" s="3"/>
      <c r="I1136" s="3"/>
      <c r="J1136" s="3"/>
      <c r="K1136" s="3"/>
      <c r="L1136" s="3"/>
      <c r="M1136" s="2"/>
      <c r="N1136" s="2"/>
    </row>
    <row r="1137" spans="5:14" x14ac:dyDescent="0.35">
      <c r="E1137" s="2"/>
      <c r="F1137" s="2"/>
      <c r="G1137" s="3"/>
      <c r="H1137" s="3"/>
      <c r="I1137" s="3"/>
      <c r="J1137" s="3"/>
      <c r="K1137" s="3"/>
      <c r="L1137" s="3"/>
      <c r="M1137" s="2"/>
      <c r="N1137" s="2"/>
    </row>
    <row r="1138" spans="5:14" x14ac:dyDescent="0.35">
      <c r="E1138" s="2"/>
      <c r="F1138" s="2"/>
      <c r="G1138" s="3"/>
      <c r="H1138" s="3"/>
      <c r="I1138" s="3"/>
      <c r="J1138" s="3"/>
      <c r="K1138" s="3"/>
      <c r="L1138" s="3"/>
      <c r="M1138" s="2"/>
      <c r="N1138" s="2"/>
    </row>
    <row r="1139" spans="5:14" x14ac:dyDescent="0.35">
      <c r="E1139" s="2"/>
      <c r="F1139" s="2"/>
      <c r="G1139" s="3"/>
      <c r="H1139" s="3"/>
      <c r="I1139" s="3"/>
      <c r="J1139" s="3"/>
      <c r="K1139" s="3"/>
      <c r="L1139" s="3"/>
      <c r="M1139" s="2"/>
      <c r="N1139" s="2"/>
    </row>
    <row r="1140" spans="5:14" x14ac:dyDescent="0.35">
      <c r="E1140" s="2"/>
      <c r="F1140" s="2"/>
      <c r="G1140" s="3"/>
      <c r="H1140" s="3"/>
      <c r="I1140" s="3"/>
      <c r="J1140" s="3"/>
      <c r="K1140" s="3"/>
      <c r="L1140" s="3"/>
      <c r="M1140" s="2"/>
      <c r="N1140" s="2"/>
    </row>
    <row r="1141" spans="5:14" x14ac:dyDescent="0.35">
      <c r="E1141" s="2"/>
      <c r="F1141" s="2"/>
      <c r="G1141" s="3"/>
      <c r="H1141" s="3"/>
      <c r="I1141" s="3"/>
      <c r="J1141" s="3"/>
      <c r="K1141" s="3"/>
      <c r="L1141" s="3"/>
      <c r="M1141" s="2"/>
      <c r="N1141" s="2"/>
    </row>
    <row r="1142" spans="5:14" x14ac:dyDescent="0.35">
      <c r="E1142" s="2"/>
      <c r="F1142" s="2"/>
      <c r="G1142" s="3"/>
      <c r="H1142" s="3"/>
      <c r="I1142" s="3"/>
      <c r="J1142" s="3"/>
      <c r="K1142" s="3"/>
      <c r="L1142" s="3"/>
      <c r="M1142" s="2"/>
      <c r="N1142" s="2"/>
    </row>
    <row r="1143" spans="5:14" x14ac:dyDescent="0.35">
      <c r="E1143" s="2"/>
      <c r="F1143" s="2"/>
      <c r="G1143" s="3"/>
      <c r="H1143" s="3"/>
      <c r="I1143" s="3"/>
      <c r="J1143" s="3"/>
      <c r="K1143" s="3"/>
      <c r="L1143" s="3"/>
      <c r="M1143" s="2"/>
      <c r="N1143" s="2"/>
    </row>
    <row r="1144" spans="5:14" x14ac:dyDescent="0.35">
      <c r="E1144" s="2"/>
      <c r="F1144" s="2"/>
      <c r="G1144" s="3"/>
      <c r="H1144" s="3"/>
      <c r="I1144" s="3"/>
      <c r="J1144" s="3"/>
      <c r="K1144" s="3"/>
      <c r="L1144" s="3"/>
      <c r="M1144" s="2"/>
      <c r="N1144" s="2"/>
    </row>
    <row r="1145" spans="5:14" x14ac:dyDescent="0.35">
      <c r="E1145" s="2"/>
      <c r="F1145" s="2"/>
      <c r="G1145" s="3"/>
      <c r="H1145" s="3"/>
      <c r="I1145" s="3"/>
      <c r="J1145" s="3"/>
      <c r="K1145" s="3"/>
      <c r="L1145" s="3"/>
      <c r="M1145" s="2"/>
      <c r="N1145" s="2"/>
    </row>
    <row r="1146" spans="5:14" x14ac:dyDescent="0.35">
      <c r="E1146" s="2"/>
      <c r="F1146" s="2"/>
      <c r="G1146" s="3"/>
      <c r="H1146" s="3"/>
      <c r="I1146" s="3"/>
      <c r="J1146" s="3"/>
      <c r="K1146" s="3"/>
      <c r="L1146" s="3"/>
      <c r="M1146" s="2"/>
      <c r="N1146" s="2"/>
    </row>
    <row r="1147" spans="5:14" x14ac:dyDescent="0.35">
      <c r="E1147" s="2"/>
      <c r="F1147" s="2"/>
      <c r="G1147" s="3"/>
      <c r="H1147" s="3"/>
      <c r="I1147" s="3"/>
      <c r="J1147" s="3"/>
      <c r="K1147" s="3"/>
      <c r="L1147" s="3"/>
      <c r="M1147" s="2"/>
      <c r="N1147" s="2"/>
    </row>
    <row r="1148" spans="5:14" x14ac:dyDescent="0.35">
      <c r="E1148" s="2"/>
      <c r="F1148" s="2"/>
      <c r="G1148" s="3"/>
      <c r="H1148" s="3"/>
      <c r="I1148" s="3"/>
      <c r="J1148" s="3"/>
      <c r="K1148" s="3"/>
      <c r="L1148" s="3"/>
      <c r="M1148" s="2"/>
      <c r="N1148" s="2"/>
    </row>
    <row r="1149" spans="5:14" x14ac:dyDescent="0.35">
      <c r="E1149" s="2"/>
      <c r="F1149" s="2"/>
      <c r="G1149" s="3"/>
      <c r="H1149" s="3"/>
      <c r="I1149" s="3"/>
      <c r="J1149" s="3"/>
      <c r="K1149" s="3"/>
      <c r="L1149" s="3"/>
      <c r="M1149" s="2"/>
      <c r="N1149" s="2"/>
    </row>
    <row r="1150" spans="5:14" x14ac:dyDescent="0.35">
      <c r="E1150" s="2"/>
      <c r="F1150" s="2"/>
      <c r="G1150" s="3"/>
      <c r="H1150" s="3"/>
      <c r="I1150" s="3"/>
      <c r="J1150" s="3"/>
      <c r="K1150" s="3"/>
      <c r="L1150" s="3"/>
      <c r="M1150" s="2"/>
      <c r="N1150" s="2"/>
    </row>
    <row r="1151" spans="5:14" x14ac:dyDescent="0.35">
      <c r="E1151" s="2"/>
      <c r="F1151" s="2"/>
      <c r="G1151" s="3"/>
      <c r="H1151" s="3"/>
      <c r="I1151" s="3"/>
      <c r="J1151" s="3"/>
      <c r="K1151" s="3"/>
      <c r="L1151" s="3"/>
      <c r="M1151" s="2"/>
      <c r="N1151" s="2"/>
    </row>
    <row r="1152" spans="5:14" x14ac:dyDescent="0.35">
      <c r="E1152" s="2"/>
      <c r="F1152" s="2"/>
      <c r="G1152" s="3"/>
      <c r="H1152" s="3"/>
      <c r="I1152" s="3"/>
      <c r="J1152" s="3"/>
      <c r="K1152" s="3"/>
      <c r="L1152" s="3"/>
      <c r="M1152" s="2"/>
      <c r="N1152" s="2"/>
    </row>
    <row r="1153" spans="5:14" x14ac:dyDescent="0.35">
      <c r="E1153" s="2"/>
      <c r="F1153" s="2"/>
      <c r="G1153" s="3"/>
      <c r="H1153" s="3"/>
      <c r="I1153" s="3"/>
      <c r="J1153" s="3"/>
      <c r="K1153" s="3"/>
      <c r="L1153" s="3"/>
      <c r="M1153" s="2"/>
      <c r="N1153" s="2"/>
    </row>
    <row r="1154" spans="5:14" x14ac:dyDescent="0.35">
      <c r="E1154" s="2"/>
      <c r="F1154" s="2"/>
      <c r="G1154" s="3"/>
      <c r="H1154" s="3"/>
      <c r="I1154" s="3"/>
      <c r="J1154" s="3"/>
      <c r="K1154" s="3"/>
      <c r="L1154" s="3"/>
      <c r="M1154" s="2"/>
      <c r="N1154" s="2"/>
    </row>
    <row r="1155" spans="5:14" x14ac:dyDescent="0.35">
      <c r="E1155" s="2"/>
      <c r="F1155" s="2"/>
      <c r="G1155" s="3"/>
      <c r="H1155" s="3"/>
      <c r="I1155" s="3"/>
      <c r="J1155" s="3"/>
      <c r="K1155" s="3"/>
      <c r="L1155" s="3"/>
      <c r="M1155" s="2"/>
      <c r="N1155" s="2"/>
    </row>
    <row r="1156" spans="5:14" x14ac:dyDescent="0.35">
      <c r="E1156" s="2"/>
      <c r="F1156" s="2"/>
      <c r="G1156" s="3"/>
      <c r="H1156" s="3"/>
      <c r="I1156" s="3"/>
      <c r="J1156" s="3"/>
      <c r="K1156" s="3"/>
      <c r="L1156" s="3"/>
      <c r="M1156" s="2"/>
      <c r="N1156" s="2"/>
    </row>
    <row r="1157" spans="5:14" x14ac:dyDescent="0.35">
      <c r="E1157" s="2"/>
      <c r="F1157" s="2"/>
      <c r="G1157" s="3"/>
      <c r="H1157" s="3"/>
      <c r="I1157" s="3"/>
      <c r="J1157" s="3"/>
      <c r="K1157" s="3"/>
      <c r="L1157" s="3"/>
      <c r="M1157" s="2"/>
      <c r="N1157" s="2"/>
    </row>
    <row r="1158" spans="5:14" x14ac:dyDescent="0.35">
      <c r="E1158" s="2"/>
      <c r="F1158" s="2"/>
      <c r="G1158" s="3"/>
      <c r="H1158" s="3"/>
      <c r="I1158" s="3"/>
      <c r="J1158" s="3"/>
      <c r="K1158" s="3"/>
      <c r="L1158" s="3"/>
      <c r="M1158" s="2"/>
      <c r="N1158" s="2"/>
    </row>
    <row r="1159" spans="5:14" x14ac:dyDescent="0.35">
      <c r="E1159" s="2"/>
      <c r="F1159" s="2"/>
      <c r="G1159" s="3"/>
      <c r="H1159" s="3"/>
      <c r="I1159" s="3"/>
      <c r="J1159" s="3"/>
      <c r="K1159" s="3"/>
      <c r="L1159" s="3"/>
      <c r="M1159" s="2"/>
      <c r="N1159" s="2"/>
    </row>
    <row r="1160" spans="5:14" x14ac:dyDescent="0.35">
      <c r="E1160" s="2"/>
      <c r="F1160" s="2"/>
      <c r="G1160" s="3"/>
      <c r="H1160" s="3"/>
      <c r="I1160" s="3"/>
      <c r="J1160" s="3"/>
      <c r="K1160" s="3"/>
      <c r="L1160" s="3"/>
      <c r="M1160" s="2"/>
      <c r="N1160" s="2"/>
    </row>
    <row r="1161" spans="5:14" x14ac:dyDescent="0.35">
      <c r="E1161" s="2"/>
      <c r="F1161" s="2"/>
      <c r="G1161" s="3"/>
      <c r="H1161" s="3"/>
      <c r="I1161" s="3"/>
      <c r="J1161" s="3"/>
      <c r="K1161" s="3"/>
      <c r="L1161" s="3"/>
      <c r="M1161" s="2"/>
      <c r="N1161" s="2"/>
    </row>
    <row r="1162" spans="5:14" x14ac:dyDescent="0.35">
      <c r="E1162" s="2"/>
      <c r="F1162" s="2"/>
      <c r="G1162" s="3"/>
      <c r="H1162" s="3"/>
      <c r="I1162" s="3"/>
      <c r="J1162" s="3"/>
      <c r="K1162" s="3"/>
      <c r="L1162" s="3"/>
      <c r="M1162" s="2"/>
      <c r="N1162" s="2"/>
    </row>
    <row r="1163" spans="5:14" x14ac:dyDescent="0.35">
      <c r="E1163" s="2"/>
      <c r="F1163" s="2"/>
      <c r="G1163" s="3"/>
      <c r="H1163" s="3"/>
      <c r="I1163" s="3"/>
      <c r="J1163" s="3"/>
      <c r="K1163" s="3"/>
      <c r="L1163" s="3"/>
      <c r="M1163" s="2"/>
      <c r="N1163" s="2"/>
    </row>
    <row r="1164" spans="5:14" x14ac:dyDescent="0.35">
      <c r="E1164" s="2"/>
      <c r="F1164" s="2"/>
      <c r="G1164" s="3"/>
      <c r="H1164" s="3"/>
      <c r="I1164" s="3"/>
      <c r="J1164" s="3"/>
      <c r="K1164" s="3"/>
      <c r="L1164" s="3"/>
      <c r="M1164" s="2"/>
      <c r="N1164" s="2"/>
    </row>
    <row r="1165" spans="5:14" x14ac:dyDescent="0.35">
      <c r="E1165" s="2"/>
      <c r="F1165" s="2"/>
      <c r="G1165" s="3"/>
      <c r="H1165" s="3"/>
      <c r="I1165" s="3"/>
      <c r="J1165" s="3"/>
      <c r="K1165" s="3"/>
      <c r="L1165" s="3"/>
      <c r="M1165" s="2"/>
      <c r="N1165" s="2"/>
    </row>
    <row r="1166" spans="5:14" x14ac:dyDescent="0.35">
      <c r="E1166" s="2"/>
      <c r="F1166" s="2"/>
      <c r="G1166" s="3"/>
      <c r="H1166" s="3"/>
      <c r="I1166" s="3"/>
      <c r="J1166" s="3"/>
      <c r="K1166" s="3"/>
      <c r="L1166" s="3"/>
      <c r="M1166" s="2"/>
      <c r="N1166" s="2"/>
    </row>
    <row r="1167" spans="5:14" x14ac:dyDescent="0.35">
      <c r="E1167" s="2"/>
      <c r="F1167" s="2"/>
      <c r="G1167" s="3"/>
      <c r="H1167" s="3"/>
      <c r="I1167" s="3"/>
      <c r="J1167" s="3"/>
      <c r="K1167" s="3"/>
      <c r="L1167" s="3"/>
      <c r="M1167" s="2"/>
      <c r="N1167" s="2"/>
    </row>
    <row r="1168" spans="5:14" x14ac:dyDescent="0.35">
      <c r="E1168" s="2"/>
      <c r="F1168" s="2"/>
      <c r="G1168" s="3"/>
      <c r="H1168" s="3"/>
      <c r="I1168" s="3"/>
      <c r="J1168" s="3"/>
      <c r="K1168" s="3"/>
      <c r="L1168" s="3"/>
      <c r="M1168" s="2"/>
      <c r="N1168" s="2"/>
    </row>
    <row r="1169" spans="5:14" x14ac:dyDescent="0.35">
      <c r="E1169" s="2"/>
      <c r="F1169" s="2"/>
      <c r="G1169" s="3"/>
      <c r="H1169" s="3"/>
      <c r="I1169" s="3"/>
      <c r="J1169" s="3"/>
      <c r="K1169" s="3"/>
      <c r="L1169" s="3"/>
      <c r="M1169" s="2"/>
      <c r="N1169" s="2"/>
    </row>
    <row r="1170" spans="5:14" x14ac:dyDescent="0.35">
      <c r="E1170" s="2"/>
      <c r="F1170" s="2"/>
      <c r="G1170" s="3"/>
      <c r="H1170" s="3"/>
      <c r="I1170" s="3"/>
      <c r="J1170" s="3"/>
      <c r="K1170" s="3"/>
      <c r="L1170" s="3"/>
      <c r="M1170" s="2"/>
      <c r="N1170" s="2"/>
    </row>
    <row r="1171" spans="5:14" x14ac:dyDescent="0.35">
      <c r="E1171" s="2"/>
      <c r="F1171" s="2"/>
      <c r="G1171" s="3"/>
      <c r="H1171" s="3"/>
      <c r="I1171" s="3"/>
      <c r="J1171" s="3"/>
      <c r="K1171" s="3"/>
      <c r="L1171" s="3"/>
      <c r="M1171" s="2"/>
      <c r="N1171" s="2"/>
    </row>
    <row r="1172" spans="5:14" x14ac:dyDescent="0.35">
      <c r="E1172" s="2"/>
      <c r="F1172" s="2"/>
      <c r="G1172" s="3"/>
      <c r="H1172" s="3"/>
      <c r="I1172" s="3"/>
      <c r="J1172" s="3"/>
      <c r="K1172" s="3"/>
      <c r="L1172" s="3"/>
      <c r="M1172" s="2"/>
      <c r="N1172" s="2"/>
    </row>
    <row r="1173" spans="5:14" x14ac:dyDescent="0.35">
      <c r="E1173" s="2"/>
      <c r="F1173" s="2"/>
      <c r="G1173" s="3"/>
      <c r="H1173" s="3"/>
      <c r="I1173" s="3"/>
      <c r="J1173" s="3"/>
      <c r="K1173" s="3"/>
      <c r="L1173" s="3"/>
      <c r="M1173" s="2"/>
      <c r="N1173" s="2"/>
    </row>
    <row r="1174" spans="5:14" x14ac:dyDescent="0.35">
      <c r="E1174" s="2"/>
      <c r="F1174" s="2"/>
      <c r="G1174" s="3"/>
      <c r="H1174" s="3"/>
      <c r="I1174" s="3"/>
      <c r="J1174" s="3"/>
      <c r="K1174" s="3"/>
      <c r="L1174" s="3"/>
      <c r="M1174" s="2"/>
      <c r="N1174" s="2"/>
    </row>
    <row r="1175" spans="5:14" x14ac:dyDescent="0.35">
      <c r="E1175" s="2"/>
      <c r="F1175" s="2"/>
      <c r="G1175" s="3"/>
      <c r="H1175" s="3"/>
      <c r="I1175" s="3"/>
      <c r="J1175" s="3"/>
      <c r="K1175" s="3"/>
      <c r="L1175" s="3"/>
      <c r="M1175" s="2"/>
      <c r="N1175" s="2"/>
    </row>
    <row r="1176" spans="5:14" x14ac:dyDescent="0.35">
      <c r="E1176" s="2"/>
      <c r="F1176" s="2"/>
      <c r="G1176" s="3"/>
      <c r="H1176" s="3"/>
      <c r="I1176" s="3"/>
      <c r="J1176" s="3"/>
      <c r="K1176" s="3"/>
      <c r="L1176" s="3"/>
      <c r="M1176" s="2"/>
      <c r="N1176" s="2"/>
    </row>
    <row r="1177" spans="5:14" x14ac:dyDescent="0.35">
      <c r="E1177" s="2"/>
      <c r="F1177" s="2"/>
      <c r="G1177" s="3"/>
      <c r="H1177" s="3"/>
      <c r="I1177" s="3"/>
      <c r="J1177" s="3"/>
      <c r="K1177" s="3"/>
      <c r="L1177" s="3"/>
      <c r="M1177" s="2"/>
      <c r="N1177" s="2"/>
    </row>
    <row r="1178" spans="5:14" x14ac:dyDescent="0.35">
      <c r="E1178" s="2"/>
      <c r="F1178" s="2"/>
      <c r="G1178" s="3"/>
      <c r="H1178" s="3"/>
      <c r="I1178" s="3"/>
      <c r="J1178" s="3"/>
      <c r="K1178" s="3"/>
      <c r="L1178" s="3"/>
      <c r="M1178" s="2"/>
      <c r="N1178" s="2"/>
    </row>
    <row r="1179" spans="5:14" x14ac:dyDescent="0.35">
      <c r="E1179" s="2"/>
      <c r="F1179" s="2"/>
      <c r="G1179" s="3"/>
      <c r="H1179" s="3"/>
      <c r="I1179" s="3"/>
      <c r="J1179" s="3"/>
      <c r="K1179" s="3"/>
      <c r="L1179" s="3"/>
      <c r="M1179" s="2"/>
      <c r="N1179" s="2"/>
    </row>
    <row r="1180" spans="5:14" x14ac:dyDescent="0.35">
      <c r="E1180" s="2"/>
      <c r="F1180" s="2"/>
      <c r="G1180" s="3"/>
      <c r="H1180" s="3"/>
      <c r="I1180" s="3"/>
      <c r="J1180" s="3"/>
      <c r="K1180" s="3"/>
      <c r="L1180" s="3"/>
      <c r="M1180" s="2"/>
      <c r="N1180" s="2"/>
    </row>
    <row r="1181" spans="5:14" x14ac:dyDescent="0.35">
      <c r="E1181" s="2"/>
      <c r="F1181" s="2"/>
      <c r="G1181" s="3"/>
      <c r="H1181" s="3"/>
      <c r="I1181" s="3"/>
      <c r="J1181" s="3"/>
      <c r="K1181" s="3"/>
      <c r="L1181" s="3"/>
      <c r="M1181" s="2"/>
      <c r="N1181" s="2"/>
    </row>
    <row r="1182" spans="5:14" x14ac:dyDescent="0.35">
      <c r="E1182" s="2"/>
      <c r="F1182" s="2"/>
      <c r="G1182" s="3"/>
      <c r="H1182" s="3"/>
      <c r="I1182" s="3"/>
      <c r="J1182" s="3"/>
      <c r="K1182" s="3"/>
      <c r="L1182" s="3"/>
      <c r="M1182" s="2"/>
      <c r="N1182" s="2"/>
    </row>
    <row r="1183" spans="5:14" x14ac:dyDescent="0.35">
      <c r="E1183" s="2"/>
      <c r="F1183" s="2"/>
      <c r="G1183" s="3"/>
      <c r="H1183" s="3"/>
      <c r="I1183" s="3"/>
      <c r="J1183" s="3"/>
      <c r="K1183" s="3"/>
      <c r="L1183" s="3"/>
      <c r="M1183" s="2"/>
      <c r="N1183" s="2"/>
    </row>
    <row r="1184" spans="5:14" x14ac:dyDescent="0.35">
      <c r="E1184" s="2"/>
      <c r="F1184" s="2"/>
      <c r="G1184" s="3"/>
      <c r="H1184" s="3"/>
      <c r="I1184" s="3"/>
      <c r="J1184" s="3"/>
      <c r="K1184" s="3"/>
      <c r="L1184" s="3"/>
      <c r="M1184" s="2"/>
      <c r="N1184" s="2"/>
    </row>
    <row r="1185" spans="5:14" x14ac:dyDescent="0.35">
      <c r="E1185" s="2"/>
      <c r="F1185" s="2"/>
      <c r="G1185" s="3"/>
      <c r="H1185" s="3"/>
      <c r="I1185" s="3"/>
      <c r="J1185" s="3"/>
      <c r="K1185" s="3"/>
      <c r="L1185" s="3"/>
      <c r="M1185" s="2"/>
      <c r="N1185" s="2"/>
    </row>
    <row r="1186" spans="5:14" x14ac:dyDescent="0.35">
      <c r="E1186" s="2"/>
      <c r="F1186" s="2"/>
      <c r="G1186" s="3"/>
      <c r="H1186" s="3"/>
      <c r="I1186" s="3"/>
      <c r="J1186" s="3"/>
      <c r="K1186" s="3"/>
      <c r="L1186" s="3"/>
      <c r="M1186" s="2"/>
      <c r="N1186" s="2"/>
    </row>
    <row r="1187" spans="5:14" x14ac:dyDescent="0.35">
      <c r="E1187" s="2"/>
      <c r="F1187" s="2"/>
      <c r="G1187" s="3"/>
      <c r="H1187" s="3"/>
      <c r="I1187" s="3"/>
      <c r="J1187" s="3"/>
      <c r="K1187" s="3"/>
      <c r="L1187" s="3"/>
      <c r="M1187" s="2"/>
      <c r="N1187" s="2"/>
    </row>
    <row r="1188" spans="5:14" x14ac:dyDescent="0.35">
      <c r="E1188" s="2"/>
      <c r="F1188" s="2"/>
      <c r="G1188" s="3"/>
      <c r="H1188" s="3"/>
      <c r="I1188" s="3"/>
      <c r="J1188" s="3"/>
      <c r="K1188" s="3"/>
      <c r="L1188" s="3"/>
      <c r="M1188" s="2"/>
      <c r="N1188" s="2"/>
    </row>
    <row r="1189" spans="5:14" x14ac:dyDescent="0.35">
      <c r="E1189" s="2"/>
      <c r="F1189" s="2"/>
      <c r="G1189" s="3"/>
      <c r="H1189" s="3"/>
      <c r="I1189" s="3"/>
      <c r="J1189" s="3"/>
      <c r="K1189" s="3"/>
      <c r="L1189" s="3"/>
      <c r="M1189" s="2"/>
      <c r="N1189" s="2"/>
    </row>
    <row r="1190" spans="5:14" x14ac:dyDescent="0.35">
      <c r="E1190" s="2"/>
      <c r="F1190" s="2"/>
      <c r="G1190" s="3"/>
      <c r="H1190" s="3"/>
      <c r="I1190" s="3"/>
      <c r="J1190" s="3"/>
      <c r="K1190" s="3"/>
      <c r="L1190" s="3"/>
      <c r="M1190" s="2"/>
      <c r="N1190" s="2"/>
    </row>
    <row r="1191" spans="5:14" x14ac:dyDescent="0.35">
      <c r="E1191" s="2"/>
      <c r="F1191" s="2"/>
      <c r="G1191" s="3"/>
      <c r="H1191" s="3"/>
      <c r="I1191" s="3"/>
      <c r="J1191" s="3"/>
      <c r="K1191" s="3"/>
      <c r="L1191" s="3"/>
      <c r="M1191" s="2"/>
      <c r="N1191" s="2"/>
    </row>
    <row r="1192" spans="5:14" x14ac:dyDescent="0.35">
      <c r="E1192" s="2"/>
      <c r="F1192" s="2"/>
      <c r="G1192" s="3"/>
      <c r="H1192" s="3"/>
      <c r="I1192" s="3"/>
      <c r="J1192" s="3"/>
      <c r="K1192" s="3"/>
      <c r="L1192" s="3"/>
      <c r="M1192" s="2"/>
      <c r="N1192" s="2"/>
    </row>
    <row r="1193" spans="5:14" x14ac:dyDescent="0.35">
      <c r="E1193" s="2"/>
      <c r="F1193" s="2"/>
      <c r="G1193" s="3"/>
      <c r="H1193" s="3"/>
      <c r="I1193" s="3"/>
      <c r="J1193" s="3"/>
      <c r="K1193" s="3"/>
      <c r="L1193" s="3"/>
      <c r="M1193" s="2"/>
      <c r="N1193" s="2"/>
    </row>
    <row r="1194" spans="5:14" x14ac:dyDescent="0.35">
      <c r="E1194" s="2"/>
      <c r="F1194" s="2"/>
      <c r="G1194" s="3"/>
      <c r="H1194" s="3"/>
      <c r="I1194" s="3"/>
      <c r="J1194" s="3"/>
      <c r="K1194" s="3"/>
      <c r="L1194" s="3"/>
      <c r="M1194" s="2"/>
      <c r="N1194" s="2"/>
    </row>
    <row r="1195" spans="5:14" x14ac:dyDescent="0.35">
      <c r="E1195" s="2"/>
      <c r="F1195" s="2"/>
      <c r="G1195" s="3"/>
      <c r="H1195" s="3"/>
      <c r="I1195" s="3"/>
      <c r="J1195" s="3"/>
      <c r="K1195" s="3"/>
      <c r="L1195" s="3"/>
      <c r="M1195" s="2"/>
      <c r="N1195" s="2"/>
    </row>
    <row r="1196" spans="5:14" x14ac:dyDescent="0.35">
      <c r="E1196" s="2"/>
      <c r="F1196" s="2"/>
      <c r="G1196" s="3"/>
      <c r="H1196" s="3"/>
      <c r="I1196" s="3"/>
      <c r="J1196" s="3"/>
      <c r="K1196" s="3"/>
      <c r="L1196" s="3"/>
      <c r="M1196" s="2"/>
      <c r="N1196" s="2"/>
    </row>
    <row r="1197" spans="5:14" x14ac:dyDescent="0.35">
      <c r="E1197" s="2"/>
      <c r="F1197" s="2"/>
      <c r="G1197" s="3"/>
      <c r="H1197" s="3"/>
      <c r="I1197" s="3"/>
      <c r="J1197" s="3"/>
      <c r="K1197" s="3"/>
      <c r="L1197" s="3"/>
      <c r="M1197" s="2"/>
      <c r="N1197" s="2"/>
    </row>
    <row r="1198" spans="5:14" x14ac:dyDescent="0.35">
      <c r="E1198" s="2"/>
      <c r="F1198" s="2"/>
      <c r="G1198" s="3"/>
      <c r="H1198" s="3"/>
      <c r="I1198" s="3"/>
      <c r="J1198" s="3"/>
      <c r="K1198" s="3"/>
      <c r="L1198" s="3"/>
      <c r="M1198" s="2"/>
      <c r="N1198" s="2"/>
    </row>
    <row r="1199" spans="5:14" x14ac:dyDescent="0.35">
      <c r="E1199" s="2"/>
      <c r="F1199" s="2"/>
      <c r="G1199" s="3"/>
      <c r="H1199" s="3"/>
      <c r="I1199" s="3"/>
      <c r="J1199" s="3"/>
      <c r="K1199" s="3"/>
      <c r="L1199" s="3"/>
      <c r="M1199" s="2"/>
      <c r="N1199" s="2"/>
    </row>
    <row r="1200" spans="5:14" x14ac:dyDescent="0.35">
      <c r="E1200" s="2"/>
      <c r="F1200" s="2"/>
      <c r="G1200" s="3"/>
      <c r="H1200" s="3"/>
      <c r="I1200" s="3"/>
      <c r="J1200" s="3"/>
      <c r="K1200" s="3"/>
      <c r="L1200" s="3"/>
      <c r="M1200" s="2"/>
      <c r="N1200" s="2"/>
    </row>
    <row r="1201" spans="5:14" x14ac:dyDescent="0.35">
      <c r="E1201" s="2"/>
      <c r="F1201" s="2"/>
      <c r="G1201" s="3"/>
      <c r="H1201" s="3"/>
      <c r="I1201" s="3"/>
      <c r="J1201" s="3"/>
      <c r="K1201" s="3"/>
      <c r="L1201" s="3"/>
      <c r="M1201" s="2"/>
      <c r="N1201" s="2"/>
    </row>
    <row r="1202" spans="5:14" x14ac:dyDescent="0.35">
      <c r="E1202" s="2"/>
      <c r="F1202" s="2"/>
      <c r="G1202" s="3"/>
      <c r="H1202" s="3"/>
      <c r="I1202" s="3"/>
      <c r="J1202" s="3"/>
      <c r="K1202" s="3"/>
      <c r="L1202" s="3"/>
      <c r="M1202" s="2"/>
      <c r="N1202" s="2"/>
    </row>
    <row r="1203" spans="5:14" x14ac:dyDescent="0.35">
      <c r="E1203" s="2"/>
      <c r="F1203" s="2"/>
      <c r="G1203" s="3"/>
      <c r="H1203" s="3"/>
      <c r="I1203" s="3"/>
      <c r="J1203" s="3"/>
      <c r="K1203" s="3"/>
      <c r="L1203" s="3"/>
      <c r="M1203" s="2"/>
      <c r="N1203" s="2"/>
    </row>
    <row r="1204" spans="5:14" x14ac:dyDescent="0.35">
      <c r="E1204" s="2"/>
      <c r="F1204" s="2"/>
      <c r="G1204" s="3"/>
      <c r="H1204" s="3"/>
      <c r="I1204" s="3"/>
      <c r="J1204" s="3"/>
      <c r="K1204" s="3"/>
      <c r="L1204" s="3"/>
      <c r="M1204" s="2"/>
      <c r="N1204" s="2"/>
    </row>
    <row r="1205" spans="5:14" x14ac:dyDescent="0.35">
      <c r="E1205" s="2"/>
      <c r="F1205" s="2"/>
      <c r="G1205" s="3"/>
      <c r="H1205" s="3"/>
      <c r="I1205" s="3"/>
      <c r="J1205" s="3"/>
      <c r="K1205" s="3"/>
      <c r="L1205" s="3"/>
      <c r="M1205" s="2"/>
      <c r="N1205" s="2"/>
    </row>
    <row r="1206" spans="5:14" x14ac:dyDescent="0.35">
      <c r="E1206" s="2"/>
      <c r="F1206" s="2"/>
      <c r="G1206" s="3"/>
      <c r="H1206" s="3"/>
      <c r="I1206" s="3"/>
      <c r="J1206" s="3"/>
      <c r="K1206" s="3"/>
      <c r="L1206" s="3"/>
      <c r="M1206" s="2"/>
      <c r="N1206" s="2"/>
    </row>
    <row r="1207" spans="5:14" x14ac:dyDescent="0.35">
      <c r="E1207" s="2"/>
      <c r="F1207" s="2"/>
      <c r="G1207" s="3"/>
      <c r="H1207" s="3"/>
      <c r="I1207" s="3"/>
      <c r="J1207" s="3"/>
      <c r="K1207" s="3"/>
      <c r="L1207" s="3"/>
      <c r="M1207" s="2"/>
      <c r="N1207" s="2"/>
    </row>
    <row r="1208" spans="5:14" x14ac:dyDescent="0.35">
      <c r="E1208" s="2"/>
      <c r="F1208" s="2"/>
      <c r="G1208" s="3"/>
      <c r="H1208" s="3"/>
      <c r="I1208" s="3"/>
      <c r="J1208" s="3"/>
      <c r="K1208" s="3"/>
      <c r="L1208" s="3"/>
      <c r="M1208" s="2"/>
      <c r="N1208" s="2"/>
    </row>
    <row r="1209" spans="5:14" x14ac:dyDescent="0.35">
      <c r="E1209" s="2"/>
      <c r="F1209" s="2"/>
      <c r="G1209" s="3"/>
      <c r="H1209" s="3"/>
      <c r="I1209" s="3"/>
      <c r="J1209" s="3"/>
      <c r="K1209" s="3"/>
      <c r="L1209" s="3"/>
      <c r="M1209" s="2"/>
      <c r="N1209" s="2"/>
    </row>
    <row r="1210" spans="5:14" x14ac:dyDescent="0.35">
      <c r="E1210" s="2"/>
      <c r="F1210" s="2"/>
      <c r="G1210" s="3"/>
      <c r="H1210" s="3"/>
      <c r="I1210" s="3"/>
      <c r="J1210" s="3"/>
      <c r="K1210" s="3"/>
      <c r="L1210" s="3"/>
      <c r="M1210" s="2"/>
      <c r="N1210" s="2"/>
    </row>
    <row r="1211" spans="5:14" x14ac:dyDescent="0.35">
      <c r="E1211" s="2"/>
      <c r="F1211" s="2"/>
      <c r="G1211" s="3"/>
      <c r="H1211" s="3"/>
      <c r="I1211" s="3"/>
      <c r="J1211" s="3"/>
      <c r="K1211" s="3"/>
      <c r="L1211" s="3"/>
      <c r="M1211" s="2"/>
      <c r="N1211" s="2"/>
    </row>
    <row r="1212" spans="5:14" x14ac:dyDescent="0.35">
      <c r="E1212" s="2"/>
      <c r="F1212" s="2"/>
      <c r="G1212" s="3"/>
      <c r="H1212" s="3"/>
      <c r="I1212" s="3"/>
      <c r="J1212" s="3"/>
      <c r="K1212" s="3"/>
      <c r="L1212" s="3"/>
      <c r="M1212" s="2"/>
      <c r="N1212" s="2"/>
    </row>
    <row r="1213" spans="5:14" x14ac:dyDescent="0.35">
      <c r="E1213" s="2"/>
      <c r="F1213" s="2"/>
      <c r="G1213" s="3"/>
      <c r="H1213" s="3"/>
      <c r="I1213" s="3"/>
      <c r="J1213" s="3"/>
      <c r="K1213" s="3"/>
      <c r="L1213" s="3"/>
      <c r="M1213" s="2"/>
      <c r="N1213" s="2"/>
    </row>
    <row r="1214" spans="5:14" x14ac:dyDescent="0.35">
      <c r="E1214" s="2"/>
      <c r="F1214" s="2"/>
      <c r="G1214" s="3"/>
      <c r="H1214" s="3"/>
      <c r="I1214" s="3"/>
      <c r="J1214" s="3"/>
      <c r="K1214" s="3"/>
      <c r="L1214" s="3"/>
      <c r="M1214" s="2"/>
      <c r="N1214" s="2"/>
    </row>
    <row r="1215" spans="5:14" x14ac:dyDescent="0.35">
      <c r="E1215" s="2"/>
      <c r="F1215" s="2"/>
      <c r="G1215" s="3"/>
      <c r="H1215" s="3"/>
      <c r="I1215" s="3"/>
      <c r="J1215" s="3"/>
      <c r="K1215" s="3"/>
      <c r="L1215" s="3"/>
      <c r="M1215" s="2"/>
      <c r="N1215" s="2"/>
    </row>
    <row r="1216" spans="5:14" x14ac:dyDescent="0.35">
      <c r="E1216" s="2"/>
      <c r="F1216" s="2"/>
      <c r="G1216" s="3"/>
      <c r="H1216" s="3"/>
      <c r="I1216" s="3"/>
      <c r="J1216" s="3"/>
      <c r="K1216" s="3"/>
      <c r="L1216" s="3"/>
      <c r="M1216" s="2"/>
      <c r="N1216" s="2"/>
    </row>
    <row r="1217" spans="5:14" x14ac:dyDescent="0.35">
      <c r="E1217" s="2"/>
      <c r="F1217" s="2"/>
      <c r="G1217" s="3"/>
      <c r="H1217" s="3"/>
      <c r="I1217" s="3"/>
      <c r="J1217" s="3"/>
      <c r="K1217" s="3"/>
      <c r="L1217" s="3"/>
      <c r="M1217" s="2"/>
      <c r="N1217" s="2"/>
    </row>
    <row r="1218" spans="5:14" x14ac:dyDescent="0.35">
      <c r="E1218" s="2"/>
      <c r="F1218" s="2"/>
      <c r="G1218" s="3"/>
      <c r="H1218" s="3"/>
      <c r="I1218" s="3"/>
      <c r="J1218" s="3"/>
      <c r="K1218" s="3"/>
      <c r="L1218" s="3"/>
      <c r="M1218" s="2"/>
      <c r="N1218" s="2"/>
    </row>
    <row r="1219" spans="5:14" x14ac:dyDescent="0.35">
      <c r="E1219" s="2"/>
      <c r="F1219" s="2"/>
      <c r="G1219" s="3"/>
      <c r="H1219" s="3"/>
      <c r="I1219" s="3"/>
      <c r="J1219" s="3"/>
      <c r="K1219" s="3"/>
      <c r="L1219" s="3"/>
      <c r="M1219" s="2"/>
      <c r="N1219" s="2"/>
    </row>
    <row r="1220" spans="5:14" x14ac:dyDescent="0.35">
      <c r="E1220" s="2"/>
      <c r="F1220" s="2"/>
      <c r="G1220" s="3"/>
      <c r="H1220" s="3"/>
      <c r="I1220" s="3"/>
      <c r="J1220" s="3"/>
      <c r="K1220" s="3"/>
      <c r="L1220" s="3"/>
      <c r="M1220" s="2"/>
      <c r="N1220" s="2"/>
    </row>
    <row r="1221" spans="5:14" x14ac:dyDescent="0.35">
      <c r="E1221" s="2"/>
      <c r="F1221" s="2"/>
      <c r="G1221" s="3"/>
      <c r="H1221" s="3"/>
      <c r="I1221" s="3"/>
      <c r="J1221" s="3"/>
      <c r="K1221" s="3"/>
      <c r="L1221" s="3"/>
      <c r="M1221" s="2"/>
      <c r="N1221" s="2"/>
    </row>
    <row r="1222" spans="5:14" x14ac:dyDescent="0.35">
      <c r="E1222" s="2"/>
      <c r="F1222" s="2"/>
      <c r="G1222" s="3"/>
      <c r="H1222" s="3"/>
      <c r="I1222" s="3"/>
      <c r="J1222" s="3"/>
      <c r="K1222" s="3"/>
      <c r="L1222" s="3"/>
      <c r="M1222" s="2"/>
      <c r="N1222" s="2"/>
    </row>
    <row r="1223" spans="5:14" x14ac:dyDescent="0.35">
      <c r="E1223" s="2"/>
      <c r="F1223" s="2"/>
      <c r="G1223" s="3"/>
      <c r="H1223" s="3"/>
      <c r="I1223" s="3"/>
      <c r="J1223" s="3"/>
      <c r="K1223" s="3"/>
      <c r="L1223" s="3"/>
      <c r="M1223" s="2"/>
      <c r="N1223" s="2"/>
    </row>
    <row r="1224" spans="5:14" x14ac:dyDescent="0.35">
      <c r="E1224" s="2"/>
      <c r="F1224" s="2"/>
      <c r="G1224" s="3"/>
      <c r="H1224" s="3"/>
      <c r="I1224" s="3"/>
      <c r="J1224" s="3"/>
      <c r="K1224" s="3"/>
      <c r="L1224" s="3"/>
      <c r="M1224" s="2"/>
      <c r="N1224" s="2"/>
    </row>
    <row r="1225" spans="5:14" x14ac:dyDescent="0.35">
      <c r="E1225" s="2"/>
      <c r="F1225" s="2"/>
      <c r="G1225" s="3"/>
      <c r="H1225" s="3"/>
      <c r="I1225" s="3"/>
      <c r="J1225" s="3"/>
      <c r="K1225" s="3"/>
      <c r="L1225" s="3"/>
      <c r="M1225" s="2"/>
      <c r="N1225" s="2"/>
    </row>
    <row r="1226" spans="5:14" x14ac:dyDescent="0.35">
      <c r="E1226" s="2"/>
      <c r="F1226" s="2"/>
      <c r="G1226" s="3"/>
      <c r="H1226" s="3"/>
      <c r="I1226" s="3"/>
      <c r="J1226" s="3"/>
      <c r="K1226" s="3"/>
      <c r="L1226" s="3"/>
      <c r="M1226" s="2"/>
      <c r="N1226" s="2"/>
    </row>
    <row r="1227" spans="5:14" x14ac:dyDescent="0.35">
      <c r="E1227" s="2"/>
      <c r="F1227" s="2"/>
      <c r="G1227" s="3"/>
      <c r="H1227" s="3"/>
      <c r="I1227" s="3"/>
      <c r="J1227" s="3"/>
      <c r="K1227" s="3"/>
      <c r="L1227" s="3"/>
      <c r="M1227" s="2"/>
      <c r="N1227" s="2"/>
    </row>
    <row r="1228" spans="5:14" x14ac:dyDescent="0.35">
      <c r="E1228" s="2"/>
      <c r="F1228" s="2"/>
      <c r="G1228" s="3"/>
      <c r="H1228" s="3"/>
      <c r="I1228" s="3"/>
      <c r="J1228" s="3"/>
      <c r="K1228" s="3"/>
      <c r="L1228" s="3"/>
      <c r="M1228" s="2"/>
      <c r="N1228" s="2"/>
    </row>
    <row r="1229" spans="5:14" x14ac:dyDescent="0.35">
      <c r="E1229" s="2"/>
      <c r="F1229" s="2"/>
      <c r="G1229" s="3"/>
      <c r="H1229" s="3"/>
      <c r="I1229" s="3"/>
      <c r="J1229" s="3"/>
      <c r="K1229" s="3"/>
      <c r="L1229" s="3"/>
      <c r="M1229" s="2"/>
      <c r="N1229" s="2"/>
    </row>
    <row r="1230" spans="5:14" x14ac:dyDescent="0.35">
      <c r="E1230" s="2"/>
      <c r="F1230" s="2"/>
      <c r="G1230" s="3"/>
      <c r="H1230" s="3"/>
      <c r="I1230" s="3"/>
      <c r="J1230" s="3"/>
      <c r="K1230" s="3"/>
      <c r="L1230" s="3"/>
      <c r="M1230" s="2"/>
      <c r="N1230" s="2"/>
    </row>
    <row r="1231" spans="5:14" x14ac:dyDescent="0.35">
      <c r="E1231" s="2"/>
      <c r="F1231" s="2"/>
      <c r="G1231" s="3"/>
      <c r="H1231" s="3"/>
      <c r="I1231" s="3"/>
      <c r="J1231" s="3"/>
      <c r="K1231" s="3"/>
      <c r="L1231" s="3"/>
      <c r="M1231" s="2"/>
      <c r="N1231" s="2"/>
    </row>
    <row r="1232" spans="5:14" x14ac:dyDescent="0.35">
      <c r="E1232" s="2"/>
      <c r="F1232" s="2"/>
      <c r="G1232" s="3"/>
      <c r="H1232" s="3"/>
      <c r="I1232" s="3"/>
      <c r="J1232" s="3"/>
      <c r="K1232" s="3"/>
      <c r="L1232" s="3"/>
      <c r="M1232" s="2"/>
      <c r="N1232" s="2"/>
    </row>
    <row r="1233" spans="5:14" x14ac:dyDescent="0.35">
      <c r="E1233" s="2"/>
      <c r="F1233" s="2"/>
      <c r="G1233" s="3"/>
      <c r="H1233" s="3"/>
      <c r="I1233" s="3"/>
      <c r="J1233" s="3"/>
      <c r="K1233" s="3"/>
      <c r="L1233" s="3"/>
      <c r="M1233" s="2"/>
      <c r="N1233" s="2"/>
    </row>
    <row r="1234" spans="5:14" x14ac:dyDescent="0.35">
      <c r="E1234" s="2"/>
      <c r="F1234" s="2"/>
      <c r="G1234" s="3"/>
      <c r="H1234" s="3"/>
      <c r="I1234" s="3"/>
      <c r="J1234" s="3"/>
      <c r="K1234" s="3"/>
      <c r="L1234" s="3"/>
      <c r="M1234" s="2"/>
      <c r="N1234" s="2"/>
    </row>
    <row r="1235" spans="5:14" x14ac:dyDescent="0.35">
      <c r="E1235" s="2"/>
      <c r="F1235" s="2"/>
      <c r="G1235" s="3"/>
      <c r="H1235" s="3"/>
      <c r="I1235" s="3"/>
      <c r="J1235" s="3"/>
      <c r="K1235" s="3"/>
      <c r="L1235" s="3"/>
      <c r="M1235" s="2"/>
      <c r="N1235" s="2"/>
    </row>
    <row r="1236" spans="5:14" x14ac:dyDescent="0.35">
      <c r="E1236" s="2"/>
      <c r="F1236" s="2"/>
      <c r="G1236" s="3"/>
      <c r="H1236" s="3"/>
      <c r="I1236" s="3"/>
      <c r="J1236" s="3"/>
      <c r="K1236" s="3"/>
      <c r="L1236" s="3"/>
      <c r="M1236" s="2"/>
      <c r="N1236" s="2"/>
    </row>
    <row r="1237" spans="5:14" x14ac:dyDescent="0.35">
      <c r="E1237" s="2"/>
      <c r="F1237" s="2"/>
      <c r="G1237" s="3"/>
      <c r="H1237" s="3"/>
      <c r="I1237" s="3"/>
      <c r="J1237" s="3"/>
      <c r="K1237" s="3"/>
      <c r="L1237" s="3"/>
      <c r="M1237" s="2"/>
      <c r="N1237" s="2"/>
    </row>
    <row r="1238" spans="5:14" x14ac:dyDescent="0.35">
      <c r="E1238" s="2"/>
      <c r="F1238" s="2"/>
      <c r="G1238" s="3"/>
      <c r="H1238" s="3"/>
      <c r="I1238" s="3"/>
      <c r="J1238" s="3"/>
      <c r="K1238" s="3"/>
      <c r="L1238" s="3"/>
      <c r="M1238" s="2"/>
      <c r="N1238" s="2"/>
    </row>
    <row r="1239" spans="5:14" x14ac:dyDescent="0.35">
      <c r="E1239" s="2"/>
      <c r="F1239" s="2"/>
      <c r="G1239" s="3"/>
      <c r="H1239" s="3"/>
      <c r="I1239" s="3"/>
      <c r="J1239" s="3"/>
      <c r="K1239" s="3"/>
      <c r="L1239" s="3"/>
      <c r="M1239" s="2"/>
      <c r="N1239" s="2"/>
    </row>
    <row r="1240" spans="5:14" x14ac:dyDescent="0.35">
      <c r="E1240" s="2"/>
      <c r="F1240" s="2"/>
      <c r="G1240" s="3"/>
      <c r="H1240" s="3"/>
      <c r="I1240" s="3"/>
      <c r="J1240" s="3"/>
      <c r="K1240" s="3"/>
      <c r="L1240" s="3"/>
      <c r="M1240" s="2"/>
      <c r="N1240" s="2"/>
    </row>
    <row r="1241" spans="5:14" x14ac:dyDescent="0.35">
      <c r="E1241" s="2"/>
      <c r="F1241" s="2"/>
      <c r="G1241" s="3"/>
      <c r="H1241" s="3"/>
      <c r="I1241" s="3"/>
      <c r="J1241" s="3"/>
      <c r="K1241" s="3"/>
      <c r="L1241" s="3"/>
      <c r="M1241" s="2"/>
      <c r="N1241" s="2"/>
    </row>
    <row r="1242" spans="5:14" x14ac:dyDescent="0.35">
      <c r="E1242" s="2"/>
      <c r="F1242" s="2"/>
      <c r="G1242" s="3"/>
      <c r="H1242" s="3"/>
      <c r="I1242" s="3"/>
      <c r="J1242" s="3"/>
      <c r="K1242" s="3"/>
      <c r="L1242" s="3"/>
      <c r="M1242" s="2"/>
      <c r="N1242" s="2"/>
    </row>
    <row r="1243" spans="5:14" x14ac:dyDescent="0.35">
      <c r="E1243" s="2"/>
      <c r="F1243" s="2"/>
      <c r="G1243" s="3"/>
      <c r="H1243" s="3"/>
      <c r="I1243" s="3"/>
      <c r="J1243" s="3"/>
      <c r="K1243" s="3"/>
      <c r="L1243" s="3"/>
      <c r="M1243" s="2"/>
      <c r="N1243" s="2"/>
    </row>
    <row r="1244" spans="5:14" x14ac:dyDescent="0.35">
      <c r="E1244" s="2"/>
      <c r="F1244" s="2"/>
      <c r="G1244" s="3"/>
      <c r="H1244" s="3"/>
      <c r="I1244" s="3"/>
      <c r="J1244" s="3"/>
      <c r="K1244" s="3"/>
      <c r="L1244" s="3"/>
      <c r="M1244" s="2"/>
      <c r="N1244" s="2"/>
    </row>
    <row r="1245" spans="5:14" x14ac:dyDescent="0.35">
      <c r="E1245" s="2"/>
      <c r="F1245" s="2"/>
      <c r="G1245" s="3"/>
      <c r="H1245" s="3"/>
      <c r="I1245" s="3"/>
      <c r="J1245" s="3"/>
      <c r="K1245" s="3"/>
      <c r="L1245" s="3"/>
      <c r="M1245" s="2"/>
      <c r="N1245" s="2"/>
    </row>
    <row r="1246" spans="5:14" x14ac:dyDescent="0.35">
      <c r="E1246" s="2"/>
      <c r="F1246" s="2"/>
      <c r="G1246" s="3"/>
      <c r="H1246" s="3"/>
      <c r="I1246" s="3"/>
      <c r="J1246" s="3"/>
      <c r="K1246" s="3"/>
      <c r="L1246" s="3"/>
      <c r="M1246" s="2"/>
      <c r="N1246" s="2"/>
    </row>
    <row r="1247" spans="5:14" x14ac:dyDescent="0.35">
      <c r="E1247" s="2"/>
      <c r="F1247" s="2"/>
      <c r="G1247" s="3"/>
      <c r="H1247" s="3"/>
      <c r="I1247" s="3"/>
      <c r="J1247" s="3"/>
      <c r="K1247" s="3"/>
      <c r="L1247" s="3"/>
      <c r="M1247" s="2"/>
      <c r="N1247" s="2"/>
    </row>
    <row r="1248" spans="5:14" x14ac:dyDescent="0.35">
      <c r="E1248" s="2"/>
      <c r="F1248" s="2"/>
      <c r="G1248" s="3"/>
      <c r="H1248" s="3"/>
      <c r="I1248" s="3"/>
      <c r="J1248" s="3"/>
      <c r="K1248" s="3"/>
      <c r="L1248" s="3"/>
      <c r="M1248" s="2"/>
      <c r="N1248" s="2"/>
    </row>
    <row r="1249" spans="5:14" x14ac:dyDescent="0.35">
      <c r="E1249" s="2"/>
      <c r="F1249" s="2"/>
      <c r="G1249" s="3"/>
      <c r="H1249" s="3"/>
      <c r="I1249" s="3"/>
      <c r="J1249" s="3"/>
      <c r="K1249" s="3"/>
      <c r="L1249" s="3"/>
      <c r="M1249" s="2"/>
      <c r="N1249" s="2"/>
    </row>
    <row r="1250" spans="5:14" x14ac:dyDescent="0.35">
      <c r="E1250" s="2"/>
      <c r="F1250" s="2"/>
      <c r="G1250" s="3"/>
      <c r="H1250" s="3"/>
      <c r="I1250" s="3"/>
      <c r="J1250" s="3"/>
      <c r="K1250" s="3"/>
      <c r="L1250" s="3"/>
      <c r="M1250" s="2"/>
      <c r="N1250" s="2"/>
    </row>
    <row r="1251" spans="5:14" x14ac:dyDescent="0.35">
      <c r="E1251" s="2"/>
      <c r="F1251" s="2"/>
      <c r="G1251" s="3"/>
      <c r="H1251" s="3"/>
      <c r="I1251" s="3"/>
      <c r="J1251" s="3"/>
      <c r="K1251" s="3"/>
      <c r="L1251" s="3"/>
      <c r="M1251" s="2"/>
      <c r="N1251" s="2"/>
    </row>
    <row r="1252" spans="5:14" x14ac:dyDescent="0.35">
      <c r="E1252" s="2"/>
      <c r="F1252" s="2"/>
      <c r="G1252" s="3"/>
      <c r="H1252" s="3"/>
      <c r="I1252" s="3"/>
      <c r="J1252" s="3"/>
      <c r="K1252" s="3"/>
      <c r="L1252" s="3"/>
      <c r="M1252" s="2"/>
      <c r="N1252" s="2"/>
    </row>
    <row r="1253" spans="5:14" x14ac:dyDescent="0.35">
      <c r="E1253" s="2"/>
      <c r="F1253" s="2"/>
      <c r="G1253" s="3"/>
      <c r="H1253" s="3"/>
      <c r="I1253" s="3"/>
      <c r="J1253" s="3"/>
      <c r="K1253" s="3"/>
      <c r="L1253" s="3"/>
      <c r="M1253" s="2"/>
      <c r="N1253" s="2"/>
    </row>
    <row r="1254" spans="5:14" x14ac:dyDescent="0.35">
      <c r="E1254" s="2"/>
      <c r="F1254" s="2"/>
      <c r="G1254" s="3"/>
      <c r="H1254" s="3"/>
      <c r="I1254" s="3"/>
      <c r="J1254" s="3"/>
      <c r="K1254" s="3"/>
      <c r="L1254" s="3"/>
      <c r="M1254" s="2"/>
      <c r="N1254" s="2"/>
    </row>
    <row r="1255" spans="5:14" x14ac:dyDescent="0.35">
      <c r="E1255" s="2"/>
      <c r="F1255" s="2"/>
      <c r="G1255" s="3"/>
      <c r="H1255" s="3"/>
      <c r="I1255" s="3"/>
      <c r="J1255" s="3"/>
      <c r="K1255" s="3"/>
      <c r="L1255" s="3"/>
      <c r="M1255" s="2"/>
      <c r="N1255" s="2"/>
    </row>
    <row r="1256" spans="5:14" x14ac:dyDescent="0.35">
      <c r="E1256" s="2"/>
      <c r="F1256" s="2"/>
      <c r="G1256" s="3"/>
      <c r="H1256" s="3"/>
      <c r="I1256" s="3"/>
      <c r="J1256" s="3"/>
      <c r="K1256" s="3"/>
      <c r="L1256" s="3"/>
      <c r="M1256" s="2"/>
      <c r="N1256" s="2"/>
    </row>
    <row r="1257" spans="5:14" x14ac:dyDescent="0.35">
      <c r="E1257" s="2"/>
      <c r="F1257" s="2"/>
      <c r="G1257" s="3"/>
      <c r="H1257" s="3"/>
      <c r="I1257" s="3"/>
      <c r="J1257" s="3"/>
      <c r="K1257" s="3"/>
      <c r="L1257" s="3"/>
      <c r="M1257" s="2"/>
      <c r="N1257" s="2"/>
    </row>
    <row r="1258" spans="5:14" x14ac:dyDescent="0.35">
      <c r="E1258" s="2"/>
      <c r="F1258" s="2"/>
      <c r="G1258" s="3"/>
      <c r="H1258" s="3"/>
      <c r="I1258" s="3"/>
      <c r="J1258" s="3"/>
      <c r="K1258" s="3"/>
      <c r="L1258" s="3"/>
      <c r="M1258" s="2"/>
      <c r="N1258" s="2"/>
    </row>
    <row r="1259" spans="5:14" x14ac:dyDescent="0.35">
      <c r="E1259" s="2"/>
      <c r="F1259" s="2"/>
      <c r="G1259" s="3"/>
      <c r="H1259" s="3"/>
      <c r="I1259" s="3"/>
      <c r="J1259" s="3"/>
      <c r="K1259" s="3"/>
      <c r="L1259" s="3"/>
      <c r="M1259" s="2"/>
      <c r="N1259" s="2"/>
    </row>
    <row r="1260" spans="5:14" x14ac:dyDescent="0.35">
      <c r="E1260" s="2"/>
      <c r="F1260" s="2"/>
      <c r="G1260" s="3"/>
      <c r="H1260" s="3"/>
      <c r="I1260" s="3"/>
      <c r="J1260" s="3"/>
      <c r="K1260" s="3"/>
      <c r="L1260" s="3"/>
      <c r="M1260" s="2"/>
      <c r="N1260" s="2"/>
    </row>
    <row r="1261" spans="5:14" x14ac:dyDescent="0.35">
      <c r="E1261" s="2"/>
      <c r="F1261" s="2"/>
      <c r="G1261" s="3"/>
      <c r="H1261" s="3"/>
      <c r="I1261" s="3"/>
      <c r="J1261" s="3"/>
      <c r="K1261" s="3"/>
      <c r="L1261" s="3"/>
      <c r="M1261" s="2"/>
      <c r="N1261" s="2"/>
    </row>
    <row r="1262" spans="5:14" x14ac:dyDescent="0.35">
      <c r="E1262" s="2"/>
      <c r="F1262" s="2"/>
      <c r="G1262" s="3"/>
      <c r="H1262" s="3"/>
      <c r="I1262" s="3"/>
      <c r="J1262" s="3"/>
      <c r="K1262" s="3"/>
      <c r="L1262" s="3"/>
      <c r="M1262" s="2"/>
      <c r="N1262" s="2"/>
    </row>
    <row r="1263" spans="5:14" x14ac:dyDescent="0.35">
      <c r="E1263" s="2"/>
      <c r="F1263" s="2"/>
      <c r="G1263" s="3"/>
      <c r="H1263" s="3"/>
      <c r="I1263" s="3"/>
      <c r="J1263" s="3"/>
      <c r="K1263" s="3"/>
      <c r="L1263" s="3"/>
      <c r="M1263" s="2"/>
      <c r="N1263" s="2"/>
    </row>
    <row r="1264" spans="5:14" x14ac:dyDescent="0.35">
      <c r="E1264" s="2"/>
      <c r="F1264" s="2"/>
      <c r="G1264" s="3"/>
      <c r="H1264" s="3"/>
      <c r="I1264" s="3"/>
      <c r="J1264" s="3"/>
      <c r="K1264" s="3"/>
      <c r="L1264" s="3"/>
      <c r="M1264" s="2"/>
      <c r="N1264" s="2"/>
    </row>
    <row r="1265" spans="5:14" x14ac:dyDescent="0.35">
      <c r="E1265" s="2"/>
      <c r="F1265" s="2"/>
      <c r="G1265" s="3"/>
      <c r="H1265" s="3"/>
      <c r="I1265" s="3"/>
      <c r="J1265" s="3"/>
      <c r="K1265" s="3"/>
      <c r="L1265" s="3"/>
      <c r="M1265" s="2"/>
      <c r="N1265" s="2"/>
    </row>
    <row r="1266" spans="5:14" x14ac:dyDescent="0.35">
      <c r="E1266" s="2"/>
      <c r="F1266" s="2"/>
      <c r="G1266" s="3"/>
      <c r="H1266" s="3"/>
      <c r="I1266" s="3"/>
      <c r="J1266" s="3"/>
      <c r="K1266" s="3"/>
      <c r="L1266" s="3"/>
      <c r="M1266" s="2"/>
      <c r="N1266" s="2"/>
    </row>
    <row r="1267" spans="5:14" x14ac:dyDescent="0.35">
      <c r="E1267" s="2"/>
      <c r="F1267" s="2"/>
      <c r="G1267" s="3"/>
      <c r="H1267" s="3"/>
      <c r="I1267" s="3"/>
      <c r="J1267" s="3"/>
      <c r="K1267" s="3"/>
      <c r="L1267" s="3"/>
      <c r="M1267" s="2"/>
      <c r="N1267" s="2"/>
    </row>
    <row r="1268" spans="5:14" x14ac:dyDescent="0.35">
      <c r="E1268" s="2"/>
      <c r="F1268" s="2"/>
      <c r="G1268" s="3"/>
      <c r="H1268" s="3"/>
      <c r="I1268" s="3"/>
      <c r="J1268" s="3"/>
      <c r="K1268" s="3"/>
      <c r="L1268" s="3"/>
      <c r="M1268" s="2"/>
      <c r="N1268" s="2"/>
    </row>
    <row r="1269" spans="5:14" x14ac:dyDescent="0.35">
      <c r="E1269" s="2"/>
      <c r="F1269" s="2"/>
      <c r="G1269" s="3"/>
      <c r="H1269" s="3"/>
      <c r="I1269" s="3"/>
      <c r="J1269" s="3"/>
      <c r="K1269" s="3"/>
      <c r="L1269" s="3"/>
      <c r="M1269" s="2"/>
      <c r="N1269" s="2"/>
    </row>
    <row r="1270" spans="5:14" x14ac:dyDescent="0.35">
      <c r="E1270" s="2"/>
      <c r="F1270" s="2"/>
      <c r="G1270" s="3"/>
      <c r="H1270" s="3"/>
      <c r="I1270" s="3"/>
      <c r="J1270" s="3"/>
      <c r="K1270" s="3"/>
      <c r="L1270" s="3"/>
      <c r="M1270" s="2"/>
      <c r="N1270" s="2"/>
    </row>
    <row r="1271" spans="5:14" x14ac:dyDescent="0.35">
      <c r="E1271" s="2"/>
      <c r="F1271" s="2"/>
      <c r="G1271" s="3"/>
      <c r="H1271" s="3"/>
      <c r="I1271" s="3"/>
      <c r="J1271" s="3"/>
      <c r="K1271" s="3"/>
      <c r="L1271" s="3"/>
      <c r="M1271" s="2"/>
      <c r="N1271" s="2"/>
    </row>
    <row r="1272" spans="5:14" x14ac:dyDescent="0.35">
      <c r="E1272" s="2"/>
      <c r="F1272" s="2"/>
      <c r="G1272" s="3"/>
      <c r="H1272" s="3"/>
      <c r="I1272" s="3"/>
      <c r="J1272" s="3"/>
      <c r="K1272" s="3"/>
      <c r="L1272" s="3"/>
      <c r="M1272" s="2"/>
      <c r="N1272" s="2"/>
    </row>
    <row r="1273" spans="5:14" x14ac:dyDescent="0.35">
      <c r="E1273" s="2"/>
      <c r="F1273" s="2"/>
      <c r="G1273" s="3"/>
      <c r="H1273" s="3"/>
      <c r="I1273" s="3"/>
      <c r="J1273" s="3"/>
      <c r="K1273" s="3"/>
      <c r="L1273" s="3"/>
      <c r="M1273" s="2"/>
      <c r="N1273" s="2"/>
    </row>
    <row r="1274" spans="5:14" x14ac:dyDescent="0.35">
      <c r="E1274" s="2"/>
      <c r="F1274" s="2"/>
      <c r="G1274" s="3"/>
      <c r="H1274" s="3"/>
      <c r="I1274" s="3"/>
      <c r="J1274" s="3"/>
      <c r="K1274" s="3"/>
      <c r="L1274" s="3"/>
      <c r="M1274" s="2"/>
      <c r="N1274" s="2"/>
    </row>
    <row r="1275" spans="5:14" x14ac:dyDescent="0.35">
      <c r="E1275" s="2"/>
      <c r="F1275" s="2"/>
      <c r="G1275" s="3"/>
      <c r="H1275" s="3"/>
      <c r="I1275" s="3"/>
      <c r="J1275" s="3"/>
      <c r="K1275" s="3"/>
      <c r="L1275" s="3"/>
      <c r="M1275" s="2"/>
      <c r="N1275" s="2"/>
    </row>
    <row r="1276" spans="5:14" x14ac:dyDescent="0.35">
      <c r="E1276" s="2"/>
      <c r="F1276" s="2"/>
      <c r="G1276" s="3"/>
      <c r="H1276" s="3"/>
      <c r="I1276" s="3"/>
      <c r="J1276" s="3"/>
      <c r="K1276" s="3"/>
      <c r="L1276" s="3"/>
      <c r="M1276" s="2"/>
      <c r="N1276" s="2"/>
    </row>
    <row r="1277" spans="5:14" x14ac:dyDescent="0.35">
      <c r="E1277" s="2"/>
      <c r="F1277" s="2"/>
      <c r="G1277" s="3"/>
      <c r="H1277" s="3"/>
      <c r="I1277" s="3"/>
      <c r="J1277" s="3"/>
      <c r="K1277" s="3"/>
      <c r="L1277" s="3"/>
      <c r="M1277" s="2"/>
      <c r="N1277" s="2"/>
    </row>
    <row r="1278" spans="5:14" x14ac:dyDescent="0.35">
      <c r="E1278" s="2"/>
      <c r="F1278" s="2"/>
      <c r="G1278" s="3"/>
      <c r="H1278" s="3"/>
      <c r="I1278" s="3"/>
      <c r="J1278" s="3"/>
      <c r="K1278" s="3"/>
      <c r="L1278" s="3"/>
      <c r="M1278" s="2"/>
      <c r="N1278" s="2"/>
    </row>
    <row r="1279" spans="5:14" x14ac:dyDescent="0.35">
      <c r="E1279" s="2"/>
      <c r="F1279" s="2"/>
      <c r="G1279" s="3"/>
      <c r="H1279" s="3"/>
      <c r="I1279" s="3"/>
      <c r="J1279" s="3"/>
      <c r="K1279" s="3"/>
      <c r="L1279" s="3"/>
      <c r="M1279" s="2"/>
      <c r="N1279" s="2"/>
    </row>
    <row r="1280" spans="5:14" x14ac:dyDescent="0.35">
      <c r="E1280" s="2"/>
      <c r="F1280" s="2"/>
      <c r="G1280" s="3"/>
      <c r="H1280" s="3"/>
      <c r="I1280" s="3"/>
      <c r="J1280" s="3"/>
      <c r="K1280" s="3"/>
      <c r="L1280" s="3"/>
      <c r="M1280" s="2"/>
      <c r="N1280" s="2"/>
    </row>
    <row r="1281" spans="5:14" x14ac:dyDescent="0.35">
      <c r="E1281" s="2"/>
      <c r="F1281" s="2"/>
      <c r="G1281" s="3"/>
      <c r="H1281" s="3"/>
      <c r="I1281" s="3"/>
      <c r="J1281" s="3"/>
      <c r="K1281" s="3"/>
      <c r="L1281" s="3"/>
      <c r="M1281" s="2"/>
      <c r="N1281" s="2"/>
    </row>
    <row r="1282" spans="5:14" x14ac:dyDescent="0.35">
      <c r="E1282" s="2"/>
      <c r="F1282" s="2"/>
      <c r="G1282" s="3"/>
      <c r="H1282" s="3"/>
      <c r="I1282" s="3"/>
      <c r="J1282" s="3"/>
      <c r="K1282" s="3"/>
      <c r="L1282" s="3"/>
      <c r="M1282" s="2"/>
      <c r="N1282" s="2"/>
    </row>
    <row r="1283" spans="5:14" x14ac:dyDescent="0.35">
      <c r="E1283" s="2"/>
      <c r="F1283" s="2"/>
      <c r="G1283" s="3"/>
      <c r="H1283" s="3"/>
      <c r="I1283" s="3"/>
      <c r="J1283" s="3"/>
      <c r="K1283" s="3"/>
      <c r="L1283" s="3"/>
      <c r="M1283" s="2"/>
      <c r="N1283" s="2"/>
    </row>
    <row r="1284" spans="5:14" x14ac:dyDescent="0.35">
      <c r="E1284" s="2"/>
      <c r="F1284" s="2"/>
      <c r="G1284" s="3"/>
      <c r="H1284" s="3"/>
      <c r="I1284" s="3"/>
      <c r="J1284" s="3"/>
      <c r="K1284" s="3"/>
      <c r="L1284" s="3"/>
      <c r="M1284" s="2"/>
      <c r="N1284" s="2"/>
    </row>
    <row r="1285" spans="5:14" x14ac:dyDescent="0.35">
      <c r="E1285" s="2"/>
      <c r="F1285" s="2"/>
      <c r="G1285" s="3"/>
      <c r="H1285" s="3"/>
      <c r="I1285" s="3"/>
      <c r="J1285" s="3"/>
      <c r="K1285" s="3"/>
      <c r="L1285" s="3"/>
      <c r="M1285" s="2"/>
      <c r="N1285" s="2"/>
    </row>
    <row r="1286" spans="5:14" x14ac:dyDescent="0.35">
      <c r="E1286" s="2"/>
      <c r="F1286" s="2"/>
      <c r="G1286" s="3"/>
      <c r="H1286" s="3"/>
      <c r="I1286" s="3"/>
      <c r="J1286" s="3"/>
      <c r="K1286" s="3"/>
      <c r="L1286" s="3"/>
      <c r="M1286" s="2"/>
      <c r="N1286" s="2"/>
    </row>
    <row r="1287" spans="5:14" x14ac:dyDescent="0.35">
      <c r="E1287" s="2"/>
      <c r="F1287" s="2"/>
      <c r="G1287" s="3"/>
      <c r="H1287" s="3"/>
      <c r="I1287" s="3"/>
      <c r="J1287" s="3"/>
      <c r="K1287" s="3"/>
      <c r="L1287" s="3"/>
      <c r="M1287" s="2"/>
      <c r="N1287" s="2"/>
    </row>
    <row r="1288" spans="5:14" x14ac:dyDescent="0.35">
      <c r="E1288" s="2"/>
      <c r="F1288" s="2"/>
      <c r="G1288" s="3"/>
      <c r="H1288" s="3"/>
      <c r="I1288" s="3"/>
      <c r="J1288" s="3"/>
      <c r="K1288" s="3"/>
      <c r="L1288" s="3"/>
      <c r="M1288" s="2"/>
      <c r="N1288" s="2"/>
    </row>
    <row r="1289" spans="5:14" x14ac:dyDescent="0.35">
      <c r="E1289" s="2"/>
      <c r="F1289" s="2"/>
      <c r="G1289" s="3"/>
      <c r="H1289" s="3"/>
      <c r="I1289" s="3"/>
      <c r="J1289" s="3"/>
      <c r="K1289" s="3"/>
      <c r="L1289" s="3"/>
      <c r="M1289" s="2"/>
      <c r="N1289" s="2"/>
    </row>
    <row r="1290" spans="5:14" x14ac:dyDescent="0.35">
      <c r="E1290" s="2"/>
      <c r="F1290" s="2"/>
      <c r="G1290" s="3"/>
      <c r="H1290" s="3"/>
      <c r="I1290" s="3"/>
      <c r="J1290" s="3"/>
      <c r="K1290" s="3"/>
      <c r="L1290" s="3"/>
      <c r="M1290" s="2"/>
      <c r="N1290" s="2"/>
    </row>
    <row r="1291" spans="5:14" x14ac:dyDescent="0.35">
      <c r="E1291" s="2"/>
      <c r="F1291" s="2"/>
      <c r="G1291" s="3"/>
      <c r="H1291" s="3"/>
      <c r="I1291" s="3"/>
      <c r="J1291" s="3"/>
      <c r="K1291" s="3"/>
      <c r="L1291" s="3"/>
      <c r="M1291" s="2"/>
      <c r="N1291" s="2"/>
    </row>
    <row r="1292" spans="5:14" x14ac:dyDescent="0.35">
      <c r="E1292" s="2"/>
      <c r="F1292" s="2"/>
      <c r="G1292" s="3"/>
      <c r="H1292" s="3"/>
      <c r="I1292" s="3"/>
      <c r="J1292" s="3"/>
      <c r="K1292" s="3"/>
      <c r="L1292" s="3"/>
      <c r="M1292" s="2"/>
      <c r="N1292" s="2"/>
    </row>
    <row r="1293" spans="5:14" x14ac:dyDescent="0.35">
      <c r="E1293" s="2"/>
      <c r="F1293" s="2"/>
      <c r="G1293" s="3"/>
      <c r="H1293" s="3"/>
      <c r="I1293" s="3"/>
      <c r="J1293" s="3"/>
      <c r="K1293" s="3"/>
      <c r="L1293" s="3"/>
      <c r="M1293" s="2"/>
      <c r="N1293" s="2"/>
    </row>
    <row r="1294" spans="5:14" x14ac:dyDescent="0.35">
      <c r="E1294" s="2"/>
      <c r="F1294" s="2"/>
      <c r="G1294" s="3"/>
      <c r="H1294" s="3"/>
      <c r="I1294" s="3"/>
      <c r="J1294" s="3"/>
      <c r="K1294" s="3"/>
      <c r="L1294" s="3"/>
      <c r="M1294" s="2"/>
      <c r="N1294" s="2"/>
    </row>
    <row r="1295" spans="5:14" x14ac:dyDescent="0.35">
      <c r="E1295" s="2"/>
      <c r="F1295" s="2"/>
      <c r="G1295" s="3"/>
      <c r="H1295" s="3"/>
      <c r="I1295" s="3"/>
      <c r="J1295" s="3"/>
      <c r="K1295" s="3"/>
      <c r="L1295" s="3"/>
      <c r="M1295" s="2"/>
      <c r="N1295" s="2"/>
    </row>
    <row r="1296" spans="5:14" x14ac:dyDescent="0.35">
      <c r="E1296" s="2"/>
      <c r="F1296" s="2"/>
      <c r="G1296" s="3"/>
      <c r="H1296" s="3"/>
      <c r="I1296" s="3"/>
      <c r="J1296" s="3"/>
      <c r="K1296" s="3"/>
      <c r="L1296" s="3"/>
      <c r="M1296" s="2"/>
      <c r="N1296" s="2"/>
    </row>
    <row r="1297" spans="5:14" x14ac:dyDescent="0.35">
      <c r="E1297" s="2"/>
      <c r="F1297" s="2"/>
      <c r="G1297" s="3"/>
      <c r="H1297" s="3"/>
      <c r="I1297" s="3"/>
      <c r="J1297" s="3"/>
      <c r="K1297" s="3"/>
      <c r="L1297" s="3"/>
      <c r="M1297" s="2"/>
      <c r="N1297" s="2"/>
    </row>
    <row r="1298" spans="5:14" x14ac:dyDescent="0.35">
      <c r="E1298" s="2"/>
      <c r="F1298" s="2"/>
      <c r="G1298" s="3"/>
      <c r="H1298" s="3"/>
      <c r="I1298" s="3"/>
      <c r="J1298" s="3"/>
      <c r="K1298" s="3"/>
      <c r="L1298" s="3"/>
      <c r="M1298" s="2"/>
      <c r="N1298" s="2"/>
    </row>
    <row r="1299" spans="5:14" x14ac:dyDescent="0.35">
      <c r="E1299" s="2"/>
      <c r="F1299" s="2"/>
      <c r="G1299" s="3"/>
      <c r="H1299" s="3"/>
      <c r="I1299" s="3"/>
      <c r="J1299" s="3"/>
      <c r="K1299" s="3"/>
      <c r="L1299" s="3"/>
      <c r="M1299" s="2"/>
      <c r="N1299" s="2"/>
    </row>
    <row r="1300" spans="5:14" x14ac:dyDescent="0.35">
      <c r="E1300" s="2"/>
      <c r="F1300" s="2"/>
      <c r="G1300" s="3"/>
      <c r="H1300" s="3"/>
      <c r="I1300" s="3"/>
      <c r="J1300" s="3"/>
      <c r="K1300" s="3"/>
      <c r="L1300" s="3"/>
      <c r="M1300" s="2"/>
      <c r="N1300" s="2"/>
    </row>
    <row r="1301" spans="5:14" x14ac:dyDescent="0.35">
      <c r="E1301" s="2"/>
      <c r="F1301" s="2"/>
      <c r="G1301" s="3"/>
      <c r="H1301" s="3"/>
      <c r="I1301" s="3"/>
      <c r="J1301" s="3"/>
      <c r="K1301" s="3"/>
      <c r="L1301" s="3"/>
      <c r="M1301" s="2"/>
      <c r="N1301" s="2"/>
    </row>
    <row r="1302" spans="5:14" x14ac:dyDescent="0.35">
      <c r="E1302" s="2"/>
      <c r="F1302" s="2"/>
      <c r="G1302" s="3"/>
      <c r="H1302" s="3"/>
      <c r="I1302" s="3"/>
      <c r="J1302" s="3"/>
      <c r="K1302" s="3"/>
      <c r="L1302" s="3"/>
      <c r="M1302" s="2"/>
      <c r="N1302" s="2"/>
    </row>
    <row r="1303" spans="5:14" x14ac:dyDescent="0.35">
      <c r="E1303" s="2"/>
      <c r="F1303" s="2"/>
      <c r="G1303" s="3"/>
      <c r="H1303" s="3"/>
      <c r="I1303" s="3"/>
      <c r="J1303" s="3"/>
      <c r="K1303" s="3"/>
      <c r="L1303" s="3"/>
      <c r="M1303" s="2"/>
      <c r="N1303" s="2"/>
    </row>
    <row r="1304" spans="5:14" x14ac:dyDescent="0.35">
      <c r="E1304" s="2"/>
      <c r="F1304" s="2"/>
      <c r="G1304" s="3"/>
      <c r="H1304" s="3"/>
      <c r="I1304" s="3"/>
      <c r="J1304" s="3"/>
      <c r="K1304" s="3"/>
      <c r="L1304" s="3"/>
      <c r="M1304" s="2"/>
      <c r="N1304" s="2"/>
    </row>
    <row r="1305" spans="5:14" x14ac:dyDescent="0.35">
      <c r="E1305" s="2"/>
      <c r="F1305" s="2"/>
      <c r="G1305" s="3"/>
      <c r="H1305" s="3"/>
      <c r="I1305" s="3"/>
      <c r="J1305" s="3"/>
      <c r="K1305" s="3"/>
      <c r="L1305" s="3"/>
      <c r="M1305" s="2"/>
      <c r="N1305" s="2"/>
    </row>
    <row r="1306" spans="5:14" x14ac:dyDescent="0.35">
      <c r="E1306" s="2"/>
      <c r="F1306" s="2"/>
      <c r="G1306" s="3"/>
      <c r="H1306" s="3"/>
      <c r="I1306" s="3"/>
      <c r="J1306" s="3"/>
      <c r="K1306" s="3"/>
      <c r="L1306" s="3"/>
      <c r="M1306" s="2"/>
      <c r="N1306" s="2"/>
    </row>
    <row r="1307" spans="5:14" x14ac:dyDescent="0.35">
      <c r="E1307" s="2"/>
      <c r="F1307" s="2"/>
      <c r="G1307" s="3"/>
      <c r="H1307" s="3"/>
      <c r="I1307" s="3"/>
      <c r="J1307" s="3"/>
      <c r="K1307" s="3"/>
      <c r="L1307" s="3"/>
      <c r="M1307" s="2"/>
      <c r="N1307" s="2"/>
    </row>
    <row r="1308" spans="5:14" x14ac:dyDescent="0.35">
      <c r="E1308" s="2"/>
      <c r="F1308" s="2"/>
      <c r="G1308" s="3"/>
      <c r="H1308" s="3"/>
      <c r="I1308" s="3"/>
      <c r="J1308" s="3"/>
      <c r="K1308" s="3"/>
      <c r="L1308" s="3"/>
      <c r="M1308" s="2"/>
      <c r="N1308" s="2"/>
    </row>
    <row r="1309" spans="5:14" x14ac:dyDescent="0.35">
      <c r="E1309" s="2"/>
      <c r="F1309" s="2"/>
      <c r="G1309" s="3"/>
      <c r="H1309" s="3"/>
      <c r="I1309" s="3"/>
      <c r="J1309" s="3"/>
      <c r="K1309" s="3"/>
      <c r="L1309" s="3"/>
      <c r="M1309" s="2"/>
      <c r="N1309" s="2"/>
    </row>
    <row r="1310" spans="5:14" x14ac:dyDescent="0.35">
      <c r="E1310" s="2"/>
      <c r="F1310" s="2"/>
      <c r="G1310" s="3"/>
      <c r="H1310" s="3"/>
      <c r="I1310" s="3"/>
      <c r="J1310" s="3"/>
      <c r="K1310" s="3"/>
      <c r="L1310" s="3"/>
      <c r="M1310" s="2"/>
      <c r="N1310" s="2"/>
    </row>
    <row r="1311" spans="5:14" x14ac:dyDescent="0.35">
      <c r="E1311" s="2"/>
      <c r="F1311" s="2"/>
      <c r="G1311" s="3"/>
      <c r="H1311" s="3"/>
      <c r="I1311" s="3"/>
      <c r="J1311" s="3"/>
      <c r="K1311" s="3"/>
      <c r="L1311" s="3"/>
      <c r="M1311" s="2"/>
      <c r="N1311" s="2"/>
    </row>
    <row r="1312" spans="5:14" x14ac:dyDescent="0.35">
      <c r="E1312" s="2"/>
      <c r="F1312" s="2"/>
      <c r="G1312" s="3"/>
      <c r="H1312" s="3"/>
      <c r="I1312" s="3"/>
      <c r="J1312" s="3"/>
      <c r="K1312" s="3"/>
      <c r="L1312" s="3"/>
      <c r="M1312" s="2"/>
      <c r="N1312" s="2"/>
    </row>
    <row r="1313" spans="5:14" x14ac:dyDescent="0.35">
      <c r="E1313" s="2"/>
      <c r="F1313" s="2"/>
      <c r="G1313" s="3"/>
      <c r="H1313" s="3"/>
      <c r="I1313" s="3"/>
      <c r="J1313" s="3"/>
      <c r="K1313" s="3"/>
      <c r="L1313" s="3"/>
      <c r="M1313" s="2"/>
      <c r="N1313" s="2"/>
    </row>
    <row r="1314" spans="5:14" x14ac:dyDescent="0.35">
      <c r="E1314" s="2"/>
      <c r="F1314" s="2"/>
      <c r="G1314" s="3"/>
      <c r="H1314" s="3"/>
      <c r="I1314" s="3"/>
      <c r="J1314" s="3"/>
      <c r="K1314" s="3"/>
      <c r="L1314" s="3"/>
      <c r="M1314" s="2"/>
      <c r="N1314" s="2"/>
    </row>
    <row r="1315" spans="5:14" x14ac:dyDescent="0.35">
      <c r="E1315" s="2"/>
      <c r="F1315" s="2"/>
      <c r="G1315" s="3"/>
      <c r="H1315" s="3"/>
      <c r="I1315" s="3"/>
      <c r="J1315" s="3"/>
      <c r="K1315" s="3"/>
      <c r="L1315" s="3"/>
      <c r="M1315" s="2"/>
      <c r="N1315" s="2"/>
    </row>
    <row r="1316" spans="5:14" x14ac:dyDescent="0.35">
      <c r="E1316" s="2"/>
      <c r="F1316" s="2"/>
      <c r="G1316" s="3"/>
      <c r="H1316" s="3"/>
      <c r="I1316" s="3"/>
      <c r="J1316" s="3"/>
      <c r="K1316" s="3"/>
      <c r="L1316" s="3"/>
      <c r="M1316" s="2"/>
      <c r="N1316" s="2"/>
    </row>
    <row r="1317" spans="5:14" x14ac:dyDescent="0.35">
      <c r="E1317" s="2"/>
      <c r="F1317" s="2"/>
      <c r="G1317" s="3"/>
      <c r="H1317" s="3"/>
      <c r="I1317" s="3"/>
      <c r="J1317" s="3"/>
      <c r="K1317" s="3"/>
      <c r="L1317" s="3"/>
      <c r="M1317" s="2"/>
      <c r="N1317" s="2"/>
    </row>
    <row r="1318" spans="5:14" x14ac:dyDescent="0.35">
      <c r="E1318" s="2"/>
      <c r="F1318" s="2"/>
      <c r="G1318" s="3"/>
      <c r="H1318" s="3"/>
      <c r="I1318" s="3"/>
      <c r="J1318" s="3"/>
      <c r="K1318" s="3"/>
      <c r="L1318" s="3"/>
      <c r="M1318" s="2"/>
      <c r="N1318" s="2"/>
    </row>
    <row r="1319" spans="5:14" x14ac:dyDescent="0.35">
      <c r="E1319" s="2"/>
      <c r="F1319" s="2"/>
      <c r="G1319" s="3"/>
      <c r="H1319" s="3"/>
      <c r="I1319" s="3"/>
      <c r="J1319" s="3"/>
      <c r="K1319" s="3"/>
      <c r="L1319" s="3"/>
      <c r="M1319" s="2"/>
      <c r="N1319" s="2"/>
    </row>
    <row r="1320" spans="5:14" x14ac:dyDescent="0.35">
      <c r="E1320" s="2"/>
      <c r="F1320" s="2"/>
      <c r="G1320" s="3"/>
      <c r="H1320" s="3"/>
      <c r="I1320" s="3"/>
      <c r="J1320" s="3"/>
      <c r="K1320" s="3"/>
      <c r="L1320" s="3"/>
      <c r="M1320" s="2"/>
      <c r="N1320" s="2"/>
    </row>
    <row r="1321" spans="5:14" x14ac:dyDescent="0.35">
      <c r="E1321" s="2"/>
      <c r="F1321" s="2"/>
      <c r="G1321" s="3"/>
      <c r="H1321" s="3"/>
      <c r="I1321" s="3"/>
      <c r="J1321" s="3"/>
      <c r="K1321" s="3"/>
      <c r="L1321" s="3"/>
      <c r="M1321" s="2"/>
      <c r="N1321" s="2"/>
    </row>
    <row r="1322" spans="5:14" x14ac:dyDescent="0.35">
      <c r="E1322" s="2"/>
      <c r="F1322" s="2"/>
      <c r="G1322" s="3"/>
      <c r="H1322" s="3"/>
      <c r="I1322" s="3"/>
      <c r="J1322" s="3"/>
      <c r="K1322" s="3"/>
      <c r="L1322" s="3"/>
      <c r="M1322" s="2"/>
      <c r="N1322" s="2"/>
    </row>
    <row r="1323" spans="5:14" x14ac:dyDescent="0.35">
      <c r="E1323" s="2"/>
      <c r="F1323" s="2"/>
      <c r="G1323" s="3"/>
      <c r="H1323" s="3"/>
      <c r="I1323" s="3"/>
      <c r="J1323" s="3"/>
      <c r="K1323" s="3"/>
      <c r="L1323" s="3"/>
      <c r="M1323" s="2"/>
      <c r="N1323" s="2"/>
    </row>
    <row r="1324" spans="5:14" x14ac:dyDescent="0.35">
      <c r="E1324" s="2"/>
      <c r="F1324" s="2"/>
      <c r="G1324" s="3"/>
      <c r="H1324" s="3"/>
      <c r="I1324" s="3"/>
      <c r="J1324" s="3"/>
      <c r="K1324" s="3"/>
      <c r="L1324" s="3"/>
      <c r="M1324" s="2"/>
      <c r="N1324" s="2"/>
    </row>
    <row r="1325" spans="5:14" x14ac:dyDescent="0.35">
      <c r="E1325" s="2"/>
      <c r="F1325" s="2"/>
      <c r="G1325" s="3"/>
      <c r="H1325" s="3"/>
      <c r="I1325" s="3"/>
      <c r="J1325" s="3"/>
      <c r="K1325" s="3"/>
      <c r="L1325" s="3"/>
      <c r="M1325" s="2"/>
      <c r="N1325" s="2"/>
    </row>
    <row r="1326" spans="5:14" x14ac:dyDescent="0.35">
      <c r="E1326" s="2"/>
      <c r="F1326" s="2"/>
      <c r="G1326" s="3"/>
      <c r="H1326" s="3"/>
      <c r="I1326" s="3"/>
      <c r="J1326" s="3"/>
      <c r="K1326" s="3"/>
      <c r="L1326" s="3"/>
      <c r="M1326" s="2"/>
      <c r="N1326" s="2"/>
    </row>
    <row r="1327" spans="5:14" x14ac:dyDescent="0.35">
      <c r="E1327" s="2"/>
      <c r="F1327" s="2"/>
      <c r="G1327" s="3"/>
      <c r="H1327" s="3"/>
      <c r="I1327" s="3"/>
      <c r="J1327" s="3"/>
      <c r="K1327" s="3"/>
      <c r="L1327" s="3"/>
      <c r="M1327" s="2"/>
      <c r="N1327" s="2"/>
    </row>
    <row r="1328" spans="5:14" x14ac:dyDescent="0.35">
      <c r="E1328" s="2"/>
      <c r="F1328" s="2"/>
      <c r="G1328" s="3"/>
      <c r="H1328" s="3"/>
      <c r="I1328" s="3"/>
      <c r="J1328" s="3"/>
      <c r="K1328" s="3"/>
      <c r="L1328" s="3"/>
      <c r="M1328" s="2"/>
      <c r="N1328" s="2"/>
    </row>
    <row r="1329" spans="5:14" x14ac:dyDescent="0.35">
      <c r="E1329" s="2"/>
      <c r="F1329" s="2"/>
      <c r="G1329" s="3"/>
      <c r="H1329" s="3"/>
      <c r="I1329" s="3"/>
      <c r="J1329" s="3"/>
      <c r="K1329" s="3"/>
      <c r="L1329" s="3"/>
      <c r="M1329" s="2"/>
      <c r="N1329" s="2"/>
    </row>
    <row r="1330" spans="5:14" x14ac:dyDescent="0.35">
      <c r="E1330" s="2"/>
      <c r="F1330" s="2"/>
      <c r="G1330" s="3"/>
      <c r="H1330" s="3"/>
      <c r="I1330" s="3"/>
      <c r="J1330" s="3"/>
      <c r="K1330" s="3"/>
      <c r="L1330" s="3"/>
      <c r="M1330" s="2"/>
      <c r="N1330" s="2"/>
    </row>
    <row r="1331" spans="5:14" x14ac:dyDescent="0.35">
      <c r="E1331" s="2"/>
      <c r="F1331" s="2"/>
      <c r="G1331" s="3"/>
      <c r="H1331" s="3"/>
      <c r="I1331" s="3"/>
      <c r="J1331" s="3"/>
      <c r="K1331" s="3"/>
      <c r="L1331" s="3"/>
      <c r="M1331" s="2"/>
      <c r="N1331" s="2"/>
    </row>
    <row r="1332" spans="5:14" x14ac:dyDescent="0.35">
      <c r="E1332" s="2"/>
      <c r="F1332" s="2"/>
      <c r="G1332" s="3"/>
      <c r="H1332" s="3"/>
      <c r="I1332" s="3"/>
      <c r="J1332" s="3"/>
      <c r="K1332" s="3"/>
      <c r="L1332" s="3"/>
      <c r="M1332" s="2"/>
      <c r="N1332" s="2"/>
    </row>
    <row r="1333" spans="5:14" x14ac:dyDescent="0.35">
      <c r="E1333" s="2"/>
      <c r="F1333" s="2"/>
      <c r="G1333" s="3"/>
      <c r="H1333" s="3"/>
      <c r="I1333" s="3"/>
      <c r="J1333" s="3"/>
      <c r="K1333" s="3"/>
      <c r="L1333" s="3"/>
      <c r="M1333" s="2"/>
      <c r="N1333" s="2"/>
    </row>
    <row r="1334" spans="5:14" x14ac:dyDescent="0.35">
      <c r="E1334" s="2"/>
      <c r="F1334" s="2"/>
      <c r="G1334" s="3"/>
      <c r="H1334" s="3"/>
      <c r="I1334" s="3"/>
      <c r="J1334" s="3"/>
      <c r="K1334" s="3"/>
      <c r="L1334" s="3"/>
      <c r="M1334" s="2"/>
      <c r="N1334" s="2"/>
    </row>
    <row r="1335" spans="5:14" x14ac:dyDescent="0.35">
      <c r="E1335" s="2"/>
      <c r="F1335" s="2"/>
      <c r="G1335" s="3"/>
      <c r="H1335" s="3"/>
      <c r="I1335" s="3"/>
      <c r="J1335" s="3"/>
      <c r="K1335" s="3"/>
      <c r="L1335" s="3"/>
      <c r="M1335" s="2"/>
      <c r="N1335" s="2"/>
    </row>
    <row r="1336" spans="5:14" x14ac:dyDescent="0.35">
      <c r="E1336" s="2"/>
      <c r="F1336" s="2"/>
      <c r="G1336" s="3"/>
      <c r="H1336" s="3"/>
      <c r="I1336" s="3"/>
      <c r="J1336" s="3"/>
      <c r="K1336" s="3"/>
      <c r="L1336" s="3"/>
      <c r="M1336" s="2"/>
      <c r="N1336" s="2"/>
    </row>
    <row r="1337" spans="5:14" x14ac:dyDescent="0.35">
      <c r="E1337" s="2"/>
      <c r="F1337" s="2"/>
      <c r="G1337" s="3"/>
      <c r="H1337" s="3"/>
      <c r="I1337" s="3"/>
      <c r="J1337" s="3"/>
      <c r="K1337" s="3"/>
      <c r="L1337" s="3"/>
      <c r="M1337" s="2"/>
      <c r="N1337" s="2"/>
    </row>
    <row r="1338" spans="5:14" x14ac:dyDescent="0.35">
      <c r="E1338" s="2"/>
      <c r="F1338" s="2"/>
      <c r="G1338" s="3"/>
      <c r="H1338" s="3"/>
      <c r="I1338" s="3"/>
      <c r="J1338" s="3"/>
      <c r="K1338" s="3"/>
      <c r="L1338" s="3"/>
      <c r="M1338" s="2"/>
      <c r="N1338" s="2"/>
    </row>
    <row r="1339" spans="5:14" x14ac:dyDescent="0.35">
      <c r="E1339" s="2"/>
      <c r="F1339" s="2"/>
      <c r="G1339" s="3"/>
      <c r="H1339" s="3"/>
      <c r="I1339" s="3"/>
      <c r="J1339" s="3"/>
      <c r="K1339" s="3"/>
      <c r="L1339" s="3"/>
      <c r="M1339" s="2"/>
      <c r="N1339" s="2"/>
    </row>
    <row r="1340" spans="5:14" x14ac:dyDescent="0.35">
      <c r="E1340" s="2"/>
      <c r="F1340" s="2"/>
      <c r="G1340" s="3"/>
      <c r="H1340" s="3"/>
      <c r="I1340" s="3"/>
      <c r="J1340" s="3"/>
      <c r="K1340" s="3"/>
      <c r="L1340" s="3"/>
      <c r="M1340" s="2"/>
      <c r="N1340" s="2"/>
    </row>
    <row r="1341" spans="5:14" x14ac:dyDescent="0.35">
      <c r="E1341" s="2"/>
      <c r="F1341" s="2"/>
      <c r="G1341" s="3"/>
      <c r="H1341" s="3"/>
      <c r="I1341" s="3"/>
      <c r="J1341" s="3"/>
      <c r="K1341" s="3"/>
      <c r="L1341" s="3"/>
      <c r="M1341" s="2"/>
      <c r="N1341" s="2"/>
    </row>
    <row r="1342" spans="5:14" x14ac:dyDescent="0.35">
      <c r="E1342" s="2"/>
      <c r="F1342" s="2"/>
      <c r="G1342" s="3"/>
      <c r="H1342" s="3"/>
      <c r="I1342" s="3"/>
      <c r="J1342" s="3"/>
      <c r="K1342" s="3"/>
      <c r="L1342" s="3"/>
      <c r="M1342" s="2"/>
      <c r="N1342" s="2"/>
    </row>
    <row r="1343" spans="5:14" x14ac:dyDescent="0.35">
      <c r="E1343" s="2"/>
      <c r="F1343" s="2"/>
      <c r="G1343" s="3"/>
      <c r="H1343" s="3"/>
      <c r="I1343" s="3"/>
      <c r="J1343" s="3"/>
      <c r="K1343" s="3"/>
      <c r="L1343" s="3"/>
      <c r="M1343" s="2"/>
      <c r="N1343" s="2"/>
    </row>
    <row r="1344" spans="5:14" x14ac:dyDescent="0.35">
      <c r="E1344" s="2"/>
      <c r="F1344" s="2"/>
      <c r="G1344" s="3"/>
      <c r="H1344" s="3"/>
      <c r="I1344" s="3"/>
      <c r="J1344" s="3"/>
      <c r="K1344" s="3"/>
      <c r="L1344" s="3"/>
      <c r="M1344" s="2"/>
      <c r="N1344" s="2"/>
    </row>
    <row r="1345" spans="5:14" x14ac:dyDescent="0.35">
      <c r="E1345" s="2"/>
      <c r="F1345" s="2"/>
      <c r="G1345" s="3"/>
      <c r="H1345" s="3"/>
      <c r="I1345" s="3"/>
      <c r="J1345" s="3"/>
      <c r="K1345" s="3"/>
      <c r="L1345" s="3"/>
      <c r="M1345" s="2"/>
      <c r="N1345" s="2"/>
    </row>
    <row r="1346" spans="5:14" x14ac:dyDescent="0.35">
      <c r="E1346" s="2"/>
      <c r="F1346" s="2"/>
      <c r="G1346" s="3"/>
      <c r="H1346" s="3"/>
      <c r="I1346" s="3"/>
      <c r="J1346" s="3"/>
      <c r="K1346" s="3"/>
      <c r="L1346" s="3"/>
      <c r="M1346" s="2"/>
      <c r="N1346" s="2"/>
    </row>
    <row r="1347" spans="5:14" x14ac:dyDescent="0.35">
      <c r="E1347" s="2"/>
      <c r="F1347" s="2"/>
      <c r="G1347" s="3"/>
      <c r="H1347" s="3"/>
      <c r="I1347" s="3"/>
      <c r="J1347" s="3"/>
      <c r="K1347" s="3"/>
      <c r="L1347" s="3"/>
      <c r="M1347" s="2"/>
      <c r="N1347" s="2"/>
    </row>
    <row r="1348" spans="5:14" x14ac:dyDescent="0.35">
      <c r="E1348" s="2"/>
      <c r="F1348" s="2"/>
      <c r="G1348" s="3"/>
      <c r="H1348" s="3"/>
      <c r="I1348" s="3"/>
      <c r="J1348" s="3"/>
      <c r="K1348" s="3"/>
      <c r="L1348" s="3"/>
      <c r="M1348" s="2"/>
      <c r="N1348" s="2"/>
    </row>
    <row r="1349" spans="5:14" x14ac:dyDescent="0.35">
      <c r="E1349" s="2"/>
      <c r="F1349" s="2"/>
      <c r="G1349" s="3"/>
      <c r="H1349" s="3"/>
      <c r="I1349" s="3"/>
      <c r="J1349" s="3"/>
      <c r="K1349" s="3"/>
      <c r="L1349" s="3"/>
      <c r="M1349" s="2"/>
      <c r="N1349" s="2"/>
    </row>
    <row r="1350" spans="5:14" x14ac:dyDescent="0.35">
      <c r="E1350" s="2"/>
      <c r="F1350" s="2"/>
      <c r="G1350" s="3"/>
      <c r="H1350" s="3"/>
      <c r="I1350" s="3"/>
      <c r="J1350" s="3"/>
      <c r="K1350" s="3"/>
      <c r="L1350" s="3"/>
      <c r="M1350" s="2"/>
      <c r="N1350" s="2"/>
    </row>
    <row r="1351" spans="5:14" x14ac:dyDescent="0.35">
      <c r="E1351" s="2"/>
      <c r="F1351" s="2"/>
      <c r="G1351" s="3"/>
      <c r="H1351" s="3"/>
      <c r="I1351" s="3"/>
      <c r="J1351" s="3"/>
      <c r="K1351" s="3"/>
      <c r="L1351" s="3"/>
      <c r="M1351" s="2"/>
      <c r="N1351" s="2"/>
    </row>
    <row r="1352" spans="5:14" x14ac:dyDescent="0.35">
      <c r="E1352" s="2"/>
      <c r="F1352" s="2"/>
      <c r="G1352" s="3"/>
      <c r="H1352" s="3"/>
      <c r="I1352" s="3"/>
      <c r="J1352" s="3"/>
      <c r="K1352" s="3"/>
      <c r="L1352" s="3"/>
      <c r="M1352" s="2"/>
      <c r="N1352" s="2"/>
    </row>
    <row r="1353" spans="5:14" x14ac:dyDescent="0.35">
      <c r="E1353" s="2"/>
      <c r="F1353" s="2"/>
      <c r="G1353" s="3"/>
      <c r="H1353" s="3"/>
      <c r="I1353" s="3"/>
      <c r="J1353" s="3"/>
      <c r="K1353" s="3"/>
      <c r="L1353" s="3"/>
      <c r="M1353" s="2"/>
      <c r="N1353" s="2"/>
    </row>
    <row r="1354" spans="5:14" x14ac:dyDescent="0.35">
      <c r="E1354" s="2"/>
      <c r="F1354" s="2"/>
      <c r="G1354" s="3"/>
      <c r="H1354" s="3"/>
      <c r="I1354" s="3"/>
      <c r="J1354" s="3"/>
      <c r="K1354" s="3"/>
      <c r="L1354" s="3"/>
      <c r="M1354" s="2"/>
      <c r="N1354" s="2"/>
    </row>
    <row r="1355" spans="5:14" x14ac:dyDescent="0.35">
      <c r="E1355" s="2"/>
      <c r="F1355" s="2"/>
      <c r="G1355" s="3"/>
      <c r="H1355" s="3"/>
      <c r="I1355" s="3"/>
      <c r="J1355" s="3"/>
      <c r="K1355" s="3"/>
      <c r="L1355" s="3"/>
      <c r="M1355" s="2"/>
      <c r="N1355" s="2"/>
    </row>
    <row r="1356" spans="5:14" x14ac:dyDescent="0.35">
      <c r="E1356" s="2"/>
      <c r="F1356" s="2"/>
      <c r="G1356" s="3"/>
      <c r="H1356" s="3"/>
      <c r="I1356" s="3"/>
      <c r="J1356" s="3"/>
      <c r="K1356" s="3"/>
      <c r="L1356" s="3"/>
      <c r="M1356" s="2"/>
      <c r="N1356" s="2"/>
    </row>
    <row r="1357" spans="5:14" x14ac:dyDescent="0.35">
      <c r="E1357" s="2"/>
      <c r="F1357" s="2"/>
      <c r="G1357" s="3"/>
      <c r="H1357" s="3"/>
      <c r="I1357" s="3"/>
      <c r="J1357" s="3"/>
      <c r="K1357" s="3"/>
      <c r="L1357" s="3"/>
      <c r="M1357" s="2"/>
      <c r="N1357" s="2"/>
    </row>
    <row r="1358" spans="5:14" x14ac:dyDescent="0.35">
      <c r="E1358" s="2"/>
      <c r="F1358" s="2"/>
      <c r="G1358" s="3"/>
      <c r="H1358" s="3"/>
      <c r="I1358" s="3"/>
      <c r="J1358" s="3"/>
      <c r="K1358" s="3"/>
      <c r="L1358" s="3"/>
      <c r="M1358" s="2"/>
      <c r="N1358" s="2"/>
    </row>
    <row r="1359" spans="5:14" x14ac:dyDescent="0.35">
      <c r="E1359" s="2"/>
      <c r="F1359" s="2"/>
      <c r="G1359" s="3"/>
      <c r="H1359" s="3"/>
      <c r="I1359" s="3"/>
      <c r="J1359" s="3"/>
      <c r="K1359" s="3"/>
      <c r="L1359" s="3"/>
      <c r="M1359" s="2"/>
      <c r="N1359" s="2"/>
    </row>
    <row r="1360" spans="5:14" x14ac:dyDescent="0.35">
      <c r="E1360" s="2"/>
      <c r="F1360" s="2"/>
      <c r="G1360" s="3"/>
      <c r="H1360" s="3"/>
      <c r="I1360" s="3"/>
      <c r="J1360" s="3"/>
      <c r="K1360" s="3"/>
      <c r="L1360" s="3"/>
      <c r="M1360" s="2"/>
      <c r="N1360" s="2"/>
    </row>
    <row r="1361" spans="5:14" x14ac:dyDescent="0.35">
      <c r="E1361" s="2"/>
      <c r="F1361" s="2"/>
      <c r="G1361" s="3"/>
      <c r="H1361" s="3"/>
      <c r="I1361" s="3"/>
      <c r="J1361" s="3"/>
      <c r="K1361" s="3"/>
      <c r="L1361" s="3"/>
      <c r="M1361" s="2"/>
      <c r="N1361" s="2"/>
    </row>
    <row r="1362" spans="5:14" x14ac:dyDescent="0.35">
      <c r="E1362" s="2"/>
      <c r="F1362" s="2"/>
      <c r="G1362" s="3"/>
      <c r="H1362" s="3"/>
      <c r="I1362" s="3"/>
      <c r="J1362" s="3"/>
      <c r="K1362" s="3"/>
      <c r="L1362" s="3"/>
      <c r="M1362" s="2"/>
      <c r="N1362" s="2"/>
    </row>
    <row r="1363" spans="5:14" x14ac:dyDescent="0.35">
      <c r="E1363" s="2"/>
      <c r="F1363" s="2"/>
      <c r="G1363" s="3"/>
      <c r="H1363" s="3"/>
      <c r="I1363" s="3"/>
      <c r="J1363" s="3"/>
      <c r="K1363" s="3"/>
      <c r="L1363" s="3"/>
      <c r="M1363" s="2"/>
      <c r="N1363" s="2"/>
    </row>
    <row r="1364" spans="5:14" x14ac:dyDescent="0.35">
      <c r="E1364" s="2"/>
      <c r="F1364" s="2"/>
      <c r="G1364" s="3"/>
      <c r="H1364" s="3"/>
      <c r="I1364" s="3"/>
      <c r="J1364" s="3"/>
      <c r="K1364" s="3"/>
      <c r="L1364" s="3"/>
      <c r="M1364" s="2"/>
      <c r="N1364" s="2"/>
    </row>
    <row r="1365" spans="5:14" x14ac:dyDescent="0.35">
      <c r="E1365" s="2"/>
      <c r="F1365" s="2"/>
      <c r="G1365" s="3"/>
      <c r="H1365" s="3"/>
      <c r="I1365" s="3"/>
      <c r="J1365" s="3"/>
      <c r="K1365" s="3"/>
      <c r="L1365" s="3"/>
      <c r="M1365" s="2"/>
      <c r="N1365" s="2"/>
    </row>
    <row r="1366" spans="5:14" x14ac:dyDescent="0.35">
      <c r="E1366" s="2"/>
      <c r="F1366" s="2"/>
      <c r="G1366" s="3"/>
      <c r="H1366" s="3"/>
      <c r="I1366" s="3"/>
      <c r="J1366" s="3"/>
      <c r="K1366" s="3"/>
      <c r="L1366" s="3"/>
      <c r="M1366" s="2"/>
      <c r="N1366" s="2"/>
    </row>
    <row r="1367" spans="5:14" x14ac:dyDescent="0.35">
      <c r="E1367" s="2"/>
      <c r="F1367" s="2"/>
      <c r="G1367" s="3"/>
      <c r="H1367" s="3"/>
      <c r="I1367" s="3"/>
      <c r="J1367" s="3"/>
      <c r="K1367" s="3"/>
      <c r="L1367" s="3"/>
      <c r="M1367" s="2"/>
      <c r="N1367" s="2"/>
    </row>
    <row r="1368" spans="5:14" x14ac:dyDescent="0.35">
      <c r="E1368" s="2"/>
      <c r="F1368" s="2"/>
      <c r="G1368" s="3"/>
      <c r="H1368" s="3"/>
      <c r="I1368" s="3"/>
      <c r="J1368" s="3"/>
      <c r="K1368" s="3"/>
      <c r="L1368" s="3"/>
      <c r="M1368" s="2"/>
      <c r="N1368" s="2"/>
    </row>
    <row r="1369" spans="5:14" x14ac:dyDescent="0.35">
      <c r="E1369" s="2"/>
      <c r="F1369" s="2"/>
      <c r="G1369" s="3"/>
      <c r="H1369" s="3"/>
      <c r="I1369" s="3"/>
      <c r="J1369" s="3"/>
      <c r="K1369" s="3"/>
      <c r="L1369" s="3"/>
      <c r="M1369" s="2"/>
      <c r="N1369" s="2"/>
    </row>
    <row r="1370" spans="5:14" x14ac:dyDescent="0.35">
      <c r="E1370" s="2"/>
      <c r="F1370" s="2"/>
      <c r="G1370" s="3"/>
      <c r="H1370" s="3"/>
      <c r="I1370" s="3"/>
      <c r="J1370" s="3"/>
      <c r="K1370" s="3"/>
      <c r="L1370" s="3"/>
      <c r="M1370" s="2"/>
      <c r="N1370" s="2"/>
    </row>
    <row r="1371" spans="5:14" x14ac:dyDescent="0.35">
      <c r="E1371" s="2"/>
      <c r="F1371" s="2"/>
      <c r="G1371" s="3"/>
      <c r="H1371" s="3"/>
      <c r="I1371" s="3"/>
      <c r="J1371" s="3"/>
      <c r="K1371" s="3"/>
      <c r="L1371" s="3"/>
      <c r="M1371" s="2"/>
      <c r="N1371" s="2"/>
    </row>
    <row r="1372" spans="5:14" x14ac:dyDescent="0.35">
      <c r="E1372" s="2"/>
      <c r="F1372" s="2"/>
      <c r="G1372" s="3"/>
      <c r="H1372" s="3"/>
      <c r="I1372" s="3"/>
      <c r="J1372" s="3"/>
      <c r="K1372" s="3"/>
      <c r="L1372" s="3"/>
      <c r="M1372" s="2"/>
      <c r="N1372" s="2"/>
    </row>
    <row r="1373" spans="5:14" x14ac:dyDescent="0.35">
      <c r="E1373" s="2"/>
      <c r="F1373" s="2"/>
      <c r="G1373" s="3"/>
      <c r="H1373" s="3"/>
      <c r="I1373" s="3"/>
      <c r="J1373" s="3"/>
      <c r="K1373" s="3"/>
      <c r="L1373" s="3"/>
      <c r="M1373" s="2"/>
      <c r="N1373" s="2"/>
    </row>
    <row r="1374" spans="5:14" x14ac:dyDescent="0.35">
      <c r="E1374" s="2"/>
      <c r="F1374" s="2"/>
      <c r="G1374" s="3"/>
      <c r="H1374" s="3"/>
      <c r="I1374" s="3"/>
      <c r="J1374" s="3"/>
      <c r="K1374" s="3"/>
      <c r="L1374" s="3"/>
      <c r="M1374" s="2"/>
      <c r="N1374" s="2"/>
    </row>
    <row r="1375" spans="5:14" x14ac:dyDescent="0.35">
      <c r="E1375" s="2"/>
      <c r="F1375" s="2"/>
      <c r="G1375" s="3"/>
      <c r="H1375" s="3"/>
      <c r="I1375" s="3"/>
      <c r="J1375" s="3"/>
      <c r="K1375" s="3"/>
      <c r="L1375" s="3"/>
      <c r="M1375" s="2"/>
      <c r="N1375" s="2"/>
    </row>
    <row r="1376" spans="5:14" x14ac:dyDescent="0.35">
      <c r="E1376" s="2"/>
      <c r="F1376" s="2"/>
      <c r="G1376" s="3"/>
      <c r="H1376" s="3"/>
      <c r="I1376" s="3"/>
      <c r="J1376" s="3"/>
      <c r="K1376" s="3"/>
      <c r="L1376" s="3"/>
      <c r="M1376" s="2"/>
      <c r="N1376" s="2"/>
    </row>
    <row r="1377" spans="5:14" x14ac:dyDescent="0.35">
      <c r="E1377" s="2"/>
      <c r="F1377" s="2"/>
      <c r="G1377" s="3"/>
      <c r="H1377" s="3"/>
      <c r="I1377" s="3"/>
      <c r="J1377" s="3"/>
      <c r="K1377" s="3"/>
      <c r="L1377" s="3"/>
      <c r="M1377" s="2"/>
      <c r="N1377" s="2"/>
    </row>
    <row r="1378" spans="5:14" x14ac:dyDescent="0.35">
      <c r="E1378" s="2"/>
      <c r="F1378" s="2"/>
      <c r="G1378" s="3"/>
      <c r="H1378" s="3"/>
      <c r="I1378" s="3"/>
      <c r="J1378" s="3"/>
      <c r="K1378" s="3"/>
      <c r="L1378" s="3"/>
      <c r="M1378" s="2"/>
      <c r="N1378" s="2"/>
    </row>
    <row r="1379" spans="5:14" x14ac:dyDescent="0.35">
      <c r="E1379" s="2"/>
      <c r="F1379" s="2"/>
      <c r="G1379" s="3"/>
      <c r="H1379" s="3"/>
      <c r="I1379" s="3"/>
      <c r="J1379" s="3"/>
      <c r="K1379" s="3"/>
      <c r="L1379" s="3"/>
      <c r="M1379" s="2"/>
      <c r="N1379" s="2"/>
    </row>
    <row r="1380" spans="5:14" x14ac:dyDescent="0.35">
      <c r="E1380" s="2"/>
      <c r="F1380" s="2"/>
      <c r="G1380" s="3"/>
      <c r="H1380" s="3"/>
      <c r="I1380" s="3"/>
      <c r="J1380" s="3"/>
      <c r="K1380" s="3"/>
      <c r="L1380" s="3"/>
      <c r="M1380" s="2"/>
      <c r="N1380" s="2"/>
    </row>
    <row r="1381" spans="5:14" x14ac:dyDescent="0.35">
      <c r="E1381" s="2"/>
      <c r="F1381" s="2"/>
      <c r="G1381" s="3"/>
      <c r="H1381" s="3"/>
      <c r="I1381" s="3"/>
      <c r="J1381" s="3"/>
      <c r="K1381" s="3"/>
      <c r="L1381" s="3"/>
      <c r="M1381" s="2"/>
      <c r="N1381" s="2"/>
    </row>
    <row r="1382" spans="5:14" x14ac:dyDescent="0.35">
      <c r="E1382" s="2"/>
      <c r="F1382" s="2"/>
      <c r="G1382" s="3"/>
      <c r="H1382" s="3"/>
      <c r="I1382" s="3"/>
      <c r="J1382" s="3"/>
      <c r="K1382" s="3"/>
      <c r="L1382" s="3"/>
      <c r="M1382" s="2"/>
      <c r="N1382" s="2"/>
    </row>
    <row r="1383" spans="5:14" x14ac:dyDescent="0.35">
      <c r="E1383" s="2"/>
      <c r="F1383" s="2"/>
      <c r="G1383" s="3"/>
      <c r="H1383" s="3"/>
      <c r="I1383" s="3"/>
      <c r="J1383" s="3"/>
      <c r="K1383" s="3"/>
      <c r="L1383" s="3"/>
      <c r="M1383" s="2"/>
      <c r="N1383" s="2"/>
    </row>
    <row r="1384" spans="5:14" x14ac:dyDescent="0.35">
      <c r="E1384" s="2"/>
      <c r="F1384" s="2"/>
      <c r="G1384" s="3"/>
      <c r="H1384" s="3"/>
      <c r="I1384" s="3"/>
      <c r="J1384" s="3"/>
      <c r="K1384" s="3"/>
      <c r="L1384" s="3"/>
      <c r="M1384" s="2"/>
      <c r="N1384" s="2"/>
    </row>
    <row r="1385" spans="5:14" x14ac:dyDescent="0.35">
      <c r="E1385" s="2"/>
      <c r="F1385" s="2"/>
      <c r="G1385" s="3"/>
      <c r="H1385" s="3"/>
      <c r="I1385" s="3"/>
      <c r="J1385" s="3"/>
      <c r="K1385" s="3"/>
      <c r="L1385" s="3"/>
      <c r="M1385" s="2"/>
      <c r="N1385" s="2"/>
    </row>
    <row r="1386" spans="5:14" x14ac:dyDescent="0.35">
      <c r="E1386" s="2"/>
      <c r="F1386" s="2"/>
      <c r="G1386" s="3"/>
      <c r="H1386" s="3"/>
      <c r="I1386" s="3"/>
      <c r="J1386" s="3"/>
      <c r="K1386" s="3"/>
      <c r="L1386" s="3"/>
      <c r="M1386" s="2"/>
      <c r="N1386" s="2"/>
    </row>
    <row r="1387" spans="5:14" x14ac:dyDescent="0.35">
      <c r="E1387" s="2"/>
      <c r="F1387" s="2"/>
      <c r="G1387" s="3"/>
      <c r="H1387" s="3"/>
      <c r="I1387" s="3"/>
      <c r="J1387" s="3"/>
      <c r="K1387" s="3"/>
      <c r="L1387" s="3"/>
      <c r="M1387" s="2"/>
      <c r="N1387" s="2"/>
    </row>
    <row r="1388" spans="5:14" x14ac:dyDescent="0.35">
      <c r="E1388" s="2"/>
      <c r="F1388" s="2"/>
      <c r="G1388" s="3"/>
      <c r="H1388" s="3"/>
      <c r="I1388" s="3"/>
      <c r="J1388" s="3"/>
      <c r="K1388" s="3"/>
      <c r="L1388" s="3"/>
      <c r="M1388" s="2"/>
      <c r="N1388" s="2"/>
    </row>
    <row r="1389" spans="5:14" x14ac:dyDescent="0.35">
      <c r="E1389" s="2"/>
      <c r="F1389" s="2"/>
      <c r="G1389" s="3"/>
      <c r="H1389" s="3"/>
      <c r="I1389" s="3"/>
      <c r="J1389" s="3"/>
      <c r="K1389" s="3"/>
      <c r="L1389" s="3"/>
      <c r="M1389" s="2"/>
      <c r="N1389" s="2"/>
    </row>
    <row r="1390" spans="5:14" x14ac:dyDescent="0.35">
      <c r="E1390" s="2"/>
      <c r="F1390" s="2"/>
      <c r="G1390" s="3"/>
      <c r="H1390" s="3"/>
      <c r="I1390" s="3"/>
      <c r="J1390" s="3"/>
      <c r="K1390" s="3"/>
      <c r="L1390" s="3"/>
      <c r="M1390" s="2"/>
      <c r="N1390" s="2"/>
    </row>
    <row r="1391" spans="5:14" x14ac:dyDescent="0.35">
      <c r="E1391" s="2"/>
      <c r="F1391" s="2"/>
      <c r="G1391" s="3"/>
      <c r="H1391" s="3"/>
      <c r="I1391" s="3"/>
      <c r="J1391" s="3"/>
      <c r="K1391" s="3"/>
      <c r="L1391" s="3"/>
      <c r="M1391" s="2"/>
      <c r="N1391" s="2"/>
    </row>
    <row r="1392" spans="5:14" x14ac:dyDescent="0.35">
      <c r="E1392" s="2"/>
      <c r="F1392" s="2"/>
      <c r="G1392" s="3"/>
      <c r="H1392" s="3"/>
      <c r="I1392" s="3"/>
      <c r="J1392" s="3"/>
      <c r="K1392" s="3"/>
      <c r="L1392" s="3"/>
      <c r="M1392" s="2"/>
      <c r="N1392" s="2"/>
    </row>
    <row r="1393" spans="5:14" x14ac:dyDescent="0.35">
      <c r="E1393" s="2"/>
      <c r="F1393" s="2"/>
      <c r="G1393" s="3"/>
      <c r="H1393" s="3"/>
      <c r="I1393" s="3"/>
      <c r="J1393" s="3"/>
      <c r="K1393" s="3"/>
      <c r="L1393" s="3"/>
      <c r="M1393" s="2"/>
      <c r="N1393" s="2"/>
    </row>
    <row r="1394" spans="5:14" x14ac:dyDescent="0.35">
      <c r="E1394" s="2"/>
      <c r="F1394" s="2"/>
      <c r="G1394" s="3"/>
      <c r="H1394" s="3"/>
      <c r="I1394" s="3"/>
      <c r="J1394" s="3"/>
      <c r="K1394" s="3"/>
      <c r="L1394" s="3"/>
      <c r="M1394" s="2"/>
      <c r="N1394" s="2"/>
    </row>
    <row r="1395" spans="5:14" x14ac:dyDescent="0.35">
      <c r="E1395" s="2"/>
      <c r="F1395" s="2"/>
      <c r="G1395" s="3"/>
      <c r="H1395" s="3"/>
      <c r="I1395" s="3"/>
      <c r="J1395" s="3"/>
      <c r="K1395" s="3"/>
      <c r="L1395" s="3"/>
      <c r="M1395" s="2"/>
      <c r="N1395" s="2"/>
    </row>
    <row r="1396" spans="5:14" x14ac:dyDescent="0.35">
      <c r="E1396" s="2"/>
      <c r="F1396" s="2"/>
      <c r="G1396" s="3"/>
      <c r="H1396" s="3"/>
      <c r="I1396" s="3"/>
      <c r="J1396" s="3"/>
      <c r="K1396" s="3"/>
      <c r="L1396" s="3"/>
      <c r="M1396" s="2"/>
      <c r="N1396" s="2"/>
    </row>
    <row r="1397" spans="5:14" x14ac:dyDescent="0.35">
      <c r="E1397" s="2"/>
      <c r="F1397" s="2"/>
      <c r="G1397" s="3"/>
      <c r="H1397" s="3"/>
      <c r="I1397" s="3"/>
      <c r="J1397" s="3"/>
      <c r="K1397" s="3"/>
      <c r="L1397" s="3"/>
      <c r="M1397" s="2"/>
      <c r="N1397" s="2"/>
    </row>
    <row r="1398" spans="5:14" x14ac:dyDescent="0.35">
      <c r="E1398" s="2"/>
      <c r="F1398" s="2"/>
      <c r="G1398" s="3"/>
      <c r="H1398" s="3"/>
      <c r="I1398" s="3"/>
      <c r="J1398" s="3"/>
      <c r="K1398" s="3"/>
      <c r="L1398" s="3"/>
      <c r="M1398" s="2"/>
      <c r="N1398" s="2"/>
    </row>
    <row r="1399" spans="5:14" x14ac:dyDescent="0.35">
      <c r="E1399" s="2"/>
      <c r="F1399" s="2"/>
      <c r="G1399" s="3"/>
      <c r="H1399" s="3"/>
      <c r="I1399" s="3"/>
      <c r="J1399" s="3"/>
      <c r="K1399" s="3"/>
      <c r="L1399" s="3"/>
      <c r="M1399" s="2"/>
      <c r="N1399" s="2"/>
    </row>
    <row r="1400" spans="5:14" x14ac:dyDescent="0.35">
      <c r="E1400" s="2"/>
      <c r="F1400" s="2"/>
      <c r="G1400" s="3"/>
      <c r="H1400" s="3"/>
      <c r="I1400" s="3"/>
      <c r="J1400" s="3"/>
      <c r="K1400" s="3"/>
      <c r="L1400" s="3"/>
      <c r="M1400" s="2"/>
      <c r="N1400" s="2"/>
    </row>
    <row r="1401" spans="5:14" x14ac:dyDescent="0.35">
      <c r="E1401" s="2"/>
      <c r="F1401" s="2"/>
      <c r="G1401" s="3"/>
      <c r="H1401" s="3"/>
      <c r="I1401" s="3"/>
      <c r="J1401" s="3"/>
      <c r="K1401" s="3"/>
      <c r="L1401" s="3"/>
      <c r="M1401" s="2"/>
      <c r="N1401" s="2"/>
    </row>
    <row r="1402" spans="5:14" x14ac:dyDescent="0.35">
      <c r="E1402" s="2"/>
      <c r="F1402" s="2"/>
      <c r="G1402" s="3"/>
      <c r="H1402" s="3"/>
      <c r="I1402" s="3"/>
      <c r="J1402" s="3"/>
      <c r="K1402" s="3"/>
      <c r="L1402" s="3"/>
      <c r="M1402" s="2"/>
      <c r="N1402" s="2"/>
    </row>
    <row r="1403" spans="5:14" x14ac:dyDescent="0.35">
      <c r="E1403" s="2"/>
      <c r="F1403" s="2"/>
      <c r="G1403" s="3"/>
      <c r="H1403" s="3"/>
      <c r="I1403" s="3"/>
      <c r="J1403" s="3"/>
      <c r="K1403" s="3"/>
      <c r="L1403" s="3"/>
      <c r="M1403" s="2"/>
      <c r="N1403" s="2"/>
    </row>
    <row r="1404" spans="5:14" x14ac:dyDescent="0.35">
      <c r="E1404" s="2"/>
      <c r="F1404" s="2"/>
      <c r="G1404" s="3"/>
      <c r="H1404" s="3"/>
      <c r="I1404" s="3"/>
      <c r="J1404" s="3"/>
      <c r="K1404" s="3"/>
      <c r="L1404" s="3"/>
      <c r="M1404" s="2"/>
      <c r="N1404" s="2"/>
    </row>
    <row r="1405" spans="5:14" x14ac:dyDescent="0.35">
      <c r="E1405" s="2"/>
      <c r="F1405" s="2"/>
      <c r="G1405" s="3"/>
      <c r="H1405" s="3"/>
      <c r="I1405" s="3"/>
      <c r="J1405" s="3"/>
      <c r="K1405" s="3"/>
      <c r="L1405" s="3"/>
      <c r="M1405" s="2"/>
      <c r="N1405" s="2"/>
    </row>
    <row r="1406" spans="5:14" x14ac:dyDescent="0.35">
      <c r="E1406" s="2"/>
      <c r="F1406" s="2"/>
      <c r="G1406" s="3"/>
      <c r="H1406" s="3"/>
      <c r="I1406" s="3"/>
      <c r="J1406" s="3"/>
      <c r="K1406" s="3"/>
      <c r="L1406" s="3"/>
      <c r="M1406" s="2"/>
      <c r="N1406" s="2"/>
    </row>
    <row r="1407" spans="5:14" x14ac:dyDescent="0.35">
      <c r="E1407" s="2"/>
      <c r="F1407" s="2"/>
      <c r="G1407" s="3"/>
      <c r="H1407" s="3"/>
      <c r="I1407" s="3"/>
      <c r="J1407" s="3"/>
      <c r="K1407" s="3"/>
      <c r="L1407" s="3"/>
      <c r="M1407" s="2"/>
      <c r="N1407" s="2"/>
    </row>
    <row r="1408" spans="5:14" x14ac:dyDescent="0.35">
      <c r="E1408" s="2"/>
      <c r="F1408" s="2"/>
      <c r="G1408" s="3"/>
      <c r="H1408" s="3"/>
      <c r="I1408" s="3"/>
      <c r="J1408" s="3"/>
      <c r="K1408" s="3"/>
      <c r="L1408" s="3"/>
      <c r="M1408" s="2"/>
      <c r="N1408" s="2"/>
    </row>
    <row r="1409" spans="5:14" x14ac:dyDescent="0.35">
      <c r="E1409" s="2"/>
      <c r="F1409" s="2"/>
      <c r="G1409" s="3"/>
      <c r="H1409" s="3"/>
      <c r="I1409" s="3"/>
      <c r="J1409" s="3"/>
      <c r="K1409" s="3"/>
      <c r="L1409" s="3"/>
      <c r="M1409" s="2"/>
      <c r="N1409" s="2"/>
    </row>
    <row r="1410" spans="5:14" x14ac:dyDescent="0.35">
      <c r="E1410" s="2"/>
      <c r="F1410" s="2"/>
      <c r="G1410" s="3"/>
      <c r="H1410" s="3"/>
      <c r="I1410" s="3"/>
      <c r="J1410" s="3"/>
      <c r="K1410" s="3"/>
      <c r="L1410" s="3"/>
      <c r="M1410" s="2"/>
      <c r="N1410" s="2"/>
    </row>
    <row r="1411" spans="5:14" x14ac:dyDescent="0.35">
      <c r="E1411" s="2"/>
      <c r="F1411" s="2"/>
      <c r="G1411" s="3"/>
      <c r="H1411" s="3"/>
      <c r="I1411" s="3"/>
      <c r="J1411" s="3"/>
      <c r="K1411" s="3"/>
      <c r="L1411" s="3"/>
      <c r="M1411" s="2"/>
      <c r="N1411" s="2"/>
    </row>
    <row r="1412" spans="5:14" x14ac:dyDescent="0.35">
      <c r="E1412" s="2"/>
      <c r="F1412" s="2"/>
      <c r="G1412" s="3"/>
      <c r="H1412" s="3"/>
      <c r="I1412" s="3"/>
      <c r="J1412" s="3"/>
      <c r="K1412" s="3"/>
      <c r="L1412" s="3"/>
      <c r="M1412" s="2"/>
      <c r="N1412" s="2"/>
    </row>
    <row r="1413" spans="5:14" x14ac:dyDescent="0.35">
      <c r="E1413" s="2"/>
      <c r="F1413" s="2"/>
      <c r="G1413" s="3"/>
      <c r="H1413" s="3"/>
      <c r="I1413" s="3"/>
      <c r="J1413" s="3"/>
      <c r="K1413" s="3"/>
      <c r="L1413" s="3"/>
      <c r="M1413" s="2"/>
      <c r="N1413" s="2"/>
    </row>
    <row r="1414" spans="5:14" x14ac:dyDescent="0.35">
      <c r="E1414" s="2"/>
      <c r="F1414" s="2"/>
      <c r="G1414" s="3"/>
      <c r="H1414" s="3"/>
      <c r="I1414" s="3"/>
      <c r="J1414" s="3"/>
      <c r="K1414" s="3"/>
      <c r="L1414" s="3"/>
      <c r="M1414" s="2"/>
      <c r="N1414" s="2"/>
    </row>
    <row r="1415" spans="5:14" x14ac:dyDescent="0.35">
      <c r="E1415" s="2"/>
      <c r="F1415" s="2"/>
      <c r="G1415" s="3"/>
      <c r="H1415" s="3"/>
      <c r="I1415" s="3"/>
      <c r="J1415" s="3"/>
      <c r="K1415" s="3"/>
      <c r="L1415" s="3"/>
      <c r="M1415" s="2"/>
      <c r="N1415" s="2"/>
    </row>
    <row r="1416" spans="5:14" x14ac:dyDescent="0.35">
      <c r="E1416" s="2"/>
      <c r="F1416" s="2"/>
      <c r="G1416" s="3"/>
      <c r="H1416" s="3"/>
      <c r="I1416" s="3"/>
      <c r="J1416" s="3"/>
      <c r="K1416" s="3"/>
      <c r="L1416" s="3"/>
      <c r="M1416" s="2"/>
      <c r="N1416" s="2"/>
    </row>
    <row r="1417" spans="5:14" x14ac:dyDescent="0.35">
      <c r="E1417" s="2"/>
      <c r="F1417" s="2"/>
      <c r="G1417" s="3"/>
      <c r="H1417" s="3"/>
      <c r="I1417" s="3"/>
      <c r="J1417" s="3"/>
      <c r="K1417" s="3"/>
      <c r="L1417" s="3"/>
      <c r="M1417" s="2"/>
      <c r="N1417" s="2"/>
    </row>
    <row r="1418" spans="5:14" x14ac:dyDescent="0.35">
      <c r="E1418" s="2"/>
      <c r="F1418" s="2"/>
      <c r="G1418" s="3"/>
      <c r="H1418" s="3"/>
      <c r="I1418" s="3"/>
      <c r="J1418" s="3"/>
      <c r="K1418" s="3"/>
      <c r="L1418" s="3"/>
      <c r="M1418" s="2"/>
      <c r="N1418" s="2"/>
    </row>
    <row r="1419" spans="5:14" x14ac:dyDescent="0.35">
      <c r="E1419" s="2"/>
      <c r="F1419" s="2"/>
      <c r="G1419" s="3"/>
      <c r="H1419" s="3"/>
      <c r="I1419" s="3"/>
      <c r="J1419" s="3"/>
      <c r="K1419" s="3"/>
      <c r="L1419" s="3"/>
      <c r="M1419" s="2"/>
      <c r="N1419" s="2"/>
    </row>
    <row r="1420" spans="5:14" x14ac:dyDescent="0.35">
      <c r="E1420" s="2"/>
      <c r="F1420" s="2"/>
      <c r="G1420" s="3"/>
      <c r="H1420" s="3"/>
      <c r="I1420" s="3"/>
      <c r="J1420" s="3"/>
      <c r="K1420" s="3"/>
      <c r="L1420" s="3"/>
      <c r="M1420" s="2"/>
      <c r="N1420" s="2"/>
    </row>
    <row r="1421" spans="5:14" x14ac:dyDescent="0.35">
      <c r="E1421" s="2"/>
      <c r="F1421" s="2"/>
      <c r="G1421" s="3"/>
      <c r="H1421" s="3"/>
      <c r="I1421" s="3"/>
      <c r="J1421" s="3"/>
      <c r="K1421" s="3"/>
      <c r="L1421" s="3"/>
      <c r="M1421" s="2"/>
      <c r="N1421" s="2"/>
    </row>
    <row r="1422" spans="5:14" x14ac:dyDescent="0.35">
      <c r="E1422" s="2"/>
      <c r="F1422" s="2"/>
      <c r="G1422" s="3"/>
      <c r="H1422" s="3"/>
      <c r="I1422" s="3"/>
      <c r="J1422" s="3"/>
      <c r="K1422" s="3"/>
      <c r="L1422" s="3"/>
      <c r="M1422" s="2"/>
      <c r="N1422" s="2"/>
    </row>
    <row r="1423" spans="5:14" x14ac:dyDescent="0.35">
      <c r="E1423" s="2"/>
      <c r="F1423" s="2"/>
      <c r="G1423" s="3"/>
      <c r="H1423" s="3"/>
      <c r="I1423" s="3"/>
      <c r="J1423" s="3"/>
      <c r="K1423" s="3"/>
      <c r="L1423" s="3"/>
      <c r="M1423" s="2"/>
      <c r="N1423" s="2"/>
    </row>
    <row r="1424" spans="5:14" x14ac:dyDescent="0.35">
      <c r="E1424" s="2"/>
      <c r="F1424" s="2"/>
      <c r="G1424" s="3"/>
      <c r="H1424" s="3"/>
      <c r="I1424" s="3"/>
      <c r="J1424" s="3"/>
      <c r="K1424" s="3"/>
      <c r="L1424" s="3"/>
      <c r="M1424" s="2"/>
      <c r="N1424" s="2"/>
    </row>
    <row r="1425" spans="5:14" x14ac:dyDescent="0.35">
      <c r="E1425" s="2"/>
      <c r="F1425" s="2"/>
      <c r="G1425" s="3"/>
      <c r="H1425" s="3"/>
      <c r="I1425" s="3"/>
      <c r="J1425" s="3"/>
      <c r="K1425" s="3"/>
      <c r="L1425" s="3"/>
      <c r="M1425" s="2"/>
      <c r="N1425" s="2"/>
    </row>
    <row r="1426" spans="5:14" x14ac:dyDescent="0.35">
      <c r="E1426" s="2"/>
      <c r="F1426" s="2"/>
      <c r="G1426" s="3"/>
      <c r="H1426" s="3"/>
      <c r="I1426" s="3"/>
      <c r="J1426" s="3"/>
      <c r="K1426" s="3"/>
      <c r="L1426" s="3"/>
      <c r="M1426" s="2"/>
      <c r="N1426" s="2"/>
    </row>
    <row r="1427" spans="5:14" x14ac:dyDescent="0.35">
      <c r="E1427" s="2"/>
      <c r="F1427" s="2"/>
      <c r="G1427" s="3"/>
      <c r="H1427" s="3"/>
      <c r="I1427" s="3"/>
      <c r="J1427" s="3"/>
      <c r="K1427" s="3"/>
      <c r="L1427" s="3"/>
      <c r="M1427" s="2"/>
      <c r="N1427" s="2"/>
    </row>
    <row r="1428" spans="5:14" x14ac:dyDescent="0.35">
      <c r="E1428" s="2"/>
      <c r="F1428" s="2"/>
      <c r="G1428" s="3"/>
      <c r="H1428" s="3"/>
      <c r="I1428" s="3"/>
      <c r="J1428" s="3"/>
      <c r="K1428" s="3"/>
      <c r="L1428" s="3"/>
      <c r="M1428" s="2"/>
      <c r="N1428" s="2"/>
    </row>
    <row r="1429" spans="5:14" x14ac:dyDescent="0.35">
      <c r="E1429" s="2"/>
      <c r="F1429" s="2"/>
      <c r="G1429" s="3"/>
      <c r="H1429" s="3"/>
      <c r="I1429" s="3"/>
      <c r="J1429" s="3"/>
      <c r="K1429" s="3"/>
      <c r="L1429" s="3"/>
      <c r="M1429" s="2"/>
      <c r="N1429" s="2"/>
    </row>
    <row r="1430" spans="5:14" x14ac:dyDescent="0.35">
      <c r="E1430" s="2"/>
      <c r="F1430" s="2"/>
      <c r="G1430" s="3"/>
      <c r="H1430" s="3"/>
      <c r="I1430" s="3"/>
      <c r="J1430" s="3"/>
      <c r="K1430" s="3"/>
      <c r="L1430" s="3"/>
      <c r="M1430" s="2"/>
      <c r="N1430" s="2"/>
    </row>
    <row r="1431" spans="5:14" x14ac:dyDescent="0.35">
      <c r="E1431" s="2"/>
      <c r="F1431" s="2"/>
      <c r="G1431" s="3"/>
      <c r="H1431" s="3"/>
      <c r="I1431" s="3"/>
      <c r="J1431" s="3"/>
      <c r="K1431" s="3"/>
      <c r="L1431" s="3"/>
      <c r="M1431" s="2"/>
      <c r="N1431" s="2"/>
    </row>
    <row r="1432" spans="5:14" x14ac:dyDescent="0.35">
      <c r="E1432" s="2"/>
      <c r="F1432" s="2"/>
      <c r="G1432" s="3"/>
      <c r="H1432" s="3"/>
      <c r="I1432" s="3"/>
      <c r="J1432" s="3"/>
      <c r="K1432" s="3"/>
      <c r="L1432" s="3"/>
      <c r="M1432" s="2"/>
      <c r="N1432" s="2"/>
    </row>
    <row r="1433" spans="5:14" x14ac:dyDescent="0.35">
      <c r="E1433" s="2"/>
      <c r="F1433" s="2"/>
      <c r="G1433" s="3"/>
      <c r="H1433" s="3"/>
      <c r="I1433" s="3"/>
      <c r="J1433" s="3"/>
      <c r="K1433" s="3"/>
      <c r="L1433" s="3"/>
      <c r="M1433" s="2"/>
      <c r="N1433" s="2"/>
    </row>
    <row r="1434" spans="5:14" x14ac:dyDescent="0.35">
      <c r="E1434" s="2"/>
      <c r="F1434" s="2"/>
      <c r="G1434" s="3"/>
      <c r="H1434" s="3"/>
      <c r="I1434" s="3"/>
      <c r="J1434" s="3"/>
      <c r="K1434" s="3"/>
      <c r="L1434" s="3"/>
      <c r="M1434" s="2"/>
      <c r="N1434" s="2"/>
    </row>
    <row r="1435" spans="5:14" x14ac:dyDescent="0.35">
      <c r="E1435" s="2"/>
      <c r="F1435" s="2"/>
      <c r="G1435" s="3"/>
      <c r="H1435" s="3"/>
      <c r="I1435" s="3"/>
      <c r="J1435" s="3"/>
      <c r="K1435" s="3"/>
      <c r="L1435" s="3"/>
      <c r="M1435" s="2"/>
      <c r="N1435" s="2"/>
    </row>
    <row r="1436" spans="5:14" x14ac:dyDescent="0.35">
      <c r="E1436" s="2"/>
      <c r="F1436" s="2"/>
      <c r="G1436" s="3"/>
      <c r="H1436" s="3"/>
      <c r="I1436" s="3"/>
      <c r="J1436" s="3"/>
      <c r="K1436" s="3"/>
      <c r="L1436" s="3"/>
      <c r="M1436" s="2"/>
      <c r="N1436" s="2"/>
    </row>
    <row r="1437" spans="5:14" x14ac:dyDescent="0.35">
      <c r="E1437" s="2"/>
      <c r="F1437" s="2"/>
      <c r="G1437" s="3"/>
      <c r="H1437" s="3"/>
      <c r="I1437" s="3"/>
      <c r="J1437" s="3"/>
      <c r="K1437" s="3"/>
      <c r="L1437" s="3"/>
      <c r="M1437" s="2"/>
      <c r="N1437" s="2"/>
    </row>
    <row r="1438" spans="5:14" x14ac:dyDescent="0.35">
      <c r="E1438" s="2"/>
      <c r="F1438" s="2"/>
      <c r="G1438" s="3"/>
      <c r="H1438" s="3"/>
      <c r="I1438" s="3"/>
      <c r="J1438" s="3"/>
      <c r="K1438" s="3"/>
      <c r="L1438" s="3"/>
      <c r="M1438" s="2"/>
      <c r="N1438" s="2"/>
    </row>
    <row r="1439" spans="5:14" x14ac:dyDescent="0.35">
      <c r="E1439" s="2"/>
      <c r="F1439" s="2"/>
      <c r="G1439" s="3"/>
      <c r="H1439" s="3"/>
      <c r="I1439" s="3"/>
      <c r="J1439" s="3"/>
      <c r="K1439" s="3"/>
      <c r="L1439" s="3"/>
      <c r="M1439" s="2"/>
      <c r="N1439" s="2"/>
    </row>
    <row r="1440" spans="5:14" x14ac:dyDescent="0.35">
      <c r="E1440" s="2"/>
      <c r="F1440" s="2"/>
      <c r="G1440" s="3"/>
      <c r="H1440" s="3"/>
      <c r="I1440" s="3"/>
      <c r="J1440" s="3"/>
      <c r="K1440" s="3"/>
      <c r="L1440" s="3"/>
      <c r="M1440" s="2"/>
      <c r="N1440" s="2"/>
    </row>
    <row r="1441" spans="5:14" x14ac:dyDescent="0.35">
      <c r="E1441" s="2"/>
      <c r="F1441" s="2"/>
      <c r="G1441" s="3"/>
      <c r="H1441" s="3"/>
      <c r="I1441" s="3"/>
      <c r="J1441" s="3"/>
      <c r="K1441" s="3"/>
      <c r="L1441" s="3"/>
      <c r="M1441" s="2"/>
      <c r="N1441" s="2"/>
    </row>
    <row r="1442" spans="5:14" x14ac:dyDescent="0.35">
      <c r="E1442" s="2"/>
      <c r="F1442" s="2"/>
      <c r="G1442" s="3"/>
      <c r="H1442" s="3"/>
      <c r="I1442" s="3"/>
      <c r="J1442" s="3"/>
      <c r="K1442" s="3"/>
      <c r="L1442" s="3"/>
      <c r="M1442" s="2"/>
      <c r="N1442" s="2"/>
    </row>
    <row r="1443" spans="5:14" x14ac:dyDescent="0.35">
      <c r="E1443" s="2"/>
      <c r="F1443" s="2"/>
      <c r="G1443" s="3"/>
      <c r="H1443" s="3"/>
      <c r="I1443" s="3"/>
      <c r="J1443" s="3"/>
      <c r="K1443" s="3"/>
      <c r="L1443" s="3"/>
      <c r="M1443" s="2"/>
      <c r="N1443" s="2"/>
    </row>
    <row r="1444" spans="5:14" x14ac:dyDescent="0.35">
      <c r="E1444" s="2"/>
      <c r="F1444" s="2"/>
      <c r="G1444" s="3"/>
      <c r="H1444" s="3"/>
      <c r="I1444" s="3"/>
      <c r="J1444" s="3"/>
      <c r="K1444" s="3"/>
      <c r="L1444" s="3"/>
      <c r="M1444" s="2"/>
      <c r="N1444" s="2"/>
    </row>
    <row r="1445" spans="5:14" x14ac:dyDescent="0.35">
      <c r="E1445" s="2"/>
      <c r="F1445" s="2"/>
      <c r="G1445" s="3"/>
      <c r="H1445" s="3"/>
      <c r="I1445" s="3"/>
      <c r="J1445" s="3"/>
      <c r="K1445" s="3"/>
      <c r="L1445" s="3"/>
      <c r="M1445" s="2"/>
      <c r="N1445" s="2"/>
    </row>
    <row r="1446" spans="5:14" x14ac:dyDescent="0.35">
      <c r="E1446" s="2"/>
      <c r="F1446" s="2"/>
      <c r="G1446" s="3"/>
      <c r="H1446" s="3"/>
      <c r="I1446" s="3"/>
      <c r="J1446" s="3"/>
      <c r="K1446" s="3"/>
      <c r="L1446" s="3"/>
      <c r="M1446" s="2"/>
      <c r="N1446" s="2"/>
    </row>
    <row r="1447" spans="5:14" x14ac:dyDescent="0.35">
      <c r="E1447" s="2"/>
      <c r="F1447" s="2"/>
      <c r="G1447" s="3"/>
      <c r="H1447" s="3"/>
      <c r="I1447" s="3"/>
      <c r="J1447" s="3"/>
      <c r="K1447" s="3"/>
      <c r="L1447" s="3"/>
      <c r="M1447" s="2"/>
      <c r="N1447" s="2"/>
    </row>
    <row r="1448" spans="5:14" x14ac:dyDescent="0.35">
      <c r="E1448" s="2"/>
      <c r="F1448" s="2"/>
      <c r="G1448" s="3"/>
      <c r="H1448" s="3"/>
      <c r="I1448" s="3"/>
      <c r="J1448" s="3"/>
      <c r="K1448" s="3"/>
      <c r="L1448" s="3"/>
      <c r="M1448" s="2"/>
      <c r="N1448" s="2"/>
    </row>
    <row r="1449" spans="5:14" x14ac:dyDescent="0.35">
      <c r="E1449" s="2"/>
      <c r="F1449" s="2"/>
      <c r="G1449" s="3"/>
      <c r="H1449" s="3"/>
      <c r="I1449" s="3"/>
      <c r="J1449" s="3"/>
      <c r="K1449" s="3"/>
      <c r="L1449" s="3"/>
      <c r="M1449" s="2"/>
      <c r="N1449" s="2"/>
    </row>
    <row r="1450" spans="5:14" x14ac:dyDescent="0.35">
      <c r="E1450" s="2"/>
      <c r="F1450" s="2"/>
      <c r="G1450" s="3"/>
      <c r="H1450" s="3"/>
      <c r="I1450" s="3"/>
      <c r="J1450" s="3"/>
      <c r="K1450" s="3"/>
      <c r="L1450" s="3"/>
      <c r="M1450" s="2"/>
      <c r="N1450" s="2"/>
    </row>
    <row r="1451" spans="5:14" x14ac:dyDescent="0.35">
      <c r="E1451" s="2"/>
      <c r="F1451" s="2"/>
      <c r="G1451" s="3"/>
      <c r="H1451" s="3"/>
      <c r="I1451" s="3"/>
      <c r="J1451" s="3"/>
      <c r="K1451" s="3"/>
      <c r="L1451" s="3"/>
      <c r="M1451" s="2"/>
      <c r="N1451" s="2"/>
    </row>
    <row r="1452" spans="5:14" x14ac:dyDescent="0.35">
      <c r="E1452" s="2"/>
      <c r="F1452" s="2"/>
      <c r="G1452" s="3"/>
      <c r="H1452" s="3"/>
      <c r="I1452" s="3"/>
      <c r="J1452" s="3"/>
      <c r="K1452" s="3"/>
      <c r="L1452" s="3"/>
      <c r="M1452" s="2"/>
      <c r="N1452" s="2"/>
    </row>
    <row r="1453" spans="5:14" x14ac:dyDescent="0.35">
      <c r="E1453" s="2"/>
      <c r="F1453" s="2"/>
      <c r="G1453" s="3"/>
      <c r="H1453" s="3"/>
      <c r="I1453" s="3"/>
      <c r="J1453" s="3"/>
      <c r="K1453" s="3"/>
      <c r="L1453" s="3"/>
      <c r="M1453" s="2"/>
      <c r="N1453" s="2"/>
    </row>
    <row r="1454" spans="5:14" x14ac:dyDescent="0.35">
      <c r="E1454" s="2"/>
      <c r="F1454" s="2"/>
      <c r="G1454" s="3"/>
      <c r="H1454" s="3"/>
      <c r="I1454" s="3"/>
      <c r="J1454" s="3"/>
      <c r="K1454" s="3"/>
      <c r="L1454" s="3"/>
      <c r="M1454" s="2"/>
      <c r="N1454" s="2"/>
    </row>
    <row r="1455" spans="5:14" x14ac:dyDescent="0.35">
      <c r="E1455" s="2"/>
      <c r="F1455" s="2"/>
      <c r="G1455" s="3"/>
      <c r="H1455" s="3"/>
      <c r="I1455" s="3"/>
      <c r="J1455" s="3"/>
      <c r="K1455" s="3"/>
      <c r="L1455" s="3"/>
      <c r="M1455" s="2"/>
      <c r="N1455" s="2"/>
    </row>
    <row r="1456" spans="5:14" x14ac:dyDescent="0.35">
      <c r="E1456" s="2"/>
      <c r="F1456" s="2"/>
      <c r="G1456" s="3"/>
      <c r="H1456" s="3"/>
      <c r="I1456" s="3"/>
      <c r="J1456" s="3"/>
      <c r="K1456" s="3"/>
      <c r="L1456" s="3"/>
      <c r="M1456" s="2"/>
      <c r="N1456" s="2"/>
    </row>
    <row r="1457" spans="5:14" x14ac:dyDescent="0.35">
      <c r="E1457" s="2"/>
      <c r="F1457" s="2"/>
      <c r="G1457" s="3"/>
      <c r="H1457" s="3"/>
      <c r="I1457" s="3"/>
      <c r="J1457" s="3"/>
      <c r="K1457" s="3"/>
      <c r="L1457" s="3"/>
      <c r="M1457" s="2"/>
      <c r="N1457" s="2"/>
    </row>
    <row r="1458" spans="5:14" x14ac:dyDescent="0.35">
      <c r="E1458" s="2"/>
      <c r="F1458" s="2"/>
      <c r="G1458" s="3"/>
      <c r="H1458" s="3"/>
      <c r="I1458" s="3"/>
      <c r="J1458" s="3"/>
      <c r="K1458" s="3"/>
      <c r="L1458" s="3"/>
      <c r="M1458" s="2"/>
      <c r="N1458" s="2"/>
    </row>
    <row r="1459" spans="5:14" x14ac:dyDescent="0.35">
      <c r="E1459" s="2"/>
      <c r="F1459" s="2"/>
      <c r="G1459" s="3"/>
      <c r="H1459" s="3"/>
      <c r="I1459" s="3"/>
      <c r="J1459" s="3"/>
      <c r="K1459" s="3"/>
      <c r="L1459" s="3"/>
      <c r="M1459" s="2"/>
      <c r="N1459" s="2"/>
    </row>
    <row r="1460" spans="5:14" x14ac:dyDescent="0.35">
      <c r="E1460" s="2"/>
      <c r="F1460" s="2"/>
      <c r="G1460" s="3"/>
      <c r="H1460" s="3"/>
      <c r="I1460" s="3"/>
      <c r="J1460" s="3"/>
      <c r="K1460" s="3"/>
      <c r="L1460" s="3"/>
      <c r="M1460" s="2"/>
      <c r="N1460" s="2"/>
    </row>
    <row r="1461" spans="5:14" x14ac:dyDescent="0.35">
      <c r="E1461" s="2"/>
      <c r="F1461" s="2"/>
      <c r="G1461" s="3"/>
      <c r="H1461" s="3"/>
      <c r="I1461" s="3"/>
      <c r="J1461" s="3"/>
      <c r="K1461" s="3"/>
      <c r="L1461" s="3"/>
      <c r="M1461" s="2"/>
      <c r="N1461" s="2"/>
    </row>
    <row r="1462" spans="5:14" x14ac:dyDescent="0.35">
      <c r="E1462" s="2"/>
      <c r="F1462" s="2"/>
      <c r="G1462" s="3"/>
      <c r="H1462" s="3"/>
      <c r="I1462" s="3"/>
      <c r="J1462" s="3"/>
      <c r="K1462" s="3"/>
      <c r="L1462" s="3"/>
      <c r="M1462" s="2"/>
      <c r="N1462" s="2"/>
    </row>
    <row r="1463" spans="5:14" x14ac:dyDescent="0.35">
      <c r="E1463" s="2"/>
      <c r="F1463" s="2"/>
      <c r="G1463" s="3"/>
      <c r="H1463" s="3"/>
      <c r="I1463" s="3"/>
      <c r="J1463" s="3"/>
      <c r="K1463" s="3"/>
      <c r="L1463" s="3"/>
      <c r="M1463" s="2"/>
      <c r="N1463" s="2"/>
    </row>
    <row r="1464" spans="5:14" x14ac:dyDescent="0.35">
      <c r="E1464" s="2"/>
      <c r="F1464" s="2"/>
      <c r="G1464" s="3"/>
      <c r="H1464" s="3"/>
      <c r="I1464" s="3"/>
      <c r="J1464" s="3"/>
      <c r="K1464" s="3"/>
      <c r="L1464" s="3"/>
      <c r="M1464" s="2"/>
      <c r="N1464" s="2"/>
    </row>
    <row r="1465" spans="5:14" x14ac:dyDescent="0.35">
      <c r="E1465" s="2"/>
      <c r="F1465" s="2"/>
      <c r="G1465" s="3"/>
      <c r="H1465" s="3"/>
      <c r="I1465" s="3"/>
      <c r="J1465" s="3"/>
      <c r="K1465" s="3"/>
      <c r="L1465" s="3"/>
      <c r="M1465" s="2"/>
      <c r="N1465" s="2"/>
    </row>
    <row r="1466" spans="5:14" x14ac:dyDescent="0.35">
      <c r="E1466" s="2"/>
      <c r="F1466" s="2"/>
      <c r="G1466" s="3"/>
      <c r="H1466" s="3"/>
      <c r="I1466" s="3"/>
      <c r="J1466" s="3"/>
      <c r="K1466" s="3"/>
      <c r="L1466" s="3"/>
      <c r="M1466" s="2"/>
      <c r="N1466" s="2"/>
    </row>
    <row r="1467" spans="5:14" x14ac:dyDescent="0.35">
      <c r="E1467" s="2"/>
      <c r="F1467" s="2"/>
      <c r="G1467" s="3"/>
      <c r="H1467" s="3"/>
      <c r="I1467" s="3"/>
      <c r="J1467" s="3"/>
      <c r="K1467" s="3"/>
      <c r="L1467" s="3"/>
      <c r="M1467" s="2"/>
      <c r="N1467" s="2"/>
    </row>
    <row r="1468" spans="5:14" x14ac:dyDescent="0.35">
      <c r="E1468" s="2"/>
      <c r="F1468" s="2"/>
      <c r="G1468" s="3"/>
      <c r="H1468" s="3"/>
      <c r="I1468" s="3"/>
      <c r="J1468" s="3"/>
      <c r="K1468" s="3"/>
      <c r="L1468" s="3"/>
      <c r="M1468" s="2"/>
      <c r="N1468" s="2"/>
    </row>
    <row r="1469" spans="5:14" x14ac:dyDescent="0.35">
      <c r="E1469" s="2"/>
      <c r="F1469" s="2"/>
      <c r="G1469" s="3"/>
      <c r="H1469" s="3"/>
      <c r="I1469" s="3"/>
      <c r="J1469" s="3"/>
      <c r="K1469" s="3"/>
      <c r="L1469" s="3"/>
      <c r="M1469" s="2"/>
      <c r="N1469" s="2"/>
    </row>
    <row r="1470" spans="5:14" x14ac:dyDescent="0.35">
      <c r="E1470" s="2"/>
      <c r="F1470" s="2"/>
      <c r="G1470" s="3"/>
      <c r="H1470" s="3"/>
      <c r="I1470" s="3"/>
      <c r="J1470" s="3"/>
      <c r="K1470" s="3"/>
      <c r="L1470" s="3"/>
      <c r="M1470" s="2"/>
      <c r="N1470" s="2"/>
    </row>
    <row r="1471" spans="5:14" x14ac:dyDescent="0.35">
      <c r="E1471" s="2"/>
      <c r="F1471" s="2"/>
      <c r="G1471" s="3"/>
      <c r="H1471" s="3"/>
      <c r="I1471" s="3"/>
      <c r="J1471" s="3"/>
      <c r="K1471" s="3"/>
      <c r="L1471" s="3"/>
      <c r="M1471" s="2"/>
      <c r="N1471" s="2"/>
    </row>
    <row r="1472" spans="5:14" x14ac:dyDescent="0.35">
      <c r="E1472" s="2"/>
      <c r="F1472" s="2"/>
      <c r="G1472" s="3"/>
      <c r="H1472" s="3"/>
      <c r="I1472" s="3"/>
      <c r="J1472" s="3"/>
      <c r="K1472" s="3"/>
      <c r="L1472" s="3"/>
      <c r="M1472" s="2"/>
      <c r="N1472" s="2"/>
    </row>
    <row r="1473" spans="5:14" x14ac:dyDescent="0.35">
      <c r="E1473" s="2"/>
      <c r="F1473" s="2"/>
      <c r="G1473" s="3"/>
      <c r="H1473" s="3"/>
      <c r="I1473" s="3"/>
      <c r="J1473" s="3"/>
      <c r="K1473" s="3"/>
      <c r="L1473" s="3"/>
      <c r="M1473" s="2"/>
      <c r="N1473" s="2"/>
    </row>
    <row r="1474" spans="5:14" x14ac:dyDescent="0.35">
      <c r="E1474" s="2"/>
      <c r="F1474" s="2"/>
      <c r="G1474" s="3"/>
      <c r="H1474" s="3"/>
      <c r="I1474" s="3"/>
      <c r="J1474" s="3"/>
      <c r="K1474" s="3"/>
      <c r="L1474" s="3"/>
      <c r="M1474" s="2"/>
      <c r="N1474" s="2"/>
    </row>
    <row r="1475" spans="5:14" x14ac:dyDescent="0.35">
      <c r="E1475" s="2"/>
      <c r="F1475" s="2"/>
      <c r="G1475" s="3"/>
      <c r="H1475" s="3"/>
      <c r="I1475" s="3"/>
      <c r="J1475" s="3"/>
      <c r="K1475" s="3"/>
      <c r="L1475" s="3"/>
      <c r="M1475" s="2"/>
      <c r="N1475" s="2"/>
    </row>
    <row r="1476" spans="5:14" x14ac:dyDescent="0.35">
      <c r="E1476" s="2"/>
      <c r="F1476" s="2"/>
      <c r="G1476" s="3"/>
      <c r="H1476" s="3"/>
      <c r="I1476" s="3"/>
      <c r="J1476" s="3"/>
      <c r="K1476" s="3"/>
      <c r="L1476" s="3"/>
      <c r="M1476" s="2"/>
      <c r="N1476" s="2"/>
    </row>
    <row r="1477" spans="5:14" x14ac:dyDescent="0.35">
      <c r="E1477" s="2"/>
      <c r="F1477" s="2"/>
      <c r="G1477" s="3"/>
      <c r="H1477" s="3"/>
      <c r="I1477" s="3"/>
      <c r="J1477" s="3"/>
      <c r="K1477" s="3"/>
      <c r="L1477" s="3"/>
      <c r="M1477" s="2"/>
      <c r="N1477" s="2"/>
    </row>
    <row r="1478" spans="5:14" x14ac:dyDescent="0.35">
      <c r="E1478" s="2"/>
      <c r="F1478" s="2"/>
      <c r="G1478" s="3"/>
      <c r="H1478" s="3"/>
      <c r="I1478" s="3"/>
      <c r="J1478" s="3"/>
      <c r="K1478" s="3"/>
      <c r="L1478" s="3"/>
      <c r="M1478" s="2"/>
      <c r="N1478" s="2"/>
    </row>
    <row r="1479" spans="5:14" x14ac:dyDescent="0.35">
      <c r="E1479" s="2"/>
      <c r="F1479" s="2"/>
      <c r="G1479" s="3"/>
      <c r="H1479" s="3"/>
      <c r="I1479" s="3"/>
      <c r="J1479" s="3"/>
      <c r="K1479" s="3"/>
      <c r="L1479" s="3"/>
      <c r="M1479" s="2"/>
      <c r="N1479" s="2"/>
    </row>
    <row r="1480" spans="5:14" x14ac:dyDescent="0.35">
      <c r="E1480" s="2"/>
      <c r="F1480" s="2"/>
      <c r="G1480" s="3"/>
      <c r="H1480" s="3"/>
      <c r="I1480" s="3"/>
      <c r="J1480" s="3"/>
      <c r="K1480" s="3"/>
      <c r="L1480" s="3"/>
      <c r="M1480" s="2"/>
      <c r="N1480" s="2"/>
    </row>
    <row r="1481" spans="5:14" x14ac:dyDescent="0.35">
      <c r="E1481" s="2"/>
      <c r="F1481" s="2"/>
      <c r="G1481" s="3"/>
      <c r="H1481" s="3"/>
      <c r="I1481" s="3"/>
      <c r="J1481" s="3"/>
      <c r="K1481" s="3"/>
      <c r="L1481" s="3"/>
      <c r="M1481" s="2"/>
      <c r="N1481" s="2"/>
    </row>
    <row r="1482" spans="5:14" x14ac:dyDescent="0.35">
      <c r="E1482" s="2"/>
      <c r="F1482" s="2"/>
      <c r="G1482" s="3"/>
      <c r="H1482" s="3"/>
      <c r="I1482" s="3"/>
      <c r="J1482" s="3"/>
      <c r="K1482" s="3"/>
      <c r="L1482" s="3"/>
      <c r="M1482" s="2"/>
      <c r="N1482" s="2"/>
    </row>
    <row r="1483" spans="5:14" x14ac:dyDescent="0.35">
      <c r="E1483" s="2"/>
      <c r="F1483" s="2"/>
      <c r="G1483" s="3"/>
      <c r="H1483" s="3"/>
      <c r="I1483" s="3"/>
      <c r="J1483" s="3"/>
      <c r="K1483" s="3"/>
      <c r="L1483" s="3"/>
      <c r="M1483" s="2"/>
      <c r="N1483" s="2"/>
    </row>
    <row r="1484" spans="5:14" x14ac:dyDescent="0.35">
      <c r="E1484" s="2"/>
      <c r="F1484" s="2"/>
      <c r="G1484" s="3"/>
      <c r="H1484" s="3"/>
      <c r="I1484" s="3"/>
      <c r="J1484" s="3"/>
      <c r="K1484" s="3"/>
      <c r="L1484" s="3"/>
      <c r="M1484" s="2"/>
      <c r="N1484" s="2"/>
    </row>
    <row r="1485" spans="5:14" x14ac:dyDescent="0.35">
      <c r="E1485" s="2"/>
      <c r="F1485" s="2"/>
      <c r="G1485" s="3"/>
      <c r="H1485" s="3"/>
      <c r="I1485" s="3"/>
      <c r="J1485" s="3"/>
      <c r="K1485" s="3"/>
      <c r="L1485" s="3"/>
      <c r="M1485" s="2"/>
      <c r="N1485" s="2"/>
    </row>
    <row r="1486" spans="5:14" x14ac:dyDescent="0.35">
      <c r="E1486" s="2"/>
      <c r="F1486" s="2"/>
      <c r="G1486" s="3"/>
      <c r="H1486" s="3"/>
      <c r="I1486" s="3"/>
      <c r="J1486" s="3"/>
      <c r="K1486" s="3"/>
      <c r="L1486" s="3"/>
      <c r="M1486" s="2"/>
      <c r="N1486" s="2"/>
    </row>
    <row r="1487" spans="5:14" x14ac:dyDescent="0.35">
      <c r="E1487" s="2"/>
      <c r="F1487" s="2"/>
      <c r="G1487" s="3"/>
      <c r="H1487" s="3"/>
      <c r="I1487" s="3"/>
      <c r="J1487" s="3"/>
      <c r="K1487" s="3"/>
      <c r="L1487" s="3"/>
      <c r="M1487" s="2"/>
      <c r="N1487" s="2"/>
    </row>
    <row r="1488" spans="5:14" x14ac:dyDescent="0.35">
      <c r="E1488" s="2"/>
      <c r="F1488" s="2"/>
      <c r="G1488" s="3"/>
      <c r="H1488" s="3"/>
      <c r="I1488" s="3"/>
      <c r="J1488" s="3"/>
      <c r="K1488" s="3"/>
      <c r="L1488" s="3"/>
      <c r="M1488" s="2"/>
      <c r="N1488" s="2"/>
    </row>
    <row r="1489" spans="5:14" x14ac:dyDescent="0.35">
      <c r="E1489" s="2"/>
      <c r="F1489" s="2"/>
      <c r="G1489" s="3"/>
      <c r="H1489" s="3"/>
      <c r="I1489" s="3"/>
      <c r="J1489" s="3"/>
      <c r="K1489" s="3"/>
      <c r="L1489" s="3"/>
      <c r="M1489" s="2"/>
      <c r="N1489" s="2"/>
    </row>
    <row r="1490" spans="5:14" x14ac:dyDescent="0.35">
      <c r="E1490" s="2"/>
      <c r="F1490" s="2"/>
      <c r="G1490" s="3"/>
      <c r="H1490" s="3"/>
      <c r="I1490" s="3"/>
      <c r="J1490" s="3"/>
      <c r="K1490" s="3"/>
      <c r="L1490" s="3"/>
      <c r="M1490" s="2"/>
      <c r="N1490" s="2"/>
    </row>
    <row r="1491" spans="5:14" x14ac:dyDescent="0.35">
      <c r="E1491" s="2"/>
      <c r="F1491" s="2"/>
      <c r="G1491" s="3"/>
      <c r="H1491" s="3"/>
      <c r="I1491" s="3"/>
      <c r="J1491" s="3"/>
      <c r="K1491" s="3"/>
      <c r="L1491" s="3"/>
      <c r="M1491" s="2"/>
      <c r="N1491" s="2"/>
    </row>
    <row r="1492" spans="5:14" x14ac:dyDescent="0.35">
      <c r="E1492" s="2"/>
      <c r="F1492" s="2"/>
      <c r="G1492" s="3"/>
      <c r="H1492" s="3"/>
      <c r="I1492" s="3"/>
      <c r="J1492" s="3"/>
      <c r="K1492" s="3"/>
      <c r="L1492" s="3"/>
      <c r="M1492" s="2"/>
      <c r="N1492" s="2"/>
    </row>
    <row r="1493" spans="5:14" x14ac:dyDescent="0.35">
      <c r="E1493" s="2"/>
      <c r="F1493" s="2"/>
      <c r="G1493" s="3"/>
      <c r="H1493" s="3"/>
      <c r="I1493" s="3"/>
      <c r="J1493" s="3"/>
      <c r="K1493" s="3"/>
      <c r="L1493" s="3"/>
      <c r="M1493" s="2"/>
      <c r="N1493" s="2"/>
    </row>
    <row r="1494" spans="5:14" x14ac:dyDescent="0.35">
      <c r="E1494" s="2"/>
      <c r="F1494" s="2"/>
      <c r="G1494" s="3"/>
      <c r="H1494" s="3"/>
      <c r="I1494" s="3"/>
      <c r="J1494" s="3"/>
      <c r="K1494" s="3"/>
      <c r="L1494" s="3"/>
      <c r="M1494" s="2"/>
      <c r="N1494" s="2"/>
    </row>
    <row r="1495" spans="5:14" x14ac:dyDescent="0.35">
      <c r="E1495" s="2"/>
      <c r="F1495" s="2"/>
      <c r="G1495" s="3"/>
      <c r="H1495" s="3"/>
      <c r="I1495" s="3"/>
      <c r="J1495" s="3"/>
      <c r="K1495" s="3"/>
      <c r="L1495" s="3"/>
      <c r="M1495" s="2"/>
      <c r="N1495" s="2"/>
    </row>
    <row r="1496" spans="5:14" x14ac:dyDescent="0.35">
      <c r="E1496" s="2"/>
      <c r="F1496" s="2"/>
      <c r="G1496" s="3"/>
      <c r="H1496" s="3"/>
      <c r="I1496" s="3"/>
      <c r="J1496" s="3"/>
      <c r="K1496" s="3"/>
      <c r="L1496" s="3"/>
      <c r="M1496" s="2"/>
      <c r="N1496" s="2"/>
    </row>
    <row r="1497" spans="5:14" x14ac:dyDescent="0.35">
      <c r="E1497" s="2"/>
      <c r="F1497" s="2"/>
      <c r="G1497" s="3"/>
      <c r="H1497" s="3"/>
      <c r="I1497" s="3"/>
      <c r="J1497" s="3"/>
      <c r="K1497" s="3"/>
      <c r="L1497" s="3"/>
      <c r="M1497" s="2"/>
      <c r="N1497" s="2"/>
    </row>
    <row r="1498" spans="5:14" x14ac:dyDescent="0.35">
      <c r="E1498" s="2"/>
      <c r="F1498" s="2"/>
      <c r="G1498" s="3"/>
      <c r="H1498" s="3"/>
      <c r="I1498" s="3"/>
      <c r="J1498" s="3"/>
      <c r="K1498" s="3"/>
      <c r="L1498" s="3"/>
      <c r="M1498" s="2"/>
      <c r="N1498" s="2"/>
    </row>
    <row r="1499" spans="5:14" x14ac:dyDescent="0.35">
      <c r="E1499" s="2"/>
      <c r="F1499" s="2"/>
      <c r="G1499" s="3"/>
      <c r="H1499" s="3"/>
      <c r="I1499" s="3"/>
      <c r="J1499" s="3"/>
      <c r="K1499" s="3"/>
      <c r="L1499" s="3"/>
      <c r="M1499" s="2"/>
      <c r="N1499" s="2"/>
    </row>
    <row r="1500" spans="5:14" x14ac:dyDescent="0.35">
      <c r="E1500" s="2"/>
      <c r="F1500" s="2"/>
      <c r="G1500" s="3"/>
      <c r="H1500" s="3"/>
      <c r="I1500" s="3"/>
      <c r="J1500" s="3"/>
      <c r="K1500" s="3"/>
      <c r="L1500" s="3"/>
      <c r="M1500" s="2"/>
      <c r="N1500" s="2"/>
    </row>
    <row r="1501" spans="5:14" x14ac:dyDescent="0.35">
      <c r="E1501" s="2"/>
      <c r="F1501" s="2"/>
      <c r="G1501" s="3"/>
      <c r="H1501" s="3"/>
      <c r="I1501" s="3"/>
      <c r="J1501" s="3"/>
      <c r="K1501" s="3"/>
      <c r="L1501" s="3"/>
      <c r="M1501" s="2"/>
      <c r="N1501" s="2"/>
    </row>
    <row r="1502" spans="5:14" x14ac:dyDescent="0.35">
      <c r="E1502" s="2"/>
      <c r="F1502" s="2"/>
      <c r="G1502" s="3"/>
      <c r="H1502" s="3"/>
      <c r="I1502" s="3"/>
      <c r="J1502" s="3"/>
      <c r="K1502" s="3"/>
      <c r="L1502" s="3"/>
      <c r="M1502" s="2"/>
      <c r="N1502" s="2"/>
    </row>
    <row r="1503" spans="5:14" x14ac:dyDescent="0.35">
      <c r="E1503" s="2"/>
      <c r="F1503" s="2"/>
      <c r="G1503" s="3"/>
      <c r="H1503" s="3"/>
      <c r="I1503" s="3"/>
      <c r="J1503" s="3"/>
      <c r="K1503" s="3"/>
      <c r="L1503" s="3"/>
      <c r="M1503" s="2"/>
      <c r="N1503" s="2"/>
    </row>
    <row r="1504" spans="5:14" x14ac:dyDescent="0.35">
      <c r="E1504" s="2"/>
      <c r="F1504" s="2"/>
      <c r="G1504" s="3"/>
      <c r="H1504" s="3"/>
      <c r="I1504" s="3"/>
      <c r="J1504" s="3"/>
      <c r="K1504" s="3"/>
      <c r="L1504" s="3"/>
      <c r="M1504" s="2"/>
      <c r="N1504" s="2"/>
    </row>
    <row r="1505" spans="5:14" x14ac:dyDescent="0.35">
      <c r="E1505" s="2"/>
      <c r="F1505" s="2"/>
      <c r="G1505" s="3"/>
      <c r="H1505" s="3"/>
      <c r="I1505" s="3"/>
      <c r="J1505" s="3"/>
      <c r="K1505" s="3"/>
      <c r="L1505" s="3"/>
      <c r="M1505" s="2"/>
      <c r="N1505" s="2"/>
    </row>
    <row r="1506" spans="5:14" x14ac:dyDescent="0.35">
      <c r="E1506" s="2"/>
      <c r="F1506" s="2"/>
      <c r="G1506" s="3"/>
      <c r="H1506" s="3"/>
      <c r="I1506" s="3"/>
      <c r="J1506" s="3"/>
      <c r="K1506" s="3"/>
      <c r="L1506" s="3"/>
      <c r="M1506" s="2"/>
      <c r="N1506" s="2"/>
    </row>
    <row r="1507" spans="5:14" x14ac:dyDescent="0.35">
      <c r="E1507" s="2"/>
      <c r="F1507" s="2"/>
      <c r="G1507" s="3"/>
      <c r="H1507" s="3"/>
      <c r="I1507" s="3"/>
      <c r="J1507" s="3"/>
      <c r="K1507" s="3"/>
      <c r="L1507" s="3"/>
      <c r="M1507" s="2"/>
      <c r="N1507" s="2"/>
    </row>
    <row r="1508" spans="5:14" x14ac:dyDescent="0.35">
      <c r="E1508" s="2"/>
      <c r="F1508" s="2"/>
      <c r="G1508" s="3"/>
      <c r="H1508" s="3"/>
      <c r="I1508" s="3"/>
      <c r="J1508" s="3"/>
      <c r="K1508" s="3"/>
      <c r="L1508" s="3"/>
      <c r="M1508" s="2"/>
      <c r="N1508" s="2"/>
    </row>
    <row r="1509" spans="5:14" x14ac:dyDescent="0.35">
      <c r="E1509" s="2"/>
      <c r="F1509" s="2"/>
      <c r="G1509" s="3"/>
      <c r="H1509" s="3"/>
      <c r="I1509" s="3"/>
      <c r="J1509" s="3"/>
      <c r="K1509" s="3"/>
      <c r="L1509" s="3"/>
      <c r="M1509" s="2"/>
      <c r="N1509" s="2"/>
    </row>
    <row r="1510" spans="5:14" x14ac:dyDescent="0.35">
      <c r="E1510" s="2"/>
      <c r="F1510" s="2"/>
      <c r="G1510" s="3"/>
      <c r="H1510" s="3"/>
      <c r="I1510" s="3"/>
      <c r="J1510" s="3"/>
      <c r="K1510" s="3"/>
      <c r="L1510" s="3"/>
      <c r="M1510" s="2"/>
      <c r="N1510" s="2"/>
    </row>
    <row r="1511" spans="5:14" x14ac:dyDescent="0.35">
      <c r="E1511" s="2"/>
      <c r="F1511" s="2"/>
      <c r="G1511" s="3"/>
      <c r="H1511" s="3"/>
      <c r="I1511" s="3"/>
      <c r="J1511" s="3"/>
      <c r="K1511" s="3"/>
      <c r="L1511" s="3"/>
      <c r="M1511" s="2"/>
      <c r="N1511" s="2"/>
    </row>
    <row r="1512" spans="5:14" x14ac:dyDescent="0.35">
      <c r="E1512" s="2"/>
      <c r="F1512" s="2"/>
      <c r="G1512" s="3"/>
      <c r="H1512" s="3"/>
      <c r="I1512" s="3"/>
      <c r="J1512" s="3"/>
      <c r="K1512" s="3"/>
      <c r="L1512" s="3"/>
      <c r="M1512" s="2"/>
      <c r="N1512" s="2"/>
    </row>
    <row r="1513" spans="5:14" x14ac:dyDescent="0.35">
      <c r="E1513" s="2"/>
      <c r="F1513" s="2"/>
      <c r="G1513" s="3"/>
      <c r="H1513" s="3"/>
      <c r="I1513" s="3"/>
      <c r="J1513" s="3"/>
      <c r="K1513" s="3"/>
      <c r="L1513" s="3"/>
      <c r="M1513" s="2"/>
      <c r="N1513" s="2"/>
    </row>
    <row r="1514" spans="5:14" x14ac:dyDescent="0.35">
      <c r="E1514" s="2"/>
      <c r="F1514" s="2"/>
      <c r="G1514" s="3"/>
      <c r="H1514" s="3"/>
      <c r="I1514" s="3"/>
      <c r="J1514" s="3"/>
      <c r="K1514" s="3"/>
      <c r="L1514" s="3"/>
      <c r="M1514" s="2"/>
      <c r="N1514" s="2"/>
    </row>
    <row r="1515" spans="5:14" x14ac:dyDescent="0.35">
      <c r="E1515" s="2"/>
      <c r="F1515" s="2"/>
      <c r="G1515" s="3"/>
      <c r="H1515" s="3"/>
      <c r="I1515" s="3"/>
      <c r="J1515" s="3"/>
      <c r="K1515" s="3"/>
      <c r="L1515" s="3"/>
      <c r="M1515" s="2"/>
      <c r="N1515" s="2"/>
    </row>
    <row r="1516" spans="5:14" x14ac:dyDescent="0.35">
      <c r="E1516" s="2"/>
      <c r="F1516" s="2"/>
      <c r="G1516" s="3"/>
      <c r="H1516" s="3"/>
      <c r="I1516" s="3"/>
      <c r="J1516" s="3"/>
      <c r="K1516" s="3"/>
      <c r="L1516" s="3"/>
      <c r="M1516" s="2"/>
      <c r="N1516" s="2"/>
    </row>
    <row r="1517" spans="5:14" x14ac:dyDescent="0.35">
      <c r="E1517" s="2"/>
      <c r="F1517" s="2"/>
      <c r="G1517" s="3"/>
      <c r="H1517" s="3"/>
      <c r="I1517" s="3"/>
      <c r="J1517" s="3"/>
      <c r="K1517" s="3"/>
      <c r="L1517" s="3"/>
      <c r="M1517" s="2"/>
      <c r="N1517" s="2"/>
    </row>
    <row r="1518" spans="5:14" x14ac:dyDescent="0.35">
      <c r="E1518" s="2"/>
      <c r="F1518" s="2"/>
      <c r="G1518" s="3"/>
      <c r="H1518" s="3"/>
      <c r="I1518" s="3"/>
      <c r="J1518" s="3"/>
      <c r="K1518" s="3"/>
      <c r="L1518" s="3"/>
      <c r="M1518" s="2"/>
      <c r="N1518" s="2"/>
    </row>
    <row r="1519" spans="5:14" x14ac:dyDescent="0.35">
      <c r="E1519" s="2"/>
      <c r="F1519" s="2"/>
      <c r="G1519" s="3"/>
      <c r="H1519" s="3"/>
      <c r="I1519" s="3"/>
      <c r="J1519" s="3"/>
      <c r="K1519" s="3"/>
      <c r="L1519" s="3"/>
      <c r="M1519" s="2"/>
      <c r="N1519" s="2"/>
    </row>
    <row r="1520" spans="5:14" x14ac:dyDescent="0.35">
      <c r="E1520" s="2"/>
      <c r="F1520" s="2"/>
      <c r="G1520" s="3"/>
      <c r="H1520" s="3"/>
      <c r="I1520" s="3"/>
      <c r="J1520" s="3"/>
      <c r="K1520" s="3"/>
      <c r="L1520" s="3"/>
      <c r="M1520" s="2"/>
      <c r="N1520" s="2"/>
    </row>
    <row r="1521" spans="5:14" x14ac:dyDescent="0.35">
      <c r="E1521" s="2"/>
      <c r="F1521" s="2"/>
      <c r="G1521" s="3"/>
      <c r="H1521" s="3"/>
      <c r="I1521" s="3"/>
      <c r="J1521" s="3"/>
      <c r="K1521" s="3"/>
      <c r="L1521" s="3"/>
      <c r="M1521" s="2"/>
      <c r="N1521" s="2"/>
    </row>
    <row r="1522" spans="5:14" x14ac:dyDescent="0.35">
      <c r="E1522" s="2"/>
      <c r="F1522" s="2"/>
      <c r="G1522" s="3"/>
      <c r="H1522" s="3"/>
      <c r="I1522" s="3"/>
      <c r="J1522" s="3"/>
      <c r="K1522" s="3"/>
      <c r="L1522" s="3"/>
      <c r="M1522" s="2"/>
      <c r="N1522" s="2"/>
    </row>
    <row r="1523" spans="5:14" x14ac:dyDescent="0.35">
      <c r="E1523" s="2"/>
      <c r="F1523" s="2"/>
      <c r="G1523" s="3"/>
      <c r="H1523" s="3"/>
      <c r="I1523" s="3"/>
      <c r="J1523" s="3"/>
      <c r="K1523" s="3"/>
      <c r="L1523" s="3"/>
      <c r="M1523" s="2"/>
      <c r="N1523" s="2"/>
    </row>
    <row r="1524" spans="5:14" x14ac:dyDescent="0.35">
      <c r="E1524" s="2"/>
      <c r="F1524" s="2"/>
      <c r="G1524" s="3"/>
      <c r="H1524" s="3"/>
      <c r="I1524" s="3"/>
      <c r="J1524" s="3"/>
      <c r="K1524" s="3"/>
      <c r="L1524" s="3"/>
      <c r="M1524" s="2"/>
      <c r="N1524" s="2"/>
    </row>
    <row r="1525" spans="5:14" x14ac:dyDescent="0.35">
      <c r="E1525" s="2"/>
      <c r="F1525" s="2"/>
      <c r="G1525" s="3"/>
      <c r="H1525" s="3"/>
      <c r="I1525" s="3"/>
      <c r="J1525" s="3"/>
      <c r="K1525" s="3"/>
      <c r="L1525" s="3"/>
      <c r="M1525" s="2"/>
      <c r="N1525" s="2"/>
    </row>
    <row r="1526" spans="5:14" x14ac:dyDescent="0.35">
      <c r="E1526" s="2"/>
      <c r="F1526" s="2"/>
      <c r="G1526" s="3"/>
      <c r="H1526" s="3"/>
      <c r="I1526" s="3"/>
      <c r="J1526" s="3"/>
      <c r="K1526" s="3"/>
      <c r="L1526" s="3"/>
      <c r="M1526" s="2"/>
      <c r="N1526" s="2"/>
    </row>
    <row r="1527" spans="5:14" x14ac:dyDescent="0.35">
      <c r="E1527" s="2"/>
      <c r="F1527" s="2"/>
      <c r="G1527" s="3"/>
      <c r="H1527" s="3"/>
      <c r="I1527" s="3"/>
      <c r="J1527" s="3"/>
      <c r="K1527" s="3"/>
      <c r="L1527" s="3"/>
      <c r="M1527" s="2"/>
      <c r="N1527" s="2"/>
    </row>
    <row r="1528" spans="5:14" x14ac:dyDescent="0.35">
      <c r="E1528" s="2"/>
      <c r="F1528" s="2"/>
      <c r="G1528" s="3"/>
      <c r="H1528" s="3"/>
      <c r="I1528" s="3"/>
      <c r="J1528" s="3"/>
      <c r="K1528" s="3"/>
      <c r="L1528" s="3"/>
      <c r="M1528" s="2"/>
      <c r="N1528" s="2"/>
    </row>
    <row r="1529" spans="5:14" x14ac:dyDescent="0.35">
      <c r="E1529" s="2"/>
      <c r="F1529" s="2"/>
      <c r="G1529" s="3"/>
      <c r="H1529" s="3"/>
      <c r="I1529" s="3"/>
      <c r="J1529" s="3"/>
      <c r="K1529" s="3"/>
      <c r="L1529" s="3"/>
      <c r="M1529" s="2"/>
      <c r="N1529" s="2"/>
    </row>
    <row r="1530" spans="5:14" x14ac:dyDescent="0.35">
      <c r="E1530" s="2"/>
      <c r="F1530" s="2"/>
      <c r="G1530" s="3"/>
      <c r="H1530" s="3"/>
      <c r="I1530" s="3"/>
      <c r="J1530" s="3"/>
      <c r="K1530" s="3"/>
      <c r="L1530" s="3"/>
      <c r="M1530" s="2"/>
      <c r="N1530" s="2"/>
    </row>
    <row r="1531" spans="5:14" x14ac:dyDescent="0.35">
      <c r="E1531" s="2"/>
      <c r="F1531" s="2"/>
      <c r="G1531" s="3"/>
      <c r="H1531" s="3"/>
      <c r="I1531" s="3"/>
      <c r="J1531" s="3"/>
      <c r="K1531" s="3"/>
      <c r="L1531" s="3"/>
      <c r="M1531" s="2"/>
      <c r="N1531" s="2"/>
    </row>
    <row r="1532" spans="5:14" x14ac:dyDescent="0.35">
      <c r="E1532" s="2"/>
      <c r="F1532" s="2"/>
      <c r="G1532" s="3"/>
      <c r="H1532" s="3"/>
      <c r="I1532" s="3"/>
      <c r="J1532" s="3"/>
      <c r="K1532" s="3"/>
      <c r="L1532" s="3"/>
      <c r="M1532" s="2"/>
      <c r="N1532" s="2"/>
    </row>
    <row r="1533" spans="5:14" x14ac:dyDescent="0.35">
      <c r="E1533" s="2"/>
      <c r="F1533" s="2"/>
      <c r="G1533" s="3"/>
      <c r="H1533" s="3"/>
      <c r="I1533" s="3"/>
      <c r="J1533" s="3"/>
      <c r="K1533" s="3"/>
      <c r="L1533" s="3"/>
      <c r="M1533" s="2"/>
      <c r="N1533" s="2"/>
    </row>
    <row r="1534" spans="5:14" x14ac:dyDescent="0.35">
      <c r="E1534" s="2"/>
      <c r="F1534" s="2"/>
      <c r="G1534" s="3"/>
      <c r="H1534" s="3"/>
      <c r="I1534" s="3"/>
      <c r="J1534" s="3"/>
      <c r="K1534" s="3"/>
      <c r="L1534" s="3"/>
      <c r="M1534" s="2"/>
      <c r="N1534" s="2"/>
    </row>
    <row r="1535" spans="5:14" x14ac:dyDescent="0.35">
      <c r="E1535" s="2"/>
      <c r="F1535" s="2"/>
      <c r="G1535" s="3"/>
      <c r="H1535" s="3"/>
      <c r="I1535" s="3"/>
      <c r="J1535" s="3"/>
      <c r="K1535" s="3"/>
      <c r="L1535" s="3"/>
      <c r="M1535" s="2"/>
      <c r="N1535" s="2"/>
    </row>
    <row r="1536" spans="5:14" x14ac:dyDescent="0.35">
      <c r="E1536" s="2"/>
      <c r="F1536" s="2"/>
      <c r="G1536" s="3"/>
      <c r="H1536" s="3"/>
      <c r="I1536" s="3"/>
      <c r="J1536" s="3"/>
      <c r="K1536" s="3"/>
      <c r="L1536" s="3"/>
      <c r="M1536" s="2"/>
      <c r="N1536" s="2"/>
    </row>
    <row r="1537" spans="5:14" x14ac:dyDescent="0.35">
      <c r="E1537" s="2"/>
      <c r="F1537" s="2"/>
      <c r="G1537" s="3"/>
      <c r="H1537" s="3"/>
      <c r="I1537" s="3"/>
      <c r="J1537" s="3"/>
      <c r="K1537" s="3"/>
      <c r="L1537" s="3"/>
      <c r="M1537" s="2"/>
      <c r="N1537" s="2"/>
    </row>
    <row r="1538" spans="5:14" x14ac:dyDescent="0.35">
      <c r="E1538" s="2"/>
      <c r="F1538" s="2"/>
      <c r="G1538" s="3"/>
      <c r="H1538" s="3"/>
      <c r="I1538" s="3"/>
      <c r="J1538" s="3"/>
      <c r="K1538" s="3"/>
      <c r="L1538" s="3"/>
      <c r="M1538" s="2"/>
      <c r="N1538" s="2"/>
    </row>
    <row r="1539" spans="5:14" x14ac:dyDescent="0.35">
      <c r="E1539" s="2"/>
      <c r="F1539" s="2"/>
      <c r="G1539" s="3"/>
      <c r="H1539" s="3"/>
      <c r="I1539" s="3"/>
      <c r="J1539" s="3"/>
      <c r="K1539" s="3"/>
      <c r="L1539" s="3"/>
      <c r="M1539" s="2"/>
      <c r="N1539" s="2"/>
    </row>
    <row r="1540" spans="5:14" x14ac:dyDescent="0.35">
      <c r="E1540" s="2"/>
      <c r="F1540" s="2"/>
      <c r="G1540" s="3"/>
      <c r="H1540" s="3"/>
      <c r="I1540" s="3"/>
      <c r="J1540" s="3"/>
      <c r="K1540" s="3"/>
      <c r="L1540" s="3"/>
      <c r="M1540" s="2"/>
      <c r="N1540" s="2"/>
    </row>
    <row r="1541" spans="5:14" x14ac:dyDescent="0.35">
      <c r="E1541" s="2"/>
      <c r="F1541" s="2"/>
      <c r="G1541" s="3"/>
      <c r="H1541" s="3"/>
      <c r="I1541" s="3"/>
      <c r="J1541" s="3"/>
      <c r="K1541" s="3"/>
      <c r="L1541" s="3"/>
      <c r="M1541" s="2"/>
      <c r="N1541" s="2"/>
    </row>
    <row r="1542" spans="5:14" x14ac:dyDescent="0.35">
      <c r="E1542" s="2"/>
      <c r="F1542" s="2"/>
      <c r="G1542" s="3"/>
      <c r="H1542" s="3"/>
      <c r="I1542" s="3"/>
      <c r="J1542" s="3"/>
      <c r="K1542" s="3"/>
      <c r="L1542" s="3"/>
      <c r="M1542" s="2"/>
      <c r="N1542" s="2"/>
    </row>
    <row r="1543" spans="5:14" x14ac:dyDescent="0.35">
      <c r="E1543" s="2"/>
      <c r="F1543" s="2"/>
      <c r="G1543" s="3"/>
      <c r="H1543" s="3"/>
      <c r="I1543" s="3"/>
      <c r="J1543" s="3"/>
      <c r="K1543" s="3"/>
      <c r="L1543" s="3"/>
      <c r="M1543" s="2"/>
      <c r="N1543" s="2"/>
    </row>
    <row r="1544" spans="5:14" x14ac:dyDescent="0.35">
      <c r="E1544" s="2"/>
      <c r="F1544" s="2"/>
      <c r="G1544" s="3"/>
      <c r="H1544" s="3"/>
      <c r="I1544" s="3"/>
      <c r="J1544" s="3"/>
      <c r="K1544" s="3"/>
      <c r="L1544" s="3"/>
      <c r="M1544" s="2"/>
      <c r="N1544" s="2"/>
    </row>
    <row r="1545" spans="5:14" x14ac:dyDescent="0.35">
      <c r="E1545" s="2"/>
      <c r="F1545" s="2"/>
      <c r="G1545" s="3"/>
      <c r="H1545" s="3"/>
      <c r="I1545" s="3"/>
      <c r="J1545" s="3"/>
      <c r="K1545" s="3"/>
      <c r="L1545" s="3"/>
      <c r="M1545" s="2"/>
      <c r="N1545" s="2"/>
    </row>
    <row r="1546" spans="5:14" x14ac:dyDescent="0.35">
      <c r="E1546" s="2"/>
      <c r="F1546" s="2"/>
      <c r="G1546" s="3"/>
      <c r="H1546" s="3"/>
      <c r="I1546" s="3"/>
      <c r="J1546" s="3"/>
      <c r="K1546" s="3"/>
      <c r="L1546" s="3"/>
      <c r="M1546" s="2"/>
      <c r="N1546" s="2"/>
    </row>
    <row r="1547" spans="5:14" x14ac:dyDescent="0.35">
      <c r="E1547" s="2"/>
      <c r="F1547" s="2"/>
      <c r="G1547" s="3"/>
      <c r="H1547" s="3"/>
      <c r="I1547" s="3"/>
      <c r="J1547" s="3"/>
      <c r="K1547" s="3"/>
      <c r="L1547" s="3"/>
      <c r="M1547" s="2"/>
      <c r="N1547" s="2"/>
    </row>
    <row r="1548" spans="5:14" x14ac:dyDescent="0.35">
      <c r="E1548" s="2"/>
      <c r="F1548" s="2"/>
      <c r="G1548" s="3"/>
      <c r="H1548" s="3"/>
      <c r="I1548" s="3"/>
      <c r="J1548" s="3"/>
      <c r="K1548" s="3"/>
      <c r="L1548" s="3"/>
      <c r="M1548" s="2"/>
      <c r="N1548" s="2"/>
    </row>
    <row r="1549" spans="5:14" x14ac:dyDescent="0.35">
      <c r="E1549" s="2"/>
      <c r="F1549" s="2"/>
      <c r="G1549" s="3"/>
      <c r="H1549" s="3"/>
      <c r="I1549" s="3"/>
      <c r="J1549" s="3"/>
      <c r="K1549" s="3"/>
      <c r="L1549" s="3"/>
      <c r="M1549" s="2"/>
      <c r="N1549" s="2"/>
    </row>
    <row r="1550" spans="5:14" x14ac:dyDescent="0.35">
      <c r="E1550" s="2"/>
      <c r="F1550" s="2"/>
      <c r="G1550" s="3"/>
      <c r="H1550" s="3"/>
      <c r="I1550" s="3"/>
      <c r="J1550" s="3"/>
      <c r="K1550" s="3"/>
      <c r="L1550" s="3"/>
      <c r="M1550" s="2"/>
      <c r="N1550" s="2"/>
    </row>
    <row r="1551" spans="5:14" x14ac:dyDescent="0.35">
      <c r="E1551" s="2"/>
      <c r="F1551" s="2"/>
      <c r="G1551" s="3"/>
      <c r="H1551" s="3"/>
      <c r="I1551" s="3"/>
      <c r="J1551" s="3"/>
      <c r="K1551" s="3"/>
      <c r="L1551" s="3"/>
      <c r="M1551" s="2"/>
      <c r="N1551" s="2"/>
    </row>
    <row r="1552" spans="5:14" x14ac:dyDescent="0.35">
      <c r="E1552" s="2"/>
      <c r="F1552" s="2"/>
      <c r="G1552" s="3"/>
      <c r="H1552" s="3"/>
      <c r="I1552" s="3"/>
      <c r="J1552" s="3"/>
      <c r="K1552" s="3"/>
      <c r="L1552" s="3"/>
      <c r="M1552" s="2"/>
      <c r="N1552" s="2"/>
    </row>
    <row r="1553" spans="5:14" x14ac:dyDescent="0.35">
      <c r="E1553" s="2"/>
      <c r="F1553" s="2"/>
      <c r="G1553" s="3"/>
      <c r="H1553" s="3"/>
      <c r="I1553" s="3"/>
      <c r="J1553" s="3"/>
      <c r="K1553" s="3"/>
      <c r="L1553" s="3"/>
      <c r="M1553" s="2"/>
      <c r="N1553" s="2"/>
    </row>
    <row r="1554" spans="5:14" x14ac:dyDescent="0.35">
      <c r="E1554" s="2"/>
      <c r="F1554" s="2"/>
      <c r="G1554" s="3"/>
      <c r="H1554" s="3"/>
      <c r="I1554" s="3"/>
      <c r="J1554" s="3"/>
      <c r="K1554" s="3"/>
      <c r="L1554" s="3"/>
      <c r="M1554" s="2"/>
      <c r="N1554" s="2"/>
    </row>
    <row r="1555" spans="5:14" x14ac:dyDescent="0.35">
      <c r="E1555" s="2"/>
      <c r="F1555" s="2"/>
      <c r="G1555" s="3"/>
      <c r="H1555" s="3"/>
      <c r="I1555" s="3"/>
      <c r="J1555" s="3"/>
      <c r="K1555" s="3"/>
      <c r="L1555" s="3"/>
      <c r="M1555" s="2"/>
      <c r="N1555" s="2"/>
    </row>
    <row r="1556" spans="5:14" x14ac:dyDescent="0.35">
      <c r="E1556" s="2"/>
      <c r="F1556" s="2"/>
      <c r="G1556" s="3"/>
      <c r="H1556" s="3"/>
      <c r="I1556" s="3"/>
      <c r="J1556" s="3"/>
      <c r="K1556" s="3"/>
      <c r="L1556" s="3"/>
      <c r="M1556" s="2"/>
      <c r="N1556" s="2"/>
    </row>
    <row r="1557" spans="5:14" x14ac:dyDescent="0.35">
      <c r="E1557" s="2"/>
      <c r="F1557" s="2"/>
      <c r="G1557" s="3"/>
      <c r="H1557" s="3"/>
      <c r="I1557" s="3"/>
      <c r="J1557" s="3"/>
      <c r="K1557" s="3"/>
      <c r="L1557" s="3"/>
      <c r="M1557" s="2"/>
      <c r="N1557" s="2"/>
    </row>
    <row r="1558" spans="5:14" x14ac:dyDescent="0.35">
      <c r="E1558" s="2"/>
      <c r="F1558" s="2"/>
      <c r="G1558" s="3"/>
      <c r="H1558" s="3"/>
      <c r="I1558" s="3"/>
      <c r="J1558" s="3"/>
      <c r="K1558" s="3"/>
      <c r="L1558" s="3"/>
      <c r="M1558" s="2"/>
      <c r="N1558" s="2"/>
    </row>
    <row r="1559" spans="5:14" x14ac:dyDescent="0.35">
      <c r="E1559" s="2"/>
      <c r="F1559" s="2"/>
      <c r="G1559" s="3"/>
      <c r="H1559" s="3"/>
      <c r="I1559" s="3"/>
      <c r="J1559" s="3"/>
      <c r="K1559" s="3"/>
      <c r="L1559" s="3"/>
      <c r="M1559" s="2"/>
      <c r="N1559" s="2"/>
    </row>
    <row r="1560" spans="5:14" x14ac:dyDescent="0.35">
      <c r="E1560" s="2"/>
      <c r="F1560" s="2"/>
      <c r="G1560" s="3"/>
      <c r="H1560" s="3"/>
      <c r="I1560" s="3"/>
      <c r="J1560" s="3"/>
      <c r="K1560" s="3"/>
      <c r="L1560" s="3"/>
      <c r="M1560" s="2"/>
      <c r="N1560" s="2"/>
    </row>
    <row r="1561" spans="5:14" x14ac:dyDescent="0.35">
      <c r="E1561" s="2"/>
      <c r="F1561" s="2"/>
      <c r="G1561" s="3"/>
      <c r="H1561" s="3"/>
      <c r="I1561" s="3"/>
      <c r="J1561" s="3"/>
      <c r="K1561" s="3"/>
      <c r="L1561" s="3"/>
      <c r="M1561" s="2"/>
      <c r="N1561" s="2"/>
    </row>
    <row r="1562" spans="5:14" x14ac:dyDescent="0.35">
      <c r="E1562" s="2"/>
      <c r="F1562" s="2"/>
      <c r="G1562" s="3"/>
      <c r="H1562" s="3"/>
      <c r="I1562" s="3"/>
      <c r="J1562" s="3"/>
      <c r="K1562" s="3"/>
      <c r="L1562" s="3"/>
      <c r="M1562" s="2"/>
      <c r="N1562" s="2"/>
    </row>
    <row r="1563" spans="5:14" x14ac:dyDescent="0.35">
      <c r="E1563" s="2"/>
      <c r="F1563" s="2"/>
      <c r="G1563" s="3"/>
      <c r="H1563" s="3"/>
      <c r="I1563" s="3"/>
      <c r="J1563" s="3"/>
      <c r="K1563" s="3"/>
      <c r="L1563" s="3"/>
      <c r="M1563" s="2"/>
      <c r="N1563" s="2"/>
    </row>
    <row r="1564" spans="5:14" x14ac:dyDescent="0.35">
      <c r="E1564" s="2"/>
      <c r="F1564" s="2"/>
      <c r="G1564" s="3"/>
      <c r="H1564" s="3"/>
      <c r="I1564" s="3"/>
      <c r="J1564" s="3"/>
      <c r="K1564" s="3"/>
      <c r="L1564" s="3"/>
      <c r="M1564" s="2"/>
      <c r="N1564" s="2"/>
    </row>
    <row r="1565" spans="5:14" x14ac:dyDescent="0.35">
      <c r="E1565" s="2"/>
      <c r="F1565" s="2"/>
      <c r="G1565" s="3"/>
      <c r="H1565" s="3"/>
      <c r="I1565" s="3"/>
      <c r="J1565" s="3"/>
      <c r="K1565" s="3"/>
      <c r="L1565" s="3"/>
      <c r="M1565" s="2"/>
      <c r="N1565" s="2"/>
    </row>
    <row r="1566" spans="5:14" x14ac:dyDescent="0.35">
      <c r="E1566" s="2"/>
      <c r="F1566" s="2"/>
      <c r="G1566" s="3"/>
      <c r="H1566" s="3"/>
      <c r="I1566" s="3"/>
      <c r="J1566" s="3"/>
      <c r="K1566" s="3"/>
      <c r="L1566" s="3"/>
      <c r="M1566" s="2"/>
      <c r="N1566" s="2"/>
    </row>
    <row r="1567" spans="5:14" x14ac:dyDescent="0.35">
      <c r="E1567" s="2"/>
      <c r="F1567" s="2"/>
      <c r="G1567" s="3"/>
      <c r="H1567" s="3"/>
      <c r="I1567" s="3"/>
      <c r="J1567" s="3"/>
      <c r="K1567" s="3"/>
      <c r="L1567" s="3"/>
      <c r="M1567" s="2"/>
      <c r="N1567" s="2"/>
    </row>
    <row r="1568" spans="5:14" x14ac:dyDescent="0.35">
      <c r="E1568" s="2"/>
      <c r="F1568" s="2"/>
      <c r="G1568" s="3"/>
      <c r="H1568" s="3"/>
      <c r="I1568" s="3"/>
      <c r="J1568" s="3"/>
      <c r="K1568" s="3"/>
      <c r="L1568" s="3"/>
      <c r="M1568" s="2"/>
      <c r="N1568" s="2"/>
    </row>
    <row r="1569" spans="5:14" x14ac:dyDescent="0.35">
      <c r="E1569" s="2"/>
      <c r="F1569" s="2"/>
      <c r="G1569" s="3"/>
      <c r="H1569" s="3"/>
      <c r="I1569" s="3"/>
      <c r="J1569" s="3"/>
      <c r="K1569" s="3"/>
      <c r="L1569" s="3"/>
      <c r="M1569" s="2"/>
      <c r="N1569" s="2"/>
    </row>
    <row r="1570" spans="5:14" x14ac:dyDescent="0.35">
      <c r="E1570" s="2"/>
      <c r="F1570" s="2"/>
      <c r="G1570" s="3"/>
      <c r="H1570" s="3"/>
      <c r="I1570" s="3"/>
      <c r="J1570" s="3"/>
      <c r="K1570" s="3"/>
      <c r="L1570" s="3"/>
      <c r="M1570" s="2"/>
      <c r="N1570" s="2"/>
    </row>
    <row r="1571" spans="5:14" x14ac:dyDescent="0.35">
      <c r="E1571" s="2"/>
      <c r="F1571" s="2"/>
      <c r="G1571" s="3"/>
      <c r="H1571" s="3"/>
      <c r="I1571" s="3"/>
      <c r="J1571" s="3"/>
      <c r="K1571" s="3"/>
      <c r="L1571" s="3"/>
      <c r="M1571" s="2"/>
      <c r="N1571" s="2"/>
    </row>
    <row r="1572" spans="5:14" x14ac:dyDescent="0.35">
      <c r="E1572" s="2"/>
      <c r="F1572" s="2"/>
      <c r="G1572" s="3"/>
      <c r="H1572" s="3"/>
      <c r="I1572" s="3"/>
      <c r="J1572" s="3"/>
      <c r="K1572" s="3"/>
      <c r="L1572" s="3"/>
      <c r="M1572" s="2"/>
      <c r="N1572" s="2"/>
    </row>
    <row r="1573" spans="5:14" x14ac:dyDescent="0.35">
      <c r="E1573" s="2"/>
      <c r="F1573" s="2"/>
      <c r="G1573" s="3"/>
      <c r="H1573" s="3"/>
      <c r="I1573" s="3"/>
      <c r="J1573" s="3"/>
      <c r="K1573" s="3"/>
      <c r="L1573" s="3"/>
      <c r="M1573" s="2"/>
      <c r="N1573" s="2"/>
    </row>
    <row r="1574" spans="5:14" x14ac:dyDescent="0.35">
      <c r="E1574" s="2"/>
      <c r="F1574" s="2"/>
      <c r="G1574" s="3"/>
      <c r="H1574" s="3"/>
      <c r="I1574" s="3"/>
      <c r="J1574" s="3"/>
      <c r="K1574" s="3"/>
      <c r="L1574" s="3"/>
      <c r="M1574" s="2"/>
      <c r="N1574" s="2"/>
    </row>
    <row r="1575" spans="5:14" x14ac:dyDescent="0.35">
      <c r="E1575" s="2"/>
      <c r="F1575" s="2"/>
      <c r="G1575" s="3"/>
      <c r="H1575" s="3"/>
      <c r="I1575" s="3"/>
      <c r="J1575" s="3"/>
      <c r="K1575" s="3"/>
      <c r="L1575" s="3"/>
      <c r="M1575" s="2"/>
      <c r="N1575" s="2"/>
    </row>
    <row r="1576" spans="5:14" x14ac:dyDescent="0.35">
      <c r="E1576" s="2"/>
      <c r="F1576" s="2"/>
      <c r="G1576" s="3"/>
      <c r="H1576" s="3"/>
      <c r="I1576" s="3"/>
      <c r="J1576" s="3"/>
      <c r="K1576" s="3"/>
      <c r="L1576" s="3"/>
      <c r="M1576" s="2"/>
      <c r="N1576" s="2"/>
    </row>
    <row r="1577" spans="5:14" x14ac:dyDescent="0.35">
      <c r="E1577" s="2"/>
      <c r="F1577" s="2"/>
      <c r="G1577" s="3"/>
      <c r="H1577" s="3"/>
      <c r="I1577" s="3"/>
      <c r="J1577" s="3"/>
      <c r="K1577" s="3"/>
      <c r="L1577" s="3"/>
      <c r="M1577" s="2"/>
      <c r="N1577" s="2"/>
    </row>
    <row r="1578" spans="5:14" x14ac:dyDescent="0.35">
      <c r="E1578" s="2"/>
      <c r="F1578" s="2"/>
      <c r="G1578" s="3"/>
      <c r="H1578" s="3"/>
      <c r="I1578" s="3"/>
      <c r="J1578" s="3"/>
      <c r="K1578" s="3"/>
      <c r="L1578" s="3"/>
      <c r="M1578" s="2"/>
      <c r="N1578" s="2"/>
    </row>
    <row r="1579" spans="5:14" x14ac:dyDescent="0.35">
      <c r="E1579" s="2"/>
      <c r="F1579" s="2"/>
      <c r="G1579" s="3"/>
      <c r="H1579" s="3"/>
      <c r="I1579" s="3"/>
      <c r="J1579" s="3"/>
      <c r="K1579" s="3"/>
      <c r="L1579" s="3"/>
      <c r="M1579" s="2"/>
      <c r="N1579" s="2"/>
    </row>
    <row r="1580" spans="5:14" x14ac:dyDescent="0.35">
      <c r="E1580" s="2"/>
      <c r="F1580" s="2"/>
      <c r="G1580" s="3"/>
      <c r="H1580" s="3"/>
      <c r="I1580" s="3"/>
      <c r="J1580" s="3"/>
      <c r="K1580" s="3"/>
      <c r="L1580" s="3"/>
      <c r="M1580" s="2"/>
      <c r="N1580" s="2"/>
    </row>
    <row r="1581" spans="5:14" x14ac:dyDescent="0.35">
      <c r="E1581" s="2"/>
      <c r="F1581" s="2"/>
      <c r="G1581" s="3"/>
      <c r="H1581" s="3"/>
      <c r="I1581" s="3"/>
      <c r="J1581" s="3"/>
      <c r="K1581" s="3"/>
      <c r="L1581" s="3"/>
      <c r="M1581" s="2"/>
      <c r="N1581" s="2"/>
    </row>
    <row r="1582" spans="5:14" x14ac:dyDescent="0.35">
      <c r="E1582" s="2"/>
      <c r="F1582" s="2"/>
      <c r="G1582" s="3"/>
      <c r="H1582" s="3"/>
      <c r="I1582" s="3"/>
      <c r="J1582" s="3"/>
      <c r="K1582" s="3"/>
      <c r="L1582" s="3"/>
      <c r="M1582" s="2"/>
      <c r="N1582" s="2"/>
    </row>
    <row r="1583" spans="5:14" x14ac:dyDescent="0.35">
      <c r="E1583" s="2"/>
      <c r="F1583" s="2"/>
      <c r="G1583" s="3"/>
      <c r="H1583" s="3"/>
      <c r="I1583" s="3"/>
      <c r="J1583" s="3"/>
      <c r="K1583" s="3"/>
      <c r="L1583" s="3"/>
      <c r="M1583" s="2"/>
      <c r="N1583" s="2"/>
    </row>
    <row r="1584" spans="5:14" x14ac:dyDescent="0.35">
      <c r="E1584" s="2"/>
      <c r="F1584" s="2"/>
      <c r="G1584" s="3"/>
      <c r="H1584" s="3"/>
      <c r="I1584" s="3"/>
      <c r="J1584" s="3"/>
      <c r="K1584" s="3"/>
      <c r="L1584" s="3"/>
      <c r="M1584" s="2"/>
      <c r="N1584" s="2"/>
    </row>
    <row r="1585" spans="5:14" x14ac:dyDescent="0.35">
      <c r="E1585" s="2"/>
      <c r="F1585" s="2"/>
      <c r="G1585" s="3"/>
      <c r="H1585" s="3"/>
      <c r="I1585" s="3"/>
      <c r="J1585" s="3"/>
      <c r="K1585" s="3"/>
      <c r="L1585" s="3"/>
      <c r="M1585" s="2"/>
      <c r="N1585" s="2"/>
    </row>
    <row r="1586" spans="5:14" x14ac:dyDescent="0.35">
      <c r="E1586" s="2"/>
      <c r="F1586" s="2"/>
      <c r="G1586" s="3"/>
      <c r="H1586" s="3"/>
      <c r="I1586" s="3"/>
      <c r="J1586" s="3"/>
      <c r="K1586" s="3"/>
      <c r="L1586" s="3"/>
      <c r="M1586" s="2"/>
      <c r="N1586" s="2"/>
    </row>
    <row r="1587" spans="5:14" x14ac:dyDescent="0.35">
      <c r="E1587" s="2"/>
      <c r="F1587" s="2"/>
      <c r="G1587" s="3"/>
      <c r="H1587" s="3"/>
      <c r="I1587" s="3"/>
      <c r="J1587" s="3"/>
      <c r="K1587" s="3"/>
      <c r="L1587" s="3"/>
      <c r="M1587" s="2"/>
      <c r="N1587" s="2"/>
    </row>
    <row r="1588" spans="5:14" x14ac:dyDescent="0.35">
      <c r="E1588" s="2"/>
      <c r="F1588" s="2"/>
      <c r="G1588" s="3"/>
      <c r="H1588" s="3"/>
      <c r="I1588" s="3"/>
      <c r="J1588" s="3"/>
      <c r="K1588" s="3"/>
      <c r="L1588" s="3"/>
      <c r="M1588" s="2"/>
      <c r="N1588" s="2"/>
    </row>
    <row r="1589" spans="5:14" x14ac:dyDescent="0.35">
      <c r="E1589" s="2"/>
      <c r="F1589" s="2"/>
      <c r="G1589" s="3"/>
      <c r="H1589" s="3"/>
      <c r="I1589" s="3"/>
      <c r="J1589" s="3"/>
      <c r="K1589" s="3"/>
      <c r="L1589" s="3"/>
      <c r="M1589" s="2"/>
      <c r="N1589" s="2"/>
    </row>
    <row r="1590" spans="5:14" x14ac:dyDescent="0.35">
      <c r="E1590" s="2"/>
      <c r="F1590" s="2"/>
      <c r="G1590" s="3"/>
      <c r="H1590" s="3"/>
      <c r="I1590" s="3"/>
      <c r="J1590" s="3"/>
      <c r="K1590" s="3"/>
      <c r="L1590" s="3"/>
      <c r="M1590" s="2"/>
      <c r="N1590" s="2"/>
    </row>
    <row r="1591" spans="5:14" x14ac:dyDescent="0.35">
      <c r="E1591" s="2"/>
      <c r="F1591" s="2"/>
      <c r="G1591" s="3"/>
      <c r="H1591" s="3"/>
      <c r="I1591" s="3"/>
      <c r="J1591" s="3"/>
      <c r="K1591" s="3"/>
      <c r="L1591" s="3"/>
      <c r="M1591" s="2"/>
      <c r="N1591" s="2"/>
    </row>
    <row r="1592" spans="5:14" x14ac:dyDescent="0.35">
      <c r="E1592" s="2"/>
      <c r="F1592" s="2"/>
      <c r="G1592" s="3"/>
      <c r="H1592" s="3"/>
      <c r="I1592" s="3"/>
      <c r="J1592" s="3"/>
      <c r="K1592" s="3"/>
      <c r="L1592" s="3"/>
      <c r="M1592" s="2"/>
      <c r="N1592" s="2"/>
    </row>
    <row r="1593" spans="5:14" x14ac:dyDescent="0.35">
      <c r="E1593" s="2"/>
      <c r="F1593" s="2"/>
      <c r="G1593" s="3"/>
      <c r="H1593" s="3"/>
      <c r="I1593" s="3"/>
      <c r="J1593" s="3"/>
      <c r="K1593" s="3"/>
      <c r="L1593" s="3"/>
      <c r="M1593" s="2"/>
      <c r="N1593" s="2"/>
    </row>
    <row r="1594" spans="5:14" x14ac:dyDescent="0.35">
      <c r="E1594" s="2"/>
      <c r="F1594" s="2"/>
      <c r="G1594" s="3"/>
      <c r="H1594" s="3"/>
      <c r="I1594" s="3"/>
      <c r="J1594" s="3"/>
      <c r="K1594" s="3"/>
      <c r="L1594" s="3"/>
      <c r="M1594" s="2"/>
      <c r="N1594" s="2"/>
    </row>
    <row r="1595" spans="5:14" x14ac:dyDescent="0.35">
      <c r="E1595" s="2"/>
      <c r="F1595" s="2"/>
      <c r="G1595" s="3"/>
      <c r="H1595" s="3"/>
      <c r="I1595" s="3"/>
      <c r="J1595" s="3"/>
      <c r="K1595" s="3"/>
      <c r="L1595" s="3"/>
      <c r="M1595" s="2"/>
      <c r="N1595" s="2"/>
    </row>
    <row r="1596" spans="5:14" x14ac:dyDescent="0.35">
      <c r="E1596" s="2"/>
      <c r="F1596" s="2"/>
      <c r="G1596" s="3"/>
      <c r="H1596" s="3"/>
      <c r="I1596" s="3"/>
      <c r="J1596" s="3"/>
      <c r="K1596" s="3"/>
      <c r="L1596" s="3"/>
      <c r="M1596" s="2"/>
      <c r="N1596" s="2"/>
    </row>
    <row r="1597" spans="5:14" x14ac:dyDescent="0.35">
      <c r="E1597" s="2"/>
      <c r="F1597" s="2"/>
      <c r="G1597" s="3"/>
      <c r="H1597" s="3"/>
      <c r="I1597" s="3"/>
      <c r="J1597" s="3"/>
      <c r="K1597" s="3"/>
      <c r="L1597" s="3"/>
      <c r="M1597" s="2"/>
      <c r="N1597" s="2"/>
    </row>
    <row r="1598" spans="5:14" x14ac:dyDescent="0.35">
      <c r="E1598" s="2"/>
      <c r="F1598" s="2"/>
      <c r="G1598" s="3"/>
      <c r="H1598" s="3"/>
      <c r="I1598" s="3"/>
      <c r="J1598" s="3"/>
      <c r="K1598" s="3"/>
      <c r="L1598" s="3"/>
      <c r="M1598" s="2"/>
      <c r="N1598" s="2"/>
    </row>
    <row r="1599" spans="5:14" x14ac:dyDescent="0.35">
      <c r="E1599" s="2"/>
      <c r="F1599" s="2"/>
      <c r="G1599" s="3"/>
      <c r="H1599" s="3"/>
      <c r="I1599" s="3"/>
      <c r="J1599" s="3"/>
      <c r="K1599" s="3"/>
      <c r="L1599" s="3"/>
      <c r="M1599" s="2"/>
      <c r="N1599" s="2"/>
    </row>
    <row r="1600" spans="5:14" x14ac:dyDescent="0.35">
      <c r="E1600" s="2"/>
      <c r="F1600" s="2"/>
      <c r="G1600" s="3"/>
      <c r="H1600" s="3"/>
      <c r="I1600" s="3"/>
      <c r="J1600" s="3"/>
      <c r="K1600" s="3"/>
      <c r="L1600" s="3"/>
      <c r="M1600" s="2"/>
      <c r="N1600" s="2"/>
    </row>
    <row r="1601" spans="5:14" x14ac:dyDescent="0.35">
      <c r="E1601" s="2"/>
      <c r="F1601" s="2"/>
      <c r="G1601" s="3"/>
      <c r="H1601" s="3"/>
      <c r="I1601" s="3"/>
      <c r="J1601" s="3"/>
      <c r="K1601" s="3"/>
      <c r="L1601" s="3"/>
      <c r="M1601" s="2"/>
      <c r="N1601" s="2"/>
    </row>
    <row r="1602" spans="5:14" x14ac:dyDescent="0.35">
      <c r="E1602" s="2"/>
      <c r="F1602" s="2"/>
      <c r="G1602" s="3"/>
      <c r="H1602" s="3"/>
      <c r="I1602" s="3"/>
      <c r="J1602" s="3"/>
      <c r="K1602" s="3"/>
      <c r="L1602" s="3"/>
      <c r="M1602" s="2"/>
      <c r="N1602" s="2"/>
    </row>
    <row r="1603" spans="5:14" x14ac:dyDescent="0.35">
      <c r="E1603" s="2"/>
      <c r="F1603" s="2"/>
      <c r="G1603" s="3"/>
      <c r="H1603" s="3"/>
      <c r="I1603" s="3"/>
      <c r="J1603" s="3"/>
      <c r="K1603" s="3"/>
      <c r="L1603" s="3"/>
      <c r="M1603" s="2"/>
      <c r="N1603" s="2"/>
    </row>
    <row r="1604" spans="5:14" x14ac:dyDescent="0.35">
      <c r="E1604" s="2"/>
      <c r="F1604" s="2"/>
      <c r="G1604" s="3"/>
      <c r="H1604" s="3"/>
      <c r="I1604" s="3"/>
      <c r="J1604" s="3"/>
      <c r="K1604" s="3"/>
      <c r="L1604" s="3"/>
      <c r="M1604" s="2"/>
      <c r="N1604" s="2"/>
    </row>
    <row r="1605" spans="5:14" x14ac:dyDescent="0.35">
      <c r="E1605" s="2"/>
      <c r="F1605" s="2"/>
      <c r="G1605" s="3"/>
      <c r="H1605" s="3"/>
      <c r="I1605" s="3"/>
      <c r="J1605" s="3"/>
      <c r="K1605" s="3"/>
      <c r="L1605" s="3"/>
      <c r="M1605" s="2"/>
      <c r="N1605" s="2"/>
    </row>
    <row r="1606" spans="5:14" x14ac:dyDescent="0.35">
      <c r="E1606" s="2"/>
      <c r="F1606" s="2"/>
      <c r="G1606" s="3"/>
      <c r="H1606" s="3"/>
      <c r="I1606" s="3"/>
      <c r="J1606" s="3"/>
      <c r="K1606" s="3"/>
      <c r="L1606" s="3"/>
      <c r="M1606" s="2"/>
      <c r="N1606" s="2"/>
    </row>
    <row r="1607" spans="5:14" x14ac:dyDescent="0.35">
      <c r="E1607" s="2"/>
      <c r="F1607" s="2"/>
      <c r="G1607" s="3"/>
      <c r="H1607" s="3"/>
      <c r="I1607" s="3"/>
      <c r="J1607" s="3"/>
      <c r="K1607" s="3"/>
      <c r="L1607" s="3"/>
      <c r="M1607" s="2"/>
      <c r="N1607" s="2"/>
    </row>
    <row r="1608" spans="5:14" x14ac:dyDescent="0.35">
      <c r="E1608" s="2"/>
      <c r="F1608" s="2"/>
      <c r="G1608" s="3"/>
      <c r="H1608" s="3"/>
      <c r="I1608" s="3"/>
      <c r="J1608" s="3"/>
      <c r="K1608" s="3"/>
      <c r="L1608" s="3"/>
      <c r="M1608" s="2"/>
      <c r="N1608" s="2"/>
    </row>
    <row r="1609" spans="5:14" x14ac:dyDescent="0.35">
      <c r="E1609" s="2"/>
      <c r="F1609" s="2"/>
      <c r="G1609" s="3"/>
      <c r="H1609" s="3"/>
      <c r="I1609" s="3"/>
      <c r="J1609" s="3"/>
      <c r="K1609" s="3"/>
      <c r="L1609" s="3"/>
      <c r="M1609" s="2"/>
      <c r="N1609" s="2"/>
    </row>
    <row r="1610" spans="5:14" x14ac:dyDescent="0.35">
      <c r="E1610" s="2"/>
      <c r="F1610" s="2"/>
      <c r="G1610" s="3"/>
      <c r="H1610" s="3"/>
      <c r="I1610" s="3"/>
      <c r="J1610" s="3"/>
      <c r="K1610" s="3"/>
      <c r="L1610" s="3"/>
      <c r="M1610" s="2"/>
      <c r="N1610" s="2"/>
    </row>
    <row r="1611" spans="5:14" x14ac:dyDescent="0.35">
      <c r="E1611" s="2"/>
      <c r="F1611" s="2"/>
      <c r="G1611" s="3"/>
      <c r="H1611" s="3"/>
      <c r="I1611" s="3"/>
      <c r="J1611" s="3"/>
      <c r="K1611" s="3"/>
      <c r="L1611" s="3"/>
      <c r="M1611" s="2"/>
      <c r="N1611" s="2"/>
    </row>
    <row r="1612" spans="5:14" x14ac:dyDescent="0.35">
      <c r="E1612" s="2"/>
      <c r="F1612" s="2"/>
      <c r="G1612" s="3"/>
      <c r="H1612" s="3"/>
      <c r="I1612" s="3"/>
      <c r="J1612" s="3"/>
      <c r="K1612" s="3"/>
      <c r="L1612" s="3"/>
      <c r="M1612" s="2"/>
      <c r="N1612" s="2"/>
    </row>
    <row r="1613" spans="5:14" x14ac:dyDescent="0.35">
      <c r="E1613" s="2"/>
      <c r="F1613" s="2"/>
      <c r="G1613" s="3"/>
      <c r="H1613" s="3"/>
      <c r="I1613" s="3"/>
      <c r="J1613" s="3"/>
      <c r="K1613" s="3"/>
      <c r="L1613" s="3"/>
      <c r="M1613" s="2"/>
      <c r="N1613" s="2"/>
    </row>
    <row r="1614" spans="5:14" x14ac:dyDescent="0.35">
      <c r="E1614" s="2"/>
      <c r="F1614" s="2"/>
      <c r="G1614" s="3"/>
      <c r="H1614" s="3"/>
      <c r="I1614" s="3"/>
      <c r="J1614" s="3"/>
      <c r="K1614" s="3"/>
      <c r="L1614" s="3"/>
      <c r="M1614" s="2"/>
      <c r="N1614" s="2"/>
    </row>
    <row r="1615" spans="5:14" x14ac:dyDescent="0.35">
      <c r="E1615" s="2"/>
      <c r="F1615" s="2"/>
      <c r="G1615" s="3"/>
      <c r="H1615" s="3"/>
      <c r="I1615" s="3"/>
      <c r="J1615" s="3"/>
      <c r="K1615" s="3"/>
      <c r="L1615" s="3"/>
      <c r="M1615" s="2"/>
      <c r="N1615" s="2"/>
    </row>
    <row r="1616" spans="5:14" x14ac:dyDescent="0.35">
      <c r="E1616" s="2"/>
      <c r="F1616" s="2"/>
      <c r="G1616" s="3"/>
      <c r="H1616" s="3"/>
      <c r="I1616" s="3"/>
      <c r="J1616" s="3"/>
      <c r="K1616" s="3"/>
      <c r="L1616" s="3"/>
      <c r="M1616" s="2"/>
      <c r="N1616" s="2"/>
    </row>
    <row r="1617" spans="5:14" x14ac:dyDescent="0.35">
      <c r="E1617" s="2"/>
      <c r="F1617" s="2"/>
      <c r="G1617" s="3"/>
      <c r="H1617" s="3"/>
      <c r="I1617" s="3"/>
      <c r="J1617" s="3"/>
      <c r="K1617" s="3"/>
      <c r="L1617" s="3"/>
      <c r="M1617" s="2"/>
      <c r="N1617" s="2"/>
    </row>
    <row r="1618" spans="5:14" x14ac:dyDescent="0.35">
      <c r="E1618" s="2"/>
      <c r="F1618" s="2"/>
      <c r="G1618" s="3"/>
      <c r="H1618" s="3"/>
      <c r="I1618" s="3"/>
      <c r="J1618" s="3"/>
      <c r="K1618" s="3"/>
      <c r="L1618" s="3"/>
      <c r="M1618" s="2"/>
      <c r="N1618" s="2"/>
    </row>
    <row r="1619" spans="5:14" x14ac:dyDescent="0.35">
      <c r="E1619" s="2"/>
      <c r="F1619" s="2"/>
      <c r="G1619" s="3"/>
      <c r="H1619" s="3"/>
      <c r="I1619" s="3"/>
      <c r="J1619" s="3"/>
      <c r="K1619" s="3"/>
      <c r="L1619" s="3"/>
      <c r="M1619" s="2"/>
      <c r="N1619" s="2"/>
    </row>
    <row r="1620" spans="5:14" x14ac:dyDescent="0.35">
      <c r="E1620" s="2"/>
      <c r="F1620" s="2"/>
      <c r="G1620" s="3"/>
      <c r="H1620" s="3"/>
      <c r="I1620" s="3"/>
      <c r="J1620" s="3"/>
      <c r="K1620" s="3"/>
      <c r="L1620" s="3"/>
      <c r="M1620" s="2"/>
      <c r="N1620" s="2"/>
    </row>
    <row r="1621" spans="5:14" x14ac:dyDescent="0.35">
      <c r="E1621" s="2"/>
      <c r="F1621" s="2"/>
      <c r="G1621" s="3"/>
      <c r="H1621" s="3"/>
      <c r="I1621" s="3"/>
      <c r="J1621" s="3"/>
      <c r="K1621" s="3"/>
      <c r="L1621" s="3"/>
      <c r="M1621" s="2"/>
      <c r="N1621" s="2"/>
    </row>
    <row r="1622" spans="5:14" x14ac:dyDescent="0.35">
      <c r="E1622" s="2"/>
      <c r="F1622" s="2"/>
      <c r="G1622" s="3"/>
      <c r="H1622" s="3"/>
      <c r="I1622" s="3"/>
      <c r="J1622" s="3"/>
      <c r="K1622" s="3"/>
      <c r="L1622" s="3"/>
      <c r="M1622" s="2"/>
      <c r="N1622" s="2"/>
    </row>
    <row r="1623" spans="5:14" x14ac:dyDescent="0.35">
      <c r="E1623" s="2"/>
      <c r="F1623" s="2"/>
      <c r="G1623" s="3"/>
      <c r="H1623" s="3"/>
      <c r="I1623" s="3"/>
      <c r="J1623" s="3"/>
      <c r="K1623" s="3"/>
      <c r="L1623" s="3"/>
      <c r="M1623" s="2"/>
      <c r="N1623" s="2"/>
    </row>
    <row r="1624" spans="5:14" x14ac:dyDescent="0.35">
      <c r="E1624" s="2"/>
      <c r="F1624" s="2"/>
      <c r="G1624" s="3"/>
      <c r="H1624" s="3"/>
      <c r="I1624" s="3"/>
      <c r="J1624" s="3"/>
      <c r="K1624" s="3"/>
      <c r="L1624" s="3"/>
      <c r="M1624" s="2"/>
      <c r="N1624" s="2"/>
    </row>
    <row r="1625" spans="5:14" x14ac:dyDescent="0.35">
      <c r="E1625" s="2"/>
      <c r="F1625" s="2"/>
      <c r="G1625" s="3"/>
      <c r="H1625" s="3"/>
      <c r="I1625" s="3"/>
      <c r="J1625" s="3"/>
      <c r="K1625" s="3"/>
      <c r="L1625" s="3"/>
      <c r="M1625" s="2"/>
      <c r="N1625" s="2"/>
    </row>
    <row r="1626" spans="5:14" x14ac:dyDescent="0.35">
      <c r="E1626" s="2"/>
      <c r="F1626" s="2"/>
      <c r="G1626" s="3"/>
      <c r="H1626" s="3"/>
      <c r="I1626" s="3"/>
      <c r="J1626" s="3"/>
      <c r="K1626" s="3"/>
      <c r="L1626" s="3"/>
      <c r="M1626" s="2"/>
      <c r="N1626" s="2"/>
    </row>
    <row r="1627" spans="5:14" x14ac:dyDescent="0.35">
      <c r="E1627" s="2"/>
      <c r="F1627" s="2"/>
      <c r="G1627" s="3"/>
      <c r="H1627" s="3"/>
      <c r="I1627" s="3"/>
      <c r="J1627" s="3"/>
      <c r="K1627" s="3"/>
      <c r="L1627" s="3"/>
      <c r="M1627" s="2"/>
      <c r="N1627" s="2"/>
    </row>
    <row r="1628" spans="5:14" x14ac:dyDescent="0.35">
      <c r="E1628" s="2"/>
      <c r="F1628" s="2"/>
      <c r="G1628" s="3"/>
      <c r="H1628" s="3"/>
      <c r="I1628" s="3"/>
      <c r="J1628" s="3"/>
      <c r="K1628" s="3"/>
      <c r="L1628" s="3"/>
      <c r="M1628" s="2"/>
      <c r="N1628" s="2"/>
    </row>
    <row r="1629" spans="5:14" x14ac:dyDescent="0.35">
      <c r="E1629" s="2"/>
      <c r="F1629" s="2"/>
      <c r="G1629" s="3"/>
      <c r="H1629" s="3"/>
      <c r="I1629" s="3"/>
      <c r="J1629" s="3"/>
      <c r="K1629" s="3"/>
      <c r="L1629" s="3"/>
      <c r="M1629" s="2"/>
      <c r="N1629" s="2"/>
    </row>
    <row r="1630" spans="5:14" x14ac:dyDescent="0.35">
      <c r="E1630" s="2"/>
      <c r="F1630" s="2"/>
      <c r="G1630" s="3"/>
      <c r="H1630" s="3"/>
      <c r="I1630" s="3"/>
      <c r="J1630" s="3"/>
      <c r="K1630" s="3"/>
      <c r="L1630" s="3"/>
      <c r="M1630" s="2"/>
      <c r="N1630" s="2"/>
    </row>
    <row r="1631" spans="5:14" x14ac:dyDescent="0.35">
      <c r="E1631" s="2"/>
      <c r="F1631" s="2"/>
      <c r="G1631" s="3"/>
      <c r="H1631" s="3"/>
      <c r="I1631" s="3"/>
      <c r="J1631" s="3"/>
      <c r="K1631" s="3"/>
      <c r="L1631" s="3"/>
      <c r="M1631" s="2"/>
      <c r="N1631" s="2"/>
    </row>
    <row r="1632" spans="5:14" x14ac:dyDescent="0.35">
      <c r="E1632" s="2"/>
      <c r="F1632" s="2"/>
      <c r="G1632" s="3"/>
      <c r="H1632" s="3"/>
      <c r="I1632" s="3"/>
      <c r="J1632" s="3"/>
      <c r="K1632" s="3"/>
      <c r="L1632" s="3"/>
      <c r="M1632" s="2"/>
      <c r="N1632" s="2"/>
    </row>
    <row r="1633" spans="5:14" x14ac:dyDescent="0.35">
      <c r="E1633" s="2"/>
      <c r="F1633" s="2"/>
      <c r="G1633" s="3"/>
      <c r="H1633" s="3"/>
      <c r="I1633" s="3"/>
      <c r="J1633" s="3"/>
      <c r="K1633" s="3"/>
      <c r="L1633" s="3"/>
      <c r="M1633" s="2"/>
      <c r="N1633" s="2"/>
    </row>
    <row r="1634" spans="5:14" x14ac:dyDescent="0.35">
      <c r="E1634" s="2"/>
      <c r="F1634" s="2"/>
      <c r="G1634" s="3"/>
      <c r="H1634" s="3"/>
      <c r="I1634" s="3"/>
      <c r="J1634" s="3"/>
      <c r="K1634" s="3"/>
      <c r="L1634" s="3"/>
      <c r="M1634" s="2"/>
      <c r="N1634" s="2"/>
    </row>
    <row r="1635" spans="5:14" x14ac:dyDescent="0.35">
      <c r="E1635" s="2"/>
      <c r="F1635" s="2"/>
      <c r="G1635" s="3"/>
      <c r="H1635" s="3"/>
      <c r="I1635" s="3"/>
      <c r="J1635" s="3"/>
      <c r="K1635" s="3"/>
      <c r="L1635" s="3"/>
      <c r="M1635" s="2"/>
      <c r="N1635" s="2"/>
    </row>
    <row r="1636" spans="5:14" x14ac:dyDescent="0.35">
      <c r="E1636" s="2"/>
      <c r="F1636" s="2"/>
      <c r="G1636" s="3"/>
      <c r="H1636" s="3"/>
      <c r="I1636" s="3"/>
      <c r="J1636" s="3"/>
      <c r="K1636" s="3"/>
      <c r="L1636" s="3"/>
      <c r="M1636" s="2"/>
      <c r="N1636" s="2"/>
    </row>
    <row r="1637" spans="5:14" x14ac:dyDescent="0.35">
      <c r="E1637" s="2"/>
      <c r="F1637" s="2"/>
      <c r="G1637" s="3"/>
      <c r="H1637" s="3"/>
      <c r="I1637" s="3"/>
      <c r="J1637" s="3"/>
      <c r="K1637" s="3"/>
      <c r="L1637" s="3"/>
      <c r="M1637" s="2"/>
      <c r="N1637" s="2"/>
    </row>
    <row r="1638" spans="5:14" x14ac:dyDescent="0.35">
      <c r="E1638" s="2"/>
      <c r="F1638" s="2"/>
      <c r="G1638" s="3"/>
      <c r="H1638" s="3"/>
      <c r="I1638" s="3"/>
      <c r="J1638" s="3"/>
      <c r="K1638" s="3"/>
      <c r="L1638" s="3"/>
      <c r="M1638" s="2"/>
      <c r="N1638" s="2"/>
    </row>
    <row r="1639" spans="5:14" x14ac:dyDescent="0.35">
      <c r="E1639" s="2"/>
      <c r="F1639" s="2"/>
      <c r="G1639" s="3"/>
      <c r="H1639" s="3"/>
      <c r="I1639" s="3"/>
      <c r="J1639" s="3"/>
      <c r="K1639" s="3"/>
      <c r="L1639" s="3"/>
      <c r="M1639" s="2"/>
      <c r="N1639" s="2"/>
    </row>
    <row r="1640" spans="5:14" x14ac:dyDescent="0.35">
      <c r="E1640" s="2"/>
      <c r="F1640" s="2"/>
      <c r="G1640" s="3"/>
      <c r="H1640" s="3"/>
      <c r="I1640" s="3"/>
      <c r="J1640" s="3"/>
      <c r="K1640" s="3"/>
      <c r="L1640" s="3"/>
      <c r="M1640" s="2"/>
      <c r="N1640" s="2"/>
    </row>
    <row r="1641" spans="5:14" x14ac:dyDescent="0.35">
      <c r="E1641" s="2"/>
      <c r="F1641" s="2"/>
      <c r="G1641" s="3"/>
      <c r="H1641" s="3"/>
      <c r="I1641" s="3"/>
      <c r="J1641" s="3"/>
      <c r="K1641" s="3"/>
      <c r="L1641" s="3"/>
      <c r="M1641" s="2"/>
      <c r="N1641" s="2"/>
    </row>
    <row r="1642" spans="5:14" x14ac:dyDescent="0.35">
      <c r="E1642" s="2"/>
      <c r="F1642" s="2"/>
      <c r="G1642" s="3"/>
      <c r="H1642" s="3"/>
      <c r="I1642" s="3"/>
      <c r="J1642" s="3"/>
      <c r="K1642" s="3"/>
      <c r="L1642" s="3"/>
      <c r="M1642" s="2"/>
      <c r="N1642" s="2"/>
    </row>
    <row r="1643" spans="5:14" x14ac:dyDescent="0.35">
      <c r="E1643" s="2"/>
      <c r="F1643" s="2"/>
      <c r="G1643" s="3"/>
      <c r="H1643" s="3"/>
      <c r="I1643" s="3"/>
      <c r="J1643" s="3"/>
      <c r="K1643" s="3"/>
      <c r="L1643" s="3"/>
      <c r="M1643" s="2"/>
      <c r="N1643" s="2"/>
    </row>
    <row r="1644" spans="5:14" x14ac:dyDescent="0.35">
      <c r="E1644" s="2"/>
      <c r="F1644" s="2"/>
      <c r="G1644" s="3"/>
      <c r="H1644" s="3"/>
      <c r="I1644" s="3"/>
      <c r="J1644" s="3"/>
      <c r="K1644" s="3"/>
      <c r="L1644" s="3"/>
      <c r="M1644" s="2"/>
      <c r="N1644" s="2"/>
    </row>
    <row r="1645" spans="5:14" x14ac:dyDescent="0.35">
      <c r="E1645" s="2"/>
      <c r="F1645" s="2"/>
      <c r="G1645" s="3"/>
      <c r="H1645" s="3"/>
      <c r="I1645" s="3"/>
      <c r="J1645" s="3"/>
      <c r="K1645" s="3"/>
      <c r="L1645" s="3"/>
      <c r="M1645" s="2"/>
      <c r="N1645" s="2"/>
    </row>
    <row r="1646" spans="5:14" x14ac:dyDescent="0.35">
      <c r="E1646" s="2"/>
      <c r="F1646" s="2"/>
      <c r="G1646" s="3"/>
      <c r="H1646" s="3"/>
      <c r="I1646" s="3"/>
      <c r="J1646" s="3"/>
      <c r="K1646" s="3"/>
      <c r="L1646" s="3"/>
      <c r="M1646" s="2"/>
      <c r="N1646" s="2"/>
    </row>
    <row r="1647" spans="5:14" x14ac:dyDescent="0.35">
      <c r="E1647" s="2"/>
      <c r="F1647" s="2"/>
      <c r="G1647" s="3"/>
      <c r="H1647" s="3"/>
      <c r="I1647" s="3"/>
      <c r="J1647" s="3"/>
      <c r="K1647" s="3"/>
      <c r="L1647" s="3"/>
      <c r="M1647" s="2"/>
      <c r="N1647" s="2"/>
    </row>
    <row r="1648" spans="5:14" x14ac:dyDescent="0.35">
      <c r="E1648" s="2"/>
      <c r="F1648" s="2"/>
      <c r="G1648" s="3"/>
      <c r="H1648" s="3"/>
      <c r="I1648" s="3"/>
      <c r="J1648" s="3"/>
      <c r="K1648" s="3"/>
      <c r="L1648" s="3"/>
      <c r="M1648" s="2"/>
      <c r="N1648" s="2"/>
    </row>
    <row r="1649" spans="5:14" x14ac:dyDescent="0.35">
      <c r="E1649" s="2"/>
      <c r="F1649" s="2"/>
      <c r="G1649" s="3"/>
      <c r="H1649" s="3"/>
      <c r="I1649" s="3"/>
      <c r="J1649" s="3"/>
      <c r="K1649" s="3"/>
      <c r="L1649" s="3"/>
      <c r="M1649" s="2"/>
      <c r="N1649" s="2"/>
    </row>
    <row r="1650" spans="5:14" x14ac:dyDescent="0.35">
      <c r="E1650" s="2"/>
      <c r="F1650" s="2"/>
      <c r="G1650" s="3"/>
      <c r="H1650" s="3"/>
      <c r="I1650" s="3"/>
      <c r="J1650" s="3"/>
      <c r="K1650" s="3"/>
      <c r="L1650" s="3"/>
      <c r="M1650" s="2"/>
      <c r="N1650" s="2"/>
    </row>
    <row r="1651" spans="5:14" x14ac:dyDescent="0.35">
      <c r="E1651" s="2"/>
      <c r="F1651" s="2"/>
      <c r="G1651" s="3"/>
      <c r="H1651" s="3"/>
      <c r="I1651" s="3"/>
      <c r="J1651" s="3"/>
      <c r="K1651" s="3"/>
      <c r="L1651" s="3"/>
      <c r="M1651" s="2"/>
      <c r="N1651" s="2"/>
    </row>
    <row r="1652" spans="5:14" x14ac:dyDescent="0.35">
      <c r="E1652" s="2"/>
      <c r="F1652" s="2"/>
      <c r="G1652" s="3"/>
      <c r="H1652" s="3"/>
      <c r="I1652" s="3"/>
      <c r="J1652" s="3"/>
      <c r="K1652" s="3"/>
      <c r="L1652" s="3"/>
      <c r="M1652" s="2"/>
      <c r="N1652" s="2"/>
    </row>
    <row r="1653" spans="5:14" x14ac:dyDescent="0.35">
      <c r="E1653" s="2"/>
      <c r="F1653" s="2"/>
      <c r="G1653" s="3"/>
      <c r="H1653" s="3"/>
      <c r="I1653" s="3"/>
      <c r="J1653" s="3"/>
      <c r="K1653" s="3"/>
      <c r="L1653" s="3"/>
      <c r="M1653" s="2"/>
      <c r="N1653" s="2"/>
    </row>
    <row r="1654" spans="5:14" x14ac:dyDescent="0.35">
      <c r="E1654" s="2"/>
      <c r="F1654" s="2"/>
      <c r="G1654" s="3"/>
      <c r="H1654" s="3"/>
      <c r="I1654" s="3"/>
      <c r="J1654" s="3"/>
      <c r="K1654" s="3"/>
      <c r="L1654" s="3"/>
      <c r="M1654" s="2"/>
      <c r="N1654" s="2"/>
    </row>
    <row r="1655" spans="5:14" x14ac:dyDescent="0.35">
      <c r="E1655" s="2"/>
      <c r="F1655" s="2"/>
      <c r="G1655" s="3"/>
      <c r="H1655" s="3"/>
      <c r="I1655" s="3"/>
      <c r="J1655" s="3"/>
      <c r="K1655" s="3"/>
      <c r="L1655" s="3"/>
      <c r="M1655" s="2"/>
      <c r="N1655" s="2"/>
    </row>
    <row r="1656" spans="5:14" x14ac:dyDescent="0.35">
      <c r="E1656" s="2"/>
      <c r="F1656" s="2"/>
      <c r="G1656" s="3"/>
      <c r="H1656" s="3"/>
      <c r="I1656" s="3"/>
      <c r="J1656" s="3"/>
      <c r="K1656" s="3"/>
      <c r="L1656" s="3"/>
      <c r="M1656" s="2"/>
      <c r="N1656" s="2"/>
    </row>
    <row r="1657" spans="5:14" x14ac:dyDescent="0.35">
      <c r="E1657" s="2"/>
      <c r="F1657" s="2"/>
      <c r="G1657" s="3"/>
      <c r="H1657" s="3"/>
      <c r="I1657" s="3"/>
      <c r="J1657" s="3"/>
      <c r="K1657" s="3"/>
      <c r="L1657" s="3"/>
      <c r="M1657" s="2"/>
      <c r="N1657" s="2"/>
    </row>
    <row r="1658" spans="5:14" x14ac:dyDescent="0.35">
      <c r="E1658" s="2"/>
      <c r="F1658" s="2"/>
      <c r="G1658" s="3"/>
      <c r="H1658" s="3"/>
      <c r="I1658" s="3"/>
      <c r="J1658" s="3"/>
      <c r="K1658" s="3"/>
      <c r="L1658" s="3"/>
      <c r="M1658" s="2"/>
      <c r="N1658" s="2"/>
    </row>
    <row r="1659" spans="5:14" x14ac:dyDescent="0.35">
      <c r="E1659" s="2"/>
      <c r="F1659" s="2"/>
      <c r="G1659" s="3"/>
      <c r="H1659" s="3"/>
      <c r="I1659" s="3"/>
      <c r="J1659" s="3"/>
      <c r="K1659" s="3"/>
      <c r="L1659" s="3"/>
      <c r="M1659" s="2"/>
      <c r="N1659" s="2"/>
    </row>
    <row r="1660" spans="5:14" x14ac:dyDescent="0.35">
      <c r="E1660" s="2"/>
      <c r="F1660" s="2"/>
      <c r="G1660" s="3"/>
      <c r="H1660" s="3"/>
      <c r="I1660" s="3"/>
      <c r="J1660" s="3"/>
      <c r="K1660" s="3"/>
      <c r="L1660" s="3"/>
      <c r="M1660" s="2"/>
      <c r="N1660" s="2"/>
    </row>
    <row r="1661" spans="5:14" x14ac:dyDescent="0.35">
      <c r="E1661" s="2"/>
      <c r="F1661" s="2"/>
      <c r="G1661" s="3"/>
      <c r="H1661" s="3"/>
      <c r="I1661" s="3"/>
      <c r="J1661" s="3"/>
      <c r="K1661" s="3"/>
      <c r="L1661" s="3"/>
      <c r="M1661" s="2"/>
      <c r="N1661" s="2"/>
    </row>
    <row r="1662" spans="5:14" x14ac:dyDescent="0.35">
      <c r="E1662" s="2"/>
      <c r="F1662" s="2"/>
      <c r="G1662" s="3"/>
      <c r="H1662" s="3"/>
      <c r="I1662" s="3"/>
      <c r="J1662" s="3"/>
      <c r="K1662" s="3"/>
      <c r="L1662" s="3"/>
      <c r="M1662" s="2"/>
      <c r="N1662" s="2"/>
    </row>
    <row r="1663" spans="5:14" x14ac:dyDescent="0.35">
      <c r="E1663" s="2"/>
      <c r="F1663" s="2"/>
      <c r="G1663" s="3"/>
      <c r="H1663" s="3"/>
      <c r="I1663" s="3"/>
      <c r="J1663" s="3"/>
      <c r="K1663" s="3"/>
      <c r="L1663" s="3"/>
      <c r="M1663" s="2"/>
      <c r="N1663" s="2"/>
    </row>
    <row r="1664" spans="5:14" x14ac:dyDescent="0.35">
      <c r="E1664" s="2"/>
      <c r="F1664" s="2"/>
      <c r="G1664" s="3"/>
      <c r="H1664" s="3"/>
      <c r="I1664" s="3"/>
      <c r="J1664" s="3"/>
      <c r="K1664" s="3"/>
      <c r="L1664" s="3"/>
      <c r="M1664" s="2"/>
      <c r="N1664" s="2"/>
    </row>
    <row r="1665" spans="5:14" x14ac:dyDescent="0.35">
      <c r="E1665" s="2"/>
      <c r="F1665" s="2"/>
      <c r="G1665" s="3"/>
      <c r="H1665" s="3"/>
      <c r="I1665" s="3"/>
      <c r="J1665" s="3"/>
      <c r="K1665" s="3"/>
      <c r="L1665" s="3"/>
      <c r="M1665" s="2"/>
      <c r="N1665" s="2"/>
    </row>
    <row r="1666" spans="5:14" x14ac:dyDescent="0.35">
      <c r="E1666" s="2"/>
      <c r="F1666" s="2"/>
      <c r="G1666" s="3"/>
      <c r="H1666" s="3"/>
      <c r="I1666" s="3"/>
      <c r="J1666" s="3"/>
      <c r="K1666" s="3"/>
      <c r="L1666" s="3"/>
      <c r="M1666" s="2"/>
      <c r="N1666" s="2"/>
    </row>
    <row r="1667" spans="5:14" x14ac:dyDescent="0.35">
      <c r="E1667" s="2"/>
      <c r="F1667" s="2"/>
      <c r="G1667" s="3"/>
      <c r="H1667" s="3"/>
      <c r="I1667" s="3"/>
      <c r="J1667" s="3"/>
      <c r="K1667" s="3"/>
      <c r="L1667" s="3"/>
      <c r="M1667" s="2"/>
      <c r="N1667" s="2"/>
    </row>
    <row r="1668" spans="5:14" x14ac:dyDescent="0.35">
      <c r="E1668" s="2"/>
      <c r="F1668" s="2"/>
      <c r="G1668" s="3"/>
      <c r="H1668" s="3"/>
      <c r="I1668" s="3"/>
      <c r="J1668" s="3"/>
      <c r="K1668" s="3"/>
      <c r="L1668" s="3"/>
      <c r="M1668" s="2"/>
      <c r="N1668" s="2"/>
    </row>
    <row r="1669" spans="5:14" x14ac:dyDescent="0.35">
      <c r="E1669" s="2"/>
      <c r="F1669" s="2"/>
      <c r="G1669" s="3"/>
      <c r="H1669" s="3"/>
      <c r="I1669" s="3"/>
      <c r="J1669" s="3"/>
      <c r="K1669" s="3"/>
      <c r="L1669" s="3"/>
      <c r="M1669" s="2"/>
      <c r="N1669" s="2"/>
    </row>
    <row r="1670" spans="5:14" x14ac:dyDescent="0.35">
      <c r="E1670" s="2"/>
      <c r="F1670" s="2"/>
      <c r="G1670" s="3"/>
      <c r="H1670" s="3"/>
      <c r="I1670" s="3"/>
      <c r="J1670" s="3"/>
      <c r="K1670" s="3"/>
      <c r="L1670" s="3"/>
      <c r="M1670" s="2"/>
      <c r="N1670" s="2"/>
    </row>
    <row r="1671" spans="5:14" x14ac:dyDescent="0.35">
      <c r="E1671" s="2"/>
      <c r="F1671" s="2"/>
      <c r="G1671" s="3"/>
      <c r="H1671" s="3"/>
      <c r="I1671" s="3"/>
      <c r="J1671" s="3"/>
      <c r="K1671" s="3"/>
      <c r="L1671" s="3"/>
      <c r="M1671" s="2"/>
      <c r="N1671" s="2"/>
    </row>
    <row r="1672" spans="5:14" x14ac:dyDescent="0.35">
      <c r="E1672" s="2"/>
      <c r="F1672" s="2"/>
      <c r="G1672" s="3"/>
      <c r="H1672" s="3"/>
      <c r="I1672" s="3"/>
      <c r="J1672" s="3"/>
      <c r="K1672" s="3"/>
      <c r="L1672" s="3"/>
      <c r="M1672" s="2"/>
      <c r="N1672" s="2"/>
    </row>
    <row r="1673" spans="5:14" x14ac:dyDescent="0.35">
      <c r="E1673" s="2"/>
      <c r="F1673" s="2"/>
      <c r="G1673" s="3"/>
      <c r="H1673" s="3"/>
      <c r="I1673" s="3"/>
      <c r="J1673" s="3"/>
      <c r="K1673" s="3"/>
      <c r="L1673" s="3"/>
      <c r="M1673" s="2"/>
      <c r="N1673" s="2"/>
    </row>
    <row r="1674" spans="5:14" x14ac:dyDescent="0.35">
      <c r="E1674" s="2"/>
      <c r="F1674" s="2"/>
      <c r="G1674" s="3"/>
      <c r="H1674" s="3"/>
      <c r="I1674" s="3"/>
      <c r="J1674" s="3"/>
      <c r="K1674" s="3"/>
      <c r="L1674" s="3"/>
      <c r="M1674" s="2"/>
      <c r="N1674" s="2"/>
    </row>
    <row r="1675" spans="5:14" x14ac:dyDescent="0.35">
      <c r="E1675" s="2"/>
      <c r="F1675" s="2"/>
      <c r="G1675" s="3"/>
      <c r="H1675" s="3"/>
      <c r="I1675" s="3"/>
      <c r="J1675" s="3"/>
      <c r="K1675" s="3"/>
      <c r="L1675" s="3"/>
      <c r="M1675" s="2"/>
      <c r="N1675" s="2"/>
    </row>
    <row r="1676" spans="5:14" x14ac:dyDescent="0.35">
      <c r="E1676" s="2"/>
      <c r="F1676" s="2"/>
      <c r="G1676" s="3"/>
      <c r="H1676" s="3"/>
      <c r="I1676" s="3"/>
      <c r="J1676" s="3"/>
      <c r="K1676" s="3"/>
      <c r="L1676" s="3"/>
      <c r="M1676" s="2"/>
      <c r="N1676" s="2"/>
    </row>
    <row r="1677" spans="5:14" x14ac:dyDescent="0.35">
      <c r="E1677" s="2"/>
      <c r="F1677" s="2"/>
      <c r="G1677" s="3"/>
      <c r="H1677" s="3"/>
      <c r="I1677" s="3"/>
      <c r="J1677" s="3"/>
      <c r="K1677" s="3"/>
      <c r="L1677" s="3"/>
      <c r="M1677" s="2"/>
      <c r="N1677" s="2"/>
    </row>
    <row r="1678" spans="5:14" x14ac:dyDescent="0.35">
      <c r="E1678" s="2"/>
      <c r="F1678" s="2"/>
      <c r="G1678" s="3"/>
      <c r="H1678" s="3"/>
      <c r="I1678" s="3"/>
      <c r="J1678" s="3"/>
      <c r="K1678" s="3"/>
      <c r="L1678" s="3"/>
      <c r="M1678" s="2"/>
      <c r="N1678" s="2"/>
    </row>
    <row r="1679" spans="5:14" x14ac:dyDescent="0.35">
      <c r="E1679" s="2"/>
      <c r="F1679" s="2"/>
      <c r="G1679" s="3"/>
      <c r="H1679" s="3"/>
      <c r="I1679" s="3"/>
      <c r="J1679" s="3"/>
      <c r="K1679" s="3"/>
      <c r="L1679" s="3"/>
      <c r="M1679" s="2"/>
      <c r="N1679" s="2"/>
    </row>
    <row r="1680" spans="5:14" x14ac:dyDescent="0.35">
      <c r="E1680" s="2"/>
      <c r="F1680" s="2"/>
      <c r="G1680" s="3"/>
      <c r="H1680" s="3"/>
      <c r="I1680" s="3"/>
      <c r="J1680" s="3"/>
      <c r="K1680" s="3"/>
      <c r="L1680" s="3"/>
      <c r="M1680" s="2"/>
      <c r="N1680" s="2"/>
    </row>
    <row r="1681" spans="5:14" x14ac:dyDescent="0.35">
      <c r="E1681" s="2"/>
      <c r="F1681" s="2"/>
      <c r="G1681" s="3"/>
      <c r="H1681" s="3"/>
      <c r="I1681" s="3"/>
      <c r="J1681" s="3"/>
      <c r="K1681" s="3"/>
      <c r="L1681" s="3"/>
      <c r="M1681" s="2"/>
      <c r="N1681" s="2"/>
    </row>
    <row r="1682" spans="5:14" x14ac:dyDescent="0.35">
      <c r="E1682" s="2"/>
      <c r="F1682" s="2"/>
      <c r="G1682" s="3"/>
      <c r="H1682" s="3"/>
      <c r="I1682" s="3"/>
      <c r="J1682" s="3"/>
      <c r="K1682" s="3"/>
      <c r="L1682" s="3"/>
      <c r="M1682" s="2"/>
      <c r="N1682" s="2"/>
    </row>
    <row r="1683" spans="5:14" x14ac:dyDescent="0.35">
      <c r="E1683" s="2"/>
      <c r="F1683" s="2"/>
      <c r="G1683" s="3"/>
      <c r="H1683" s="3"/>
      <c r="I1683" s="3"/>
      <c r="J1683" s="3"/>
      <c r="K1683" s="3"/>
      <c r="L1683" s="3"/>
      <c r="M1683" s="2"/>
      <c r="N1683" s="2"/>
    </row>
    <row r="1684" spans="5:14" x14ac:dyDescent="0.35">
      <c r="E1684" s="2"/>
      <c r="F1684" s="2"/>
      <c r="G1684" s="3"/>
      <c r="H1684" s="3"/>
      <c r="I1684" s="3"/>
      <c r="J1684" s="3"/>
      <c r="K1684" s="3"/>
      <c r="L1684" s="3"/>
      <c r="M1684" s="2"/>
      <c r="N1684" s="2"/>
    </row>
    <row r="1685" spans="5:14" x14ac:dyDescent="0.35">
      <c r="E1685" s="2"/>
      <c r="F1685" s="2"/>
      <c r="G1685" s="3"/>
      <c r="H1685" s="3"/>
      <c r="I1685" s="3"/>
      <c r="J1685" s="3"/>
      <c r="K1685" s="3"/>
      <c r="L1685" s="3"/>
      <c r="M1685" s="2"/>
      <c r="N1685" s="2"/>
    </row>
    <row r="1686" spans="5:14" x14ac:dyDescent="0.35">
      <c r="E1686" s="2"/>
      <c r="F1686" s="2"/>
      <c r="G1686" s="3"/>
      <c r="H1686" s="3"/>
      <c r="I1686" s="3"/>
      <c r="J1686" s="3"/>
      <c r="K1686" s="3"/>
      <c r="L1686" s="3"/>
      <c r="M1686" s="2"/>
      <c r="N1686" s="2"/>
    </row>
    <row r="1687" spans="5:14" x14ac:dyDescent="0.35">
      <c r="E1687" s="2"/>
      <c r="F1687" s="2"/>
      <c r="G1687" s="3"/>
      <c r="H1687" s="3"/>
      <c r="I1687" s="3"/>
      <c r="J1687" s="3"/>
      <c r="K1687" s="3"/>
      <c r="L1687" s="3"/>
      <c r="M1687" s="2"/>
      <c r="N1687" s="2"/>
    </row>
    <row r="1688" spans="5:14" x14ac:dyDescent="0.35">
      <c r="E1688" s="2"/>
      <c r="F1688" s="2"/>
      <c r="G1688" s="3"/>
      <c r="H1688" s="3"/>
      <c r="I1688" s="3"/>
      <c r="J1688" s="3"/>
      <c r="K1688" s="3"/>
      <c r="L1688" s="3"/>
      <c r="M1688" s="2"/>
      <c r="N1688" s="2"/>
    </row>
    <row r="1689" spans="5:14" x14ac:dyDescent="0.35">
      <c r="E1689" s="2"/>
      <c r="F1689" s="2"/>
      <c r="G1689" s="3"/>
      <c r="H1689" s="3"/>
      <c r="I1689" s="3"/>
      <c r="J1689" s="3"/>
      <c r="K1689" s="3"/>
      <c r="L1689" s="3"/>
      <c r="M1689" s="2"/>
      <c r="N1689" s="2"/>
    </row>
    <row r="1690" spans="5:14" x14ac:dyDescent="0.35">
      <c r="E1690" s="2"/>
      <c r="F1690" s="2"/>
      <c r="G1690" s="3"/>
      <c r="H1690" s="3"/>
      <c r="I1690" s="3"/>
      <c r="J1690" s="3"/>
      <c r="K1690" s="3"/>
      <c r="L1690" s="3"/>
      <c r="M1690" s="2"/>
      <c r="N1690" s="2"/>
    </row>
    <row r="1691" spans="5:14" x14ac:dyDescent="0.35">
      <c r="E1691" s="2"/>
      <c r="F1691" s="2"/>
      <c r="G1691" s="3"/>
      <c r="H1691" s="3"/>
      <c r="I1691" s="3"/>
      <c r="J1691" s="3"/>
      <c r="K1691" s="3"/>
      <c r="L1691" s="3"/>
      <c r="M1691" s="2"/>
      <c r="N1691" s="2"/>
    </row>
    <row r="1692" spans="5:14" x14ac:dyDescent="0.35">
      <c r="E1692" s="2"/>
      <c r="F1692" s="2"/>
      <c r="G1692" s="3"/>
      <c r="H1692" s="3"/>
      <c r="I1692" s="3"/>
      <c r="J1692" s="3"/>
      <c r="K1692" s="3"/>
      <c r="L1692" s="3"/>
      <c r="M1692" s="2"/>
      <c r="N1692" s="2"/>
    </row>
    <row r="1693" spans="5:14" x14ac:dyDescent="0.35">
      <c r="E1693" s="2"/>
      <c r="F1693" s="2"/>
      <c r="G1693" s="3"/>
      <c r="H1693" s="3"/>
      <c r="I1693" s="3"/>
      <c r="J1693" s="3"/>
      <c r="K1693" s="3"/>
      <c r="L1693" s="3"/>
      <c r="M1693" s="2"/>
      <c r="N1693" s="2"/>
    </row>
    <row r="1694" spans="5:14" x14ac:dyDescent="0.35">
      <c r="E1694" s="2"/>
      <c r="F1694" s="2"/>
      <c r="G1694" s="3"/>
      <c r="H1694" s="3"/>
      <c r="I1694" s="3"/>
      <c r="J1694" s="3"/>
      <c r="K1694" s="3"/>
      <c r="L1694" s="3"/>
      <c r="M1694" s="2"/>
      <c r="N1694" s="2"/>
    </row>
    <row r="1695" spans="5:14" x14ac:dyDescent="0.35">
      <c r="E1695" s="2"/>
      <c r="F1695" s="2"/>
      <c r="G1695" s="3"/>
      <c r="H1695" s="3"/>
      <c r="I1695" s="3"/>
      <c r="J1695" s="3"/>
      <c r="K1695" s="3"/>
      <c r="L1695" s="3"/>
      <c r="M1695" s="2"/>
      <c r="N1695" s="2"/>
    </row>
    <row r="1696" spans="5:14" x14ac:dyDescent="0.35">
      <c r="E1696" s="2"/>
      <c r="F1696" s="2"/>
      <c r="G1696" s="3"/>
      <c r="H1696" s="3"/>
      <c r="I1696" s="3"/>
      <c r="J1696" s="3"/>
      <c r="K1696" s="3"/>
      <c r="L1696" s="3"/>
      <c r="M1696" s="2"/>
      <c r="N1696" s="2"/>
    </row>
    <row r="1697" spans="5:14" x14ac:dyDescent="0.35">
      <c r="E1697" s="2"/>
      <c r="F1697" s="2"/>
      <c r="G1697" s="3"/>
      <c r="H1697" s="3"/>
      <c r="I1697" s="3"/>
      <c r="J1697" s="3"/>
      <c r="K1697" s="3"/>
      <c r="L1697" s="3"/>
      <c r="M1697" s="2"/>
      <c r="N1697" s="2"/>
    </row>
    <row r="1698" spans="5:14" x14ac:dyDescent="0.35">
      <c r="E1698" s="2"/>
      <c r="F1698" s="2"/>
      <c r="G1698" s="3"/>
      <c r="H1698" s="3"/>
      <c r="I1698" s="3"/>
      <c r="J1698" s="3"/>
      <c r="K1698" s="3"/>
      <c r="L1698" s="3"/>
      <c r="M1698" s="2"/>
      <c r="N1698" s="2"/>
    </row>
    <row r="1699" spans="5:14" x14ac:dyDescent="0.35">
      <c r="E1699" s="2"/>
      <c r="F1699" s="2"/>
      <c r="G1699" s="3"/>
      <c r="H1699" s="3"/>
      <c r="I1699" s="3"/>
      <c r="J1699" s="3"/>
      <c r="K1699" s="3"/>
      <c r="L1699" s="3"/>
      <c r="M1699" s="2"/>
      <c r="N1699" s="2"/>
    </row>
    <row r="1700" spans="5:14" x14ac:dyDescent="0.35">
      <c r="E1700" s="2"/>
      <c r="F1700" s="2"/>
      <c r="G1700" s="3"/>
      <c r="H1700" s="3"/>
      <c r="I1700" s="3"/>
      <c r="J1700" s="3"/>
      <c r="K1700" s="3"/>
      <c r="L1700" s="3"/>
      <c r="M1700" s="2"/>
      <c r="N1700" s="2"/>
    </row>
    <row r="1701" spans="5:14" x14ac:dyDescent="0.35">
      <c r="E1701" s="2"/>
      <c r="F1701" s="2"/>
      <c r="G1701" s="3"/>
      <c r="H1701" s="3"/>
      <c r="I1701" s="3"/>
      <c r="J1701" s="3"/>
      <c r="K1701" s="3"/>
      <c r="L1701" s="3"/>
      <c r="M1701" s="2"/>
      <c r="N1701" s="2"/>
    </row>
    <row r="1702" spans="5:14" x14ac:dyDescent="0.35">
      <c r="E1702" s="2"/>
      <c r="F1702" s="2"/>
      <c r="G1702" s="3"/>
      <c r="H1702" s="3"/>
      <c r="I1702" s="3"/>
      <c r="J1702" s="3"/>
      <c r="K1702" s="3"/>
      <c r="L1702" s="3"/>
      <c r="M1702" s="2"/>
      <c r="N1702" s="2"/>
    </row>
    <row r="1703" spans="5:14" x14ac:dyDescent="0.35">
      <c r="E1703" s="2"/>
      <c r="F1703" s="2"/>
      <c r="G1703" s="3"/>
      <c r="H1703" s="3"/>
      <c r="I1703" s="3"/>
      <c r="J1703" s="3"/>
      <c r="K1703" s="3"/>
      <c r="L1703" s="3"/>
      <c r="M1703" s="2"/>
      <c r="N1703" s="2"/>
    </row>
    <row r="1704" spans="5:14" x14ac:dyDescent="0.35">
      <c r="E1704" s="2"/>
      <c r="F1704" s="2"/>
      <c r="G1704" s="3"/>
      <c r="H1704" s="3"/>
      <c r="I1704" s="3"/>
      <c r="J1704" s="3"/>
      <c r="K1704" s="3"/>
      <c r="L1704" s="3"/>
      <c r="M1704" s="2"/>
      <c r="N1704" s="2"/>
    </row>
    <row r="1705" spans="5:14" x14ac:dyDescent="0.35">
      <c r="E1705" s="2"/>
      <c r="F1705" s="2"/>
      <c r="G1705" s="3"/>
      <c r="H1705" s="3"/>
      <c r="I1705" s="3"/>
      <c r="J1705" s="3"/>
      <c r="K1705" s="3"/>
      <c r="L1705" s="3"/>
      <c r="M1705" s="2"/>
      <c r="N1705" s="2"/>
    </row>
    <row r="1706" spans="5:14" x14ac:dyDescent="0.35">
      <c r="E1706" s="2"/>
      <c r="F1706" s="2"/>
      <c r="G1706" s="3"/>
      <c r="H1706" s="3"/>
      <c r="I1706" s="3"/>
      <c r="J1706" s="3"/>
      <c r="K1706" s="3"/>
      <c r="L1706" s="3"/>
      <c r="M1706" s="2"/>
      <c r="N1706" s="2"/>
    </row>
    <row r="1707" spans="5:14" x14ac:dyDescent="0.35">
      <c r="E1707" s="2"/>
      <c r="F1707" s="2"/>
      <c r="G1707" s="3"/>
      <c r="H1707" s="3"/>
      <c r="I1707" s="3"/>
      <c r="J1707" s="3"/>
      <c r="K1707" s="3"/>
      <c r="L1707" s="3"/>
      <c r="M1707" s="2"/>
      <c r="N1707" s="2"/>
    </row>
    <row r="1708" spans="5:14" x14ac:dyDescent="0.35">
      <c r="E1708" s="2"/>
      <c r="F1708" s="2"/>
      <c r="G1708" s="3"/>
      <c r="H1708" s="3"/>
      <c r="I1708" s="3"/>
      <c r="J1708" s="3"/>
      <c r="K1708" s="3"/>
      <c r="L1708" s="3"/>
      <c r="M1708" s="2"/>
      <c r="N1708" s="2"/>
    </row>
    <row r="1709" spans="5:14" x14ac:dyDescent="0.35">
      <c r="E1709" s="2"/>
      <c r="F1709" s="2"/>
      <c r="G1709" s="3"/>
      <c r="H1709" s="3"/>
      <c r="I1709" s="3"/>
      <c r="J1709" s="3"/>
      <c r="K1709" s="3"/>
      <c r="L1709" s="3"/>
      <c r="M1709" s="2"/>
      <c r="N1709" s="2"/>
    </row>
    <row r="1710" spans="5:14" x14ac:dyDescent="0.35">
      <c r="E1710" s="2"/>
      <c r="F1710" s="2"/>
      <c r="G1710" s="3"/>
      <c r="H1710" s="3"/>
      <c r="I1710" s="3"/>
      <c r="J1710" s="3"/>
      <c r="K1710" s="3"/>
      <c r="L1710" s="3"/>
      <c r="M1710" s="2"/>
      <c r="N1710" s="2"/>
    </row>
    <row r="1711" spans="5:14" x14ac:dyDescent="0.35">
      <c r="E1711" s="2"/>
      <c r="F1711" s="2"/>
      <c r="G1711" s="3"/>
      <c r="H1711" s="3"/>
      <c r="I1711" s="3"/>
      <c r="J1711" s="3"/>
      <c r="K1711" s="3"/>
      <c r="L1711" s="3"/>
      <c r="M1711" s="2"/>
      <c r="N1711" s="2"/>
    </row>
    <row r="1712" spans="5:14" x14ac:dyDescent="0.35">
      <c r="E1712" s="2"/>
      <c r="F1712" s="2"/>
      <c r="G1712" s="3"/>
      <c r="H1712" s="3"/>
      <c r="I1712" s="3"/>
      <c r="J1712" s="3"/>
      <c r="K1712" s="3"/>
      <c r="L1712" s="3"/>
      <c r="M1712" s="2"/>
      <c r="N1712" s="2"/>
    </row>
    <row r="1713" spans="5:14" x14ac:dyDescent="0.35">
      <c r="E1713" s="2"/>
      <c r="F1713" s="2"/>
      <c r="G1713" s="3"/>
      <c r="H1713" s="3"/>
      <c r="I1713" s="3"/>
      <c r="J1713" s="3"/>
      <c r="K1713" s="3"/>
      <c r="L1713" s="3"/>
      <c r="M1713" s="2"/>
      <c r="N1713" s="2"/>
    </row>
    <row r="1714" spans="5:14" x14ac:dyDescent="0.35">
      <c r="E1714" s="2"/>
      <c r="F1714" s="2"/>
      <c r="G1714" s="3"/>
      <c r="H1714" s="3"/>
      <c r="I1714" s="3"/>
      <c r="J1714" s="3"/>
      <c r="K1714" s="3"/>
      <c r="L1714" s="3"/>
      <c r="M1714" s="2"/>
      <c r="N1714" s="2"/>
    </row>
    <row r="1715" spans="5:14" x14ac:dyDescent="0.35">
      <c r="E1715" s="2"/>
      <c r="F1715" s="2"/>
      <c r="G1715" s="3"/>
      <c r="H1715" s="3"/>
      <c r="I1715" s="3"/>
      <c r="J1715" s="3"/>
      <c r="K1715" s="3"/>
      <c r="L1715" s="3"/>
      <c r="M1715" s="2"/>
      <c r="N1715" s="2"/>
    </row>
    <row r="1716" spans="5:14" x14ac:dyDescent="0.35">
      <c r="E1716" s="2"/>
      <c r="F1716" s="2"/>
      <c r="G1716" s="3"/>
      <c r="H1716" s="3"/>
      <c r="I1716" s="3"/>
      <c r="J1716" s="3"/>
      <c r="K1716" s="3"/>
      <c r="L1716" s="3"/>
      <c r="M1716" s="2"/>
      <c r="N1716" s="2"/>
    </row>
    <row r="1717" spans="5:14" x14ac:dyDescent="0.35">
      <c r="E1717" s="2"/>
      <c r="F1717" s="2"/>
      <c r="G1717" s="3"/>
      <c r="H1717" s="3"/>
      <c r="I1717" s="3"/>
      <c r="J1717" s="3"/>
      <c r="K1717" s="3"/>
      <c r="L1717" s="3"/>
      <c r="M1717" s="2"/>
      <c r="N1717" s="2"/>
    </row>
    <row r="1718" spans="5:14" x14ac:dyDescent="0.35">
      <c r="E1718" s="2"/>
      <c r="F1718" s="2"/>
      <c r="G1718" s="3"/>
      <c r="H1718" s="3"/>
      <c r="I1718" s="3"/>
      <c r="J1718" s="3"/>
      <c r="K1718" s="3"/>
      <c r="L1718" s="3"/>
      <c r="M1718" s="2"/>
      <c r="N1718" s="2"/>
    </row>
    <row r="1719" spans="5:14" x14ac:dyDescent="0.35">
      <c r="E1719" s="2"/>
      <c r="F1719" s="2"/>
      <c r="G1719" s="3"/>
      <c r="H1719" s="3"/>
      <c r="I1719" s="3"/>
      <c r="J1719" s="3"/>
      <c r="K1719" s="3"/>
      <c r="L1719" s="3"/>
      <c r="M1719" s="2"/>
      <c r="N1719" s="2"/>
    </row>
    <row r="1720" spans="5:14" x14ac:dyDescent="0.35">
      <c r="E1720" s="2"/>
      <c r="F1720" s="2"/>
      <c r="G1720" s="3"/>
      <c r="H1720" s="3"/>
      <c r="I1720" s="3"/>
      <c r="J1720" s="3"/>
      <c r="K1720" s="3"/>
      <c r="L1720" s="3"/>
      <c r="M1720" s="2"/>
      <c r="N1720" s="2"/>
    </row>
    <row r="1721" spans="5:14" x14ac:dyDescent="0.35">
      <c r="E1721" s="2"/>
      <c r="F1721" s="2"/>
      <c r="G1721" s="3"/>
      <c r="H1721" s="3"/>
      <c r="I1721" s="3"/>
      <c r="J1721" s="3"/>
      <c r="K1721" s="3"/>
      <c r="L1721" s="3"/>
      <c r="M1721" s="2"/>
      <c r="N1721" s="2"/>
    </row>
    <row r="1722" spans="5:14" x14ac:dyDescent="0.35">
      <c r="E1722" s="2"/>
      <c r="F1722" s="2"/>
      <c r="G1722" s="3"/>
      <c r="H1722" s="3"/>
      <c r="I1722" s="3"/>
      <c r="J1722" s="3"/>
      <c r="K1722" s="3"/>
      <c r="L1722" s="3"/>
      <c r="M1722" s="2"/>
      <c r="N1722" s="2"/>
    </row>
    <row r="1723" spans="5:14" x14ac:dyDescent="0.35">
      <c r="E1723" s="2"/>
      <c r="F1723" s="2"/>
      <c r="G1723" s="3"/>
      <c r="H1723" s="3"/>
      <c r="I1723" s="3"/>
      <c r="J1723" s="3"/>
      <c r="K1723" s="3"/>
      <c r="L1723" s="3"/>
      <c r="M1723" s="2"/>
      <c r="N1723" s="2"/>
    </row>
    <row r="1724" spans="5:14" x14ac:dyDescent="0.35">
      <c r="E1724" s="2"/>
      <c r="F1724" s="2"/>
      <c r="G1724" s="3"/>
      <c r="H1724" s="3"/>
      <c r="I1724" s="3"/>
      <c r="J1724" s="3"/>
      <c r="K1724" s="3"/>
      <c r="L1724" s="3"/>
      <c r="M1724" s="2"/>
      <c r="N1724" s="2"/>
    </row>
    <row r="1725" spans="5:14" x14ac:dyDescent="0.35">
      <c r="E1725" s="2"/>
      <c r="F1725" s="2"/>
      <c r="G1725" s="3"/>
      <c r="H1725" s="3"/>
      <c r="I1725" s="3"/>
      <c r="J1725" s="3"/>
      <c r="K1725" s="3"/>
      <c r="L1725" s="3"/>
      <c r="M1725" s="2"/>
      <c r="N1725" s="2"/>
    </row>
    <row r="1726" spans="5:14" x14ac:dyDescent="0.35">
      <c r="E1726" s="2"/>
      <c r="F1726" s="2"/>
      <c r="G1726" s="3"/>
      <c r="H1726" s="3"/>
      <c r="I1726" s="3"/>
      <c r="J1726" s="3"/>
      <c r="K1726" s="3"/>
      <c r="L1726" s="3"/>
      <c r="M1726" s="2"/>
      <c r="N1726" s="2"/>
    </row>
    <row r="1727" spans="5:14" x14ac:dyDescent="0.35">
      <c r="E1727" s="2"/>
      <c r="F1727" s="2"/>
      <c r="G1727" s="3"/>
      <c r="H1727" s="3"/>
      <c r="I1727" s="3"/>
      <c r="J1727" s="3"/>
      <c r="K1727" s="3"/>
      <c r="L1727" s="3"/>
      <c r="M1727" s="2"/>
      <c r="N1727" s="2"/>
    </row>
    <row r="1728" spans="5:14" x14ac:dyDescent="0.35">
      <c r="E1728" s="2"/>
      <c r="F1728" s="2"/>
      <c r="G1728" s="3"/>
      <c r="H1728" s="3"/>
      <c r="I1728" s="3"/>
      <c r="J1728" s="3"/>
      <c r="K1728" s="3"/>
      <c r="L1728" s="3"/>
      <c r="M1728" s="2"/>
      <c r="N1728" s="2"/>
    </row>
    <row r="1729" spans="5:14" x14ac:dyDescent="0.35">
      <c r="E1729" s="2"/>
      <c r="F1729" s="2"/>
      <c r="G1729" s="3"/>
      <c r="H1729" s="3"/>
      <c r="I1729" s="3"/>
      <c r="J1729" s="3"/>
      <c r="K1729" s="3"/>
      <c r="L1729" s="3"/>
      <c r="M1729" s="2"/>
      <c r="N1729" s="2"/>
    </row>
    <row r="1730" spans="5:14" x14ac:dyDescent="0.35">
      <c r="E1730" s="2"/>
      <c r="F1730" s="2"/>
      <c r="G1730" s="3"/>
      <c r="H1730" s="3"/>
      <c r="I1730" s="3"/>
      <c r="J1730" s="3"/>
      <c r="K1730" s="3"/>
      <c r="L1730" s="3"/>
      <c r="M1730" s="2"/>
      <c r="N1730" s="2"/>
    </row>
    <row r="1731" spans="5:14" x14ac:dyDescent="0.35">
      <c r="E1731" s="2"/>
      <c r="F1731" s="2"/>
      <c r="G1731" s="3"/>
      <c r="H1731" s="3"/>
      <c r="I1731" s="3"/>
      <c r="J1731" s="3"/>
      <c r="K1731" s="3"/>
      <c r="L1731" s="3"/>
      <c r="M1731" s="2"/>
      <c r="N1731" s="2"/>
    </row>
    <row r="1732" spans="5:14" x14ac:dyDescent="0.35">
      <c r="E1732" s="2"/>
      <c r="F1732" s="2"/>
      <c r="G1732" s="3"/>
      <c r="H1732" s="3"/>
      <c r="I1732" s="3"/>
      <c r="J1732" s="3"/>
      <c r="K1732" s="3"/>
      <c r="L1732" s="3"/>
      <c r="M1732" s="2"/>
      <c r="N1732" s="2"/>
    </row>
    <row r="1733" spans="5:14" x14ac:dyDescent="0.35">
      <c r="E1733" s="2"/>
      <c r="F1733" s="2"/>
      <c r="G1733" s="3"/>
      <c r="H1733" s="3"/>
      <c r="I1733" s="3"/>
      <c r="J1733" s="3"/>
      <c r="K1733" s="3"/>
      <c r="L1733" s="3"/>
      <c r="M1733" s="2"/>
      <c r="N1733" s="2"/>
    </row>
    <row r="1734" spans="5:14" x14ac:dyDescent="0.35">
      <c r="E1734" s="2"/>
      <c r="F1734" s="2"/>
      <c r="G1734" s="3"/>
      <c r="H1734" s="3"/>
      <c r="I1734" s="3"/>
      <c r="J1734" s="3"/>
      <c r="K1734" s="3"/>
      <c r="L1734" s="3"/>
      <c r="M1734" s="2"/>
      <c r="N1734" s="2"/>
    </row>
    <row r="1735" spans="5:14" x14ac:dyDescent="0.35">
      <c r="E1735" s="2"/>
      <c r="F1735" s="2"/>
      <c r="G1735" s="3"/>
      <c r="H1735" s="3"/>
      <c r="I1735" s="3"/>
      <c r="J1735" s="3"/>
      <c r="K1735" s="3"/>
      <c r="L1735" s="3"/>
      <c r="M1735" s="2"/>
      <c r="N1735" s="2"/>
    </row>
    <row r="1736" spans="5:14" x14ac:dyDescent="0.35">
      <c r="E1736" s="2"/>
      <c r="F1736" s="2"/>
      <c r="G1736" s="3"/>
      <c r="H1736" s="3"/>
      <c r="I1736" s="3"/>
      <c r="J1736" s="3"/>
      <c r="K1736" s="3"/>
      <c r="L1736" s="3"/>
      <c r="M1736" s="2"/>
      <c r="N1736" s="2"/>
    </row>
    <row r="1737" spans="5:14" x14ac:dyDescent="0.35">
      <c r="E1737" s="2"/>
      <c r="F1737" s="2"/>
      <c r="G1737" s="3"/>
      <c r="H1737" s="3"/>
      <c r="I1737" s="3"/>
      <c r="J1737" s="3"/>
      <c r="K1737" s="3"/>
      <c r="L1737" s="3"/>
      <c r="M1737" s="2"/>
      <c r="N1737" s="2"/>
    </row>
    <row r="1738" spans="5:14" x14ac:dyDescent="0.35">
      <c r="E1738" s="2"/>
      <c r="F1738" s="2"/>
      <c r="G1738" s="3"/>
      <c r="H1738" s="3"/>
      <c r="I1738" s="3"/>
      <c r="J1738" s="3"/>
      <c r="K1738" s="3"/>
      <c r="L1738" s="3"/>
      <c r="M1738" s="2"/>
      <c r="N1738" s="2"/>
    </row>
    <row r="1739" spans="5:14" x14ac:dyDescent="0.35">
      <c r="E1739" s="2"/>
      <c r="F1739" s="2"/>
      <c r="G1739" s="3"/>
      <c r="H1739" s="3"/>
      <c r="I1739" s="3"/>
      <c r="J1739" s="3"/>
      <c r="K1739" s="3"/>
      <c r="L1739" s="3"/>
      <c r="M1739" s="2"/>
      <c r="N1739" s="2"/>
    </row>
    <row r="1740" spans="5:14" x14ac:dyDescent="0.35">
      <c r="E1740" s="2"/>
      <c r="F1740" s="2"/>
      <c r="G1740" s="3"/>
      <c r="H1740" s="3"/>
      <c r="I1740" s="3"/>
      <c r="J1740" s="3"/>
      <c r="K1740" s="3"/>
      <c r="L1740" s="3"/>
      <c r="M1740" s="2"/>
      <c r="N1740" s="2"/>
    </row>
    <row r="1741" spans="5:14" x14ac:dyDescent="0.35">
      <c r="E1741" s="2"/>
      <c r="F1741" s="2"/>
      <c r="G1741" s="3"/>
      <c r="H1741" s="3"/>
      <c r="I1741" s="3"/>
      <c r="J1741" s="3"/>
      <c r="K1741" s="3"/>
      <c r="L1741" s="3"/>
      <c r="M1741" s="2"/>
      <c r="N1741" s="2"/>
    </row>
    <row r="1742" spans="5:14" x14ac:dyDescent="0.35">
      <c r="E1742" s="2"/>
      <c r="F1742" s="2"/>
      <c r="G1742" s="3"/>
      <c r="H1742" s="3"/>
      <c r="I1742" s="3"/>
      <c r="J1742" s="3"/>
      <c r="K1742" s="3"/>
      <c r="L1742" s="3"/>
      <c r="M1742" s="2"/>
      <c r="N1742" s="2"/>
    </row>
    <row r="1743" spans="5:14" x14ac:dyDescent="0.35">
      <c r="E1743" s="2"/>
      <c r="F1743" s="2"/>
      <c r="G1743" s="3"/>
      <c r="H1743" s="3"/>
      <c r="I1743" s="3"/>
      <c r="J1743" s="3"/>
      <c r="K1743" s="3"/>
      <c r="L1743" s="3"/>
      <c r="M1743" s="2"/>
      <c r="N1743" s="2"/>
    </row>
    <row r="1744" spans="5:14" x14ac:dyDescent="0.35">
      <c r="E1744" s="2"/>
      <c r="F1744" s="2"/>
      <c r="G1744" s="3"/>
      <c r="H1744" s="3"/>
      <c r="I1744" s="3"/>
      <c r="J1744" s="3"/>
      <c r="K1744" s="3"/>
      <c r="L1744" s="3"/>
      <c r="M1744" s="2"/>
      <c r="N1744" s="2"/>
    </row>
    <row r="1745" spans="5:14" x14ac:dyDescent="0.35">
      <c r="E1745" s="2"/>
      <c r="F1745" s="2"/>
      <c r="G1745" s="3"/>
      <c r="H1745" s="3"/>
      <c r="I1745" s="3"/>
      <c r="J1745" s="3"/>
      <c r="K1745" s="3"/>
      <c r="L1745" s="3"/>
      <c r="M1745" s="2"/>
      <c r="N1745" s="2"/>
    </row>
    <row r="1746" spans="5:14" x14ac:dyDescent="0.35">
      <c r="E1746" s="2"/>
      <c r="F1746" s="2"/>
      <c r="G1746" s="3"/>
      <c r="H1746" s="3"/>
      <c r="I1746" s="3"/>
      <c r="J1746" s="3"/>
      <c r="K1746" s="3"/>
      <c r="L1746" s="3"/>
      <c r="M1746" s="2"/>
      <c r="N1746" s="2"/>
    </row>
    <row r="1747" spans="5:14" x14ac:dyDescent="0.35">
      <c r="E1747" s="2"/>
      <c r="F1747" s="2"/>
      <c r="G1747" s="3"/>
      <c r="H1747" s="3"/>
      <c r="I1747" s="3"/>
      <c r="J1747" s="3"/>
      <c r="K1747" s="3"/>
      <c r="L1747" s="3"/>
      <c r="M1747" s="2"/>
      <c r="N1747" s="2"/>
    </row>
    <row r="1748" spans="5:14" x14ac:dyDescent="0.35">
      <c r="E1748" s="2"/>
      <c r="F1748" s="2"/>
      <c r="G1748" s="3"/>
      <c r="H1748" s="3"/>
      <c r="I1748" s="3"/>
      <c r="J1748" s="3"/>
      <c r="K1748" s="3"/>
      <c r="L1748" s="3"/>
      <c r="M1748" s="2"/>
      <c r="N1748" s="2"/>
    </row>
    <row r="1749" spans="5:14" x14ac:dyDescent="0.35">
      <c r="E1749" s="2"/>
      <c r="F1749" s="2"/>
      <c r="G1749" s="3"/>
      <c r="H1749" s="3"/>
      <c r="I1749" s="3"/>
      <c r="J1749" s="3"/>
      <c r="K1749" s="3"/>
      <c r="L1749" s="3"/>
      <c r="M1749" s="2"/>
      <c r="N1749" s="2"/>
    </row>
    <row r="1750" spans="5:14" x14ac:dyDescent="0.35">
      <c r="E1750" s="2"/>
      <c r="F1750" s="2"/>
      <c r="G1750" s="3"/>
      <c r="H1750" s="3"/>
      <c r="I1750" s="3"/>
      <c r="J1750" s="3"/>
      <c r="K1750" s="3"/>
      <c r="L1750" s="3"/>
      <c r="M1750" s="2"/>
      <c r="N1750" s="2"/>
    </row>
    <row r="1751" spans="5:14" x14ac:dyDescent="0.35">
      <c r="E1751" s="2"/>
      <c r="F1751" s="2"/>
      <c r="G1751" s="3"/>
      <c r="H1751" s="3"/>
      <c r="I1751" s="3"/>
      <c r="J1751" s="3"/>
      <c r="K1751" s="3"/>
      <c r="L1751" s="3"/>
      <c r="M1751" s="2"/>
      <c r="N1751" s="2"/>
    </row>
    <row r="1752" spans="5:14" x14ac:dyDescent="0.35">
      <c r="E1752" s="2"/>
      <c r="F1752" s="2"/>
      <c r="G1752" s="3"/>
      <c r="H1752" s="3"/>
      <c r="I1752" s="3"/>
      <c r="J1752" s="3"/>
      <c r="K1752" s="3"/>
      <c r="L1752" s="3"/>
      <c r="M1752" s="2"/>
      <c r="N1752" s="2"/>
    </row>
    <row r="1753" spans="5:14" x14ac:dyDescent="0.35">
      <c r="E1753" s="2"/>
      <c r="F1753" s="2"/>
      <c r="G1753" s="3"/>
      <c r="H1753" s="3"/>
      <c r="I1753" s="3"/>
      <c r="J1753" s="3"/>
      <c r="K1753" s="3"/>
      <c r="L1753" s="3"/>
      <c r="M1753" s="2"/>
      <c r="N1753" s="2"/>
    </row>
    <row r="1754" spans="5:14" x14ac:dyDescent="0.35">
      <c r="E1754" s="2"/>
      <c r="F1754" s="2"/>
      <c r="G1754" s="3"/>
      <c r="H1754" s="3"/>
      <c r="I1754" s="3"/>
      <c r="J1754" s="3"/>
      <c r="K1754" s="3"/>
      <c r="L1754" s="3"/>
      <c r="M1754" s="2"/>
      <c r="N1754" s="2"/>
    </row>
    <row r="1755" spans="5:14" x14ac:dyDescent="0.35">
      <c r="E1755" s="2"/>
      <c r="F1755" s="2"/>
      <c r="G1755" s="3"/>
      <c r="H1755" s="3"/>
      <c r="I1755" s="3"/>
      <c r="J1755" s="3"/>
      <c r="K1755" s="3"/>
      <c r="L1755" s="3"/>
      <c r="M1755" s="2"/>
      <c r="N1755" s="2"/>
    </row>
    <row r="1756" spans="5:14" x14ac:dyDescent="0.35">
      <c r="E1756" s="2"/>
      <c r="F1756" s="2"/>
      <c r="G1756" s="3"/>
      <c r="H1756" s="3"/>
      <c r="I1756" s="3"/>
      <c r="J1756" s="3"/>
      <c r="K1756" s="3"/>
      <c r="L1756" s="3"/>
      <c r="M1756" s="2"/>
      <c r="N1756" s="2"/>
    </row>
    <row r="1757" spans="5:14" x14ac:dyDescent="0.35">
      <c r="E1757" s="2"/>
      <c r="F1757" s="2"/>
      <c r="G1757" s="3"/>
      <c r="H1757" s="3"/>
      <c r="I1757" s="3"/>
      <c r="J1757" s="3"/>
      <c r="K1757" s="3"/>
      <c r="L1757" s="3"/>
      <c r="M1757" s="2"/>
      <c r="N1757" s="2"/>
    </row>
    <row r="1758" spans="5:14" x14ac:dyDescent="0.35">
      <c r="E1758" s="2"/>
      <c r="F1758" s="2"/>
      <c r="G1758" s="3"/>
      <c r="H1758" s="3"/>
      <c r="I1758" s="3"/>
      <c r="J1758" s="3"/>
      <c r="K1758" s="3"/>
      <c r="L1758" s="3"/>
      <c r="M1758" s="2"/>
      <c r="N1758" s="2"/>
    </row>
    <row r="1759" spans="5:14" x14ac:dyDescent="0.35">
      <c r="E1759" s="2"/>
      <c r="F1759" s="2"/>
      <c r="G1759" s="3"/>
      <c r="H1759" s="3"/>
      <c r="I1759" s="3"/>
      <c r="J1759" s="3"/>
      <c r="K1759" s="3"/>
      <c r="L1759" s="3"/>
      <c r="M1759" s="2"/>
      <c r="N1759" s="2"/>
    </row>
    <row r="1760" spans="5:14" x14ac:dyDescent="0.35">
      <c r="E1760" s="2"/>
      <c r="F1760" s="2"/>
      <c r="G1760" s="3"/>
      <c r="H1760" s="3"/>
      <c r="I1760" s="3"/>
      <c r="J1760" s="3"/>
      <c r="K1760" s="3"/>
      <c r="L1760" s="3"/>
      <c r="M1760" s="2"/>
      <c r="N1760" s="2"/>
    </row>
    <row r="1761" spans="5:14" x14ac:dyDescent="0.35">
      <c r="E1761" s="2"/>
      <c r="F1761" s="2"/>
      <c r="G1761" s="3"/>
      <c r="H1761" s="3"/>
      <c r="I1761" s="3"/>
      <c r="J1761" s="3"/>
      <c r="K1761" s="3"/>
      <c r="L1761" s="3"/>
      <c r="M1761" s="2"/>
      <c r="N1761" s="2"/>
    </row>
    <row r="1762" spans="5:14" x14ac:dyDescent="0.35">
      <c r="E1762" s="2"/>
      <c r="F1762" s="2"/>
      <c r="G1762" s="3"/>
      <c r="H1762" s="3"/>
      <c r="I1762" s="3"/>
      <c r="J1762" s="3"/>
      <c r="K1762" s="3"/>
      <c r="L1762" s="3"/>
      <c r="M1762" s="2"/>
      <c r="N1762" s="2"/>
    </row>
    <row r="1763" spans="5:14" x14ac:dyDescent="0.35">
      <c r="E1763" s="2"/>
      <c r="F1763" s="2"/>
      <c r="G1763" s="3"/>
      <c r="H1763" s="3"/>
      <c r="I1763" s="3"/>
      <c r="J1763" s="3"/>
      <c r="K1763" s="3"/>
      <c r="L1763" s="3"/>
      <c r="M1763" s="2"/>
      <c r="N1763" s="2"/>
    </row>
    <row r="1764" spans="5:14" x14ac:dyDescent="0.35">
      <c r="E1764" s="2"/>
      <c r="F1764" s="2"/>
      <c r="G1764" s="3"/>
      <c r="H1764" s="3"/>
      <c r="I1764" s="3"/>
      <c r="J1764" s="3"/>
      <c r="K1764" s="3"/>
      <c r="L1764" s="3"/>
      <c r="M1764" s="2"/>
      <c r="N1764" s="2"/>
    </row>
    <row r="1765" spans="5:14" x14ac:dyDescent="0.35">
      <c r="E1765" s="2"/>
      <c r="F1765" s="2"/>
      <c r="G1765" s="3"/>
      <c r="H1765" s="3"/>
      <c r="I1765" s="3"/>
      <c r="J1765" s="3"/>
      <c r="K1765" s="3"/>
      <c r="L1765" s="3"/>
      <c r="M1765" s="2"/>
      <c r="N1765" s="2"/>
    </row>
    <row r="1766" spans="5:14" x14ac:dyDescent="0.35">
      <c r="E1766" s="2"/>
      <c r="F1766" s="2"/>
      <c r="G1766" s="3"/>
      <c r="H1766" s="3"/>
      <c r="I1766" s="3"/>
      <c r="J1766" s="3"/>
      <c r="K1766" s="3"/>
      <c r="L1766" s="3"/>
      <c r="M1766" s="2"/>
      <c r="N1766" s="2"/>
    </row>
    <row r="1767" spans="5:14" x14ac:dyDescent="0.35">
      <c r="E1767" s="2"/>
      <c r="F1767" s="2"/>
      <c r="G1767" s="3"/>
      <c r="H1767" s="3"/>
      <c r="I1767" s="3"/>
      <c r="J1767" s="3"/>
      <c r="K1767" s="3"/>
      <c r="L1767" s="3"/>
      <c r="M1767" s="2"/>
      <c r="N1767" s="2"/>
    </row>
    <row r="1768" spans="5:14" x14ac:dyDescent="0.35">
      <c r="E1768" s="2"/>
      <c r="F1768" s="2"/>
      <c r="G1768" s="3"/>
      <c r="H1768" s="3"/>
      <c r="I1768" s="3"/>
      <c r="J1768" s="3"/>
      <c r="K1768" s="3"/>
      <c r="L1768" s="3"/>
      <c r="M1768" s="2"/>
      <c r="N1768" s="2"/>
    </row>
    <row r="1769" spans="5:14" x14ac:dyDescent="0.35">
      <c r="E1769" s="2"/>
      <c r="F1769" s="2"/>
      <c r="G1769" s="3"/>
      <c r="H1769" s="3"/>
      <c r="I1769" s="3"/>
      <c r="J1769" s="3"/>
      <c r="K1769" s="3"/>
      <c r="L1769" s="3"/>
      <c r="M1769" s="2"/>
      <c r="N1769" s="2"/>
    </row>
    <row r="1770" spans="5:14" x14ac:dyDescent="0.35">
      <c r="E1770" s="2"/>
      <c r="F1770" s="2"/>
      <c r="G1770" s="3"/>
      <c r="H1770" s="3"/>
      <c r="I1770" s="3"/>
      <c r="J1770" s="3"/>
      <c r="K1770" s="3"/>
      <c r="L1770" s="3"/>
      <c r="M1770" s="2"/>
      <c r="N1770" s="2"/>
    </row>
    <row r="1771" spans="5:14" x14ac:dyDescent="0.35">
      <c r="E1771" s="2"/>
      <c r="F1771" s="2"/>
      <c r="G1771" s="3"/>
      <c r="H1771" s="3"/>
      <c r="I1771" s="3"/>
      <c r="J1771" s="3"/>
      <c r="K1771" s="3"/>
      <c r="L1771" s="3"/>
      <c r="M1771" s="2"/>
      <c r="N1771" s="2"/>
    </row>
    <row r="1772" spans="5:14" x14ac:dyDescent="0.35">
      <c r="E1772" s="2"/>
      <c r="F1772" s="2"/>
      <c r="G1772" s="3"/>
      <c r="H1772" s="3"/>
      <c r="I1772" s="3"/>
      <c r="J1772" s="3"/>
      <c r="K1772" s="3"/>
      <c r="L1772" s="3"/>
      <c r="M1772" s="2"/>
      <c r="N1772" s="2"/>
    </row>
    <row r="1773" spans="5:14" x14ac:dyDescent="0.35">
      <c r="E1773" s="2"/>
      <c r="F1773" s="2"/>
      <c r="G1773" s="3"/>
      <c r="H1773" s="3"/>
      <c r="I1773" s="3"/>
      <c r="J1773" s="3"/>
      <c r="K1773" s="3"/>
      <c r="L1773" s="3"/>
      <c r="M1773" s="2"/>
      <c r="N1773" s="2"/>
    </row>
    <row r="1774" spans="5:14" x14ac:dyDescent="0.35">
      <c r="E1774" s="2"/>
      <c r="F1774" s="2"/>
      <c r="G1774" s="3"/>
      <c r="H1774" s="3"/>
      <c r="I1774" s="3"/>
      <c r="J1774" s="3"/>
      <c r="K1774" s="3"/>
      <c r="L1774" s="3"/>
      <c r="M1774" s="2"/>
      <c r="N1774" s="2"/>
    </row>
    <row r="1775" spans="5:14" x14ac:dyDescent="0.35">
      <c r="E1775" s="2"/>
      <c r="F1775" s="2"/>
      <c r="G1775" s="3"/>
      <c r="H1775" s="3"/>
      <c r="I1775" s="3"/>
      <c r="J1775" s="3"/>
      <c r="K1775" s="3"/>
      <c r="L1775" s="3"/>
      <c r="M1775" s="2"/>
      <c r="N1775" s="2"/>
    </row>
    <row r="1776" spans="5:14" x14ac:dyDescent="0.35">
      <c r="E1776" s="2"/>
      <c r="F1776" s="2"/>
      <c r="G1776" s="3"/>
      <c r="H1776" s="3"/>
      <c r="I1776" s="3"/>
      <c r="J1776" s="3"/>
      <c r="K1776" s="3"/>
      <c r="L1776" s="3"/>
      <c r="M1776" s="2"/>
      <c r="N1776" s="2"/>
    </row>
    <row r="1777" spans="5:14" x14ac:dyDescent="0.35">
      <c r="E1777" s="2"/>
      <c r="F1777" s="2"/>
      <c r="G1777" s="3"/>
      <c r="H1777" s="3"/>
      <c r="I1777" s="3"/>
      <c r="J1777" s="3"/>
      <c r="K1777" s="3"/>
      <c r="L1777" s="3"/>
      <c r="M1777" s="2"/>
      <c r="N1777" s="2"/>
    </row>
    <row r="1778" spans="5:14" x14ac:dyDescent="0.35">
      <c r="E1778" s="2"/>
      <c r="F1778" s="2"/>
      <c r="G1778" s="3"/>
      <c r="H1778" s="3"/>
      <c r="I1778" s="3"/>
      <c r="J1778" s="3"/>
      <c r="K1778" s="3"/>
      <c r="L1778" s="3"/>
      <c r="M1778" s="2"/>
      <c r="N1778" s="2"/>
    </row>
    <row r="1779" spans="5:14" x14ac:dyDescent="0.35">
      <c r="E1779" s="2"/>
      <c r="F1779" s="2"/>
      <c r="G1779" s="3"/>
      <c r="H1779" s="3"/>
      <c r="I1779" s="3"/>
      <c r="J1779" s="3"/>
      <c r="K1779" s="3"/>
      <c r="L1779" s="3"/>
      <c r="M1779" s="2"/>
      <c r="N1779" s="2"/>
    </row>
    <row r="1780" spans="5:14" x14ac:dyDescent="0.35">
      <c r="E1780" s="2"/>
      <c r="F1780" s="2"/>
      <c r="G1780" s="3"/>
      <c r="H1780" s="3"/>
      <c r="I1780" s="3"/>
      <c r="J1780" s="3"/>
      <c r="K1780" s="3"/>
      <c r="L1780" s="3"/>
      <c r="M1780" s="2"/>
      <c r="N1780" s="2"/>
    </row>
    <row r="1781" spans="5:14" x14ac:dyDescent="0.35">
      <c r="E1781" s="2"/>
      <c r="F1781" s="2"/>
      <c r="G1781" s="3"/>
      <c r="H1781" s="3"/>
      <c r="I1781" s="3"/>
      <c r="J1781" s="3"/>
      <c r="K1781" s="3"/>
      <c r="L1781" s="3"/>
      <c r="M1781" s="2"/>
      <c r="N1781" s="2"/>
    </row>
    <row r="1782" spans="5:14" x14ac:dyDescent="0.35">
      <c r="E1782" s="2"/>
      <c r="F1782" s="2"/>
      <c r="G1782" s="3"/>
      <c r="H1782" s="3"/>
      <c r="I1782" s="3"/>
      <c r="J1782" s="3"/>
      <c r="K1782" s="3"/>
      <c r="L1782" s="3"/>
      <c r="M1782" s="2"/>
      <c r="N1782" s="2"/>
    </row>
    <row r="1783" spans="5:14" x14ac:dyDescent="0.35">
      <c r="E1783" s="2"/>
      <c r="F1783" s="2"/>
      <c r="G1783" s="3"/>
      <c r="H1783" s="3"/>
      <c r="I1783" s="3"/>
      <c r="J1783" s="3"/>
      <c r="K1783" s="3"/>
      <c r="L1783" s="3"/>
      <c r="M1783" s="2"/>
      <c r="N1783" s="2"/>
    </row>
    <row r="1784" spans="5:14" x14ac:dyDescent="0.35">
      <c r="E1784" s="2"/>
      <c r="F1784" s="2"/>
      <c r="G1784" s="3"/>
      <c r="H1784" s="3"/>
      <c r="I1784" s="3"/>
      <c r="J1784" s="3"/>
      <c r="K1784" s="3"/>
      <c r="L1784" s="3"/>
      <c r="M1784" s="2"/>
      <c r="N1784" s="2"/>
    </row>
    <row r="1785" spans="5:14" x14ac:dyDescent="0.35">
      <c r="E1785" s="2"/>
      <c r="F1785" s="2"/>
      <c r="G1785" s="3"/>
      <c r="H1785" s="3"/>
      <c r="I1785" s="3"/>
      <c r="J1785" s="3"/>
      <c r="K1785" s="3"/>
      <c r="L1785" s="3"/>
      <c r="M1785" s="2"/>
      <c r="N1785" s="2"/>
    </row>
    <row r="1786" spans="5:14" x14ac:dyDescent="0.35">
      <c r="E1786" s="2"/>
      <c r="F1786" s="2"/>
      <c r="G1786" s="3"/>
      <c r="H1786" s="3"/>
      <c r="I1786" s="3"/>
      <c r="J1786" s="3"/>
      <c r="K1786" s="3"/>
      <c r="L1786" s="3"/>
      <c r="M1786" s="2"/>
      <c r="N1786" s="2"/>
    </row>
    <row r="1787" spans="5:14" x14ac:dyDescent="0.35">
      <c r="E1787" s="2"/>
      <c r="F1787" s="2"/>
      <c r="G1787" s="3"/>
      <c r="H1787" s="3"/>
      <c r="I1787" s="3"/>
      <c r="J1787" s="3"/>
      <c r="K1787" s="3"/>
      <c r="L1787" s="3"/>
      <c r="M1787" s="2"/>
      <c r="N1787" s="2"/>
    </row>
    <row r="1788" spans="5:14" x14ac:dyDescent="0.35">
      <c r="E1788" s="2"/>
      <c r="F1788" s="2"/>
      <c r="G1788" s="3"/>
      <c r="H1788" s="3"/>
      <c r="I1788" s="3"/>
      <c r="J1788" s="3"/>
      <c r="K1788" s="3"/>
      <c r="L1788" s="3"/>
      <c r="M1788" s="2"/>
      <c r="N1788" s="2"/>
    </row>
    <row r="1789" spans="5:14" x14ac:dyDescent="0.35">
      <c r="E1789" s="2"/>
      <c r="F1789" s="2"/>
      <c r="G1789" s="3"/>
      <c r="H1789" s="3"/>
      <c r="I1789" s="3"/>
      <c r="J1789" s="3"/>
      <c r="K1789" s="3"/>
      <c r="L1789" s="3"/>
      <c r="M1789" s="2"/>
      <c r="N1789" s="2"/>
    </row>
    <row r="1790" spans="5:14" x14ac:dyDescent="0.35">
      <c r="E1790" s="2"/>
      <c r="F1790" s="2"/>
      <c r="G1790" s="3"/>
      <c r="H1790" s="3"/>
      <c r="I1790" s="3"/>
      <c r="J1790" s="3"/>
      <c r="K1790" s="3"/>
      <c r="L1790" s="3"/>
      <c r="M1790" s="2"/>
      <c r="N1790" s="2"/>
    </row>
    <row r="1791" spans="5:14" x14ac:dyDescent="0.35">
      <c r="E1791" s="2"/>
      <c r="F1791" s="2"/>
      <c r="G1791" s="3"/>
      <c r="H1791" s="3"/>
      <c r="I1791" s="3"/>
      <c r="J1791" s="3"/>
      <c r="K1791" s="3"/>
      <c r="L1791" s="3"/>
      <c r="M1791" s="2"/>
      <c r="N1791" s="2"/>
    </row>
    <row r="1792" spans="5:14" x14ac:dyDescent="0.35">
      <c r="E1792" s="2"/>
      <c r="F1792" s="2"/>
      <c r="G1792" s="3"/>
      <c r="H1792" s="3"/>
      <c r="I1792" s="3"/>
      <c r="J1792" s="3"/>
      <c r="K1792" s="3"/>
      <c r="L1792" s="3"/>
      <c r="M1792" s="2"/>
      <c r="N1792" s="2"/>
    </row>
    <row r="1793" spans="5:14" x14ac:dyDescent="0.35">
      <c r="E1793" s="2"/>
      <c r="F1793" s="2"/>
      <c r="G1793" s="3"/>
      <c r="H1793" s="3"/>
      <c r="I1793" s="3"/>
      <c r="J1793" s="3"/>
      <c r="K1793" s="3"/>
      <c r="L1793" s="3"/>
      <c r="M1793" s="2"/>
      <c r="N1793" s="2"/>
    </row>
    <row r="1794" spans="5:14" x14ac:dyDescent="0.35">
      <c r="E1794" s="2"/>
      <c r="F1794" s="2"/>
      <c r="G1794" s="3"/>
      <c r="H1794" s="3"/>
      <c r="I1794" s="3"/>
      <c r="J1794" s="3"/>
      <c r="K1794" s="3"/>
      <c r="L1794" s="3"/>
      <c r="M1794" s="2"/>
      <c r="N1794" s="2"/>
    </row>
    <row r="1795" spans="5:14" x14ac:dyDescent="0.35">
      <c r="E1795" s="2"/>
      <c r="F1795" s="2"/>
      <c r="G1795" s="3"/>
      <c r="H1795" s="3"/>
      <c r="I1795" s="3"/>
      <c r="J1795" s="3"/>
      <c r="K1795" s="3"/>
      <c r="L1795" s="3"/>
      <c r="M1795" s="2"/>
      <c r="N1795" s="2"/>
    </row>
    <row r="1796" spans="5:14" x14ac:dyDescent="0.35">
      <c r="E1796" s="2"/>
      <c r="F1796" s="2"/>
      <c r="G1796" s="3"/>
      <c r="H1796" s="3"/>
      <c r="I1796" s="3"/>
      <c r="J1796" s="3"/>
      <c r="K1796" s="3"/>
      <c r="L1796" s="3"/>
      <c r="M1796" s="2"/>
      <c r="N1796" s="2"/>
    </row>
    <row r="1797" spans="5:14" x14ac:dyDescent="0.35">
      <c r="E1797" s="2"/>
      <c r="F1797" s="2"/>
      <c r="G1797" s="3"/>
      <c r="H1797" s="3"/>
      <c r="I1797" s="3"/>
      <c r="J1797" s="3"/>
      <c r="K1797" s="3"/>
      <c r="L1797" s="3"/>
      <c r="M1797" s="2"/>
      <c r="N1797" s="2"/>
    </row>
    <row r="1798" spans="5:14" x14ac:dyDescent="0.35">
      <c r="E1798" s="2"/>
      <c r="F1798" s="2"/>
      <c r="G1798" s="3"/>
      <c r="H1798" s="3"/>
      <c r="I1798" s="3"/>
      <c r="J1798" s="3"/>
      <c r="K1798" s="3"/>
      <c r="L1798" s="3"/>
      <c r="M1798" s="2"/>
      <c r="N1798" s="2"/>
    </row>
    <row r="1799" spans="5:14" x14ac:dyDescent="0.35">
      <c r="E1799" s="2"/>
      <c r="F1799" s="2"/>
      <c r="G1799" s="3"/>
      <c r="H1799" s="3"/>
      <c r="I1799" s="3"/>
      <c r="J1799" s="3"/>
      <c r="K1799" s="3"/>
      <c r="L1799" s="3"/>
      <c r="M1799" s="2"/>
      <c r="N1799" s="2"/>
    </row>
    <row r="1800" spans="5:14" x14ac:dyDescent="0.35">
      <c r="E1800" s="2"/>
      <c r="F1800" s="2"/>
      <c r="G1800" s="3"/>
      <c r="H1800" s="3"/>
      <c r="I1800" s="3"/>
      <c r="J1800" s="3"/>
      <c r="K1800" s="3"/>
      <c r="L1800" s="3"/>
      <c r="M1800" s="2"/>
      <c r="N1800" s="2"/>
    </row>
    <row r="1801" spans="5:14" x14ac:dyDescent="0.35">
      <c r="E1801" s="2"/>
      <c r="F1801" s="2"/>
      <c r="G1801" s="3"/>
      <c r="H1801" s="3"/>
      <c r="I1801" s="3"/>
      <c r="J1801" s="3"/>
      <c r="K1801" s="3"/>
      <c r="L1801" s="3"/>
      <c r="M1801" s="2"/>
      <c r="N1801" s="2"/>
    </row>
    <row r="1802" spans="5:14" x14ac:dyDescent="0.35">
      <c r="E1802" s="2"/>
      <c r="F1802" s="2"/>
      <c r="G1802" s="3"/>
      <c r="H1802" s="3"/>
      <c r="I1802" s="3"/>
      <c r="J1802" s="3"/>
      <c r="K1802" s="3"/>
      <c r="L1802" s="3"/>
      <c r="M1802" s="2"/>
      <c r="N1802" s="2"/>
    </row>
    <row r="1803" spans="5:14" x14ac:dyDescent="0.35">
      <c r="E1803" s="2"/>
      <c r="F1803" s="2"/>
      <c r="G1803" s="3"/>
      <c r="H1803" s="3"/>
      <c r="I1803" s="3"/>
      <c r="J1803" s="3"/>
      <c r="K1803" s="3"/>
      <c r="L1803" s="3"/>
      <c r="M1803" s="2"/>
      <c r="N1803" s="2"/>
    </row>
    <row r="1804" spans="5:14" x14ac:dyDescent="0.35">
      <c r="E1804" s="2"/>
      <c r="F1804" s="2"/>
      <c r="G1804" s="3"/>
      <c r="H1804" s="3"/>
      <c r="I1804" s="3"/>
      <c r="J1804" s="3"/>
      <c r="K1804" s="3"/>
      <c r="L1804" s="3"/>
      <c r="M1804" s="2"/>
      <c r="N1804" s="2"/>
    </row>
    <row r="1805" spans="5:14" x14ac:dyDescent="0.35">
      <c r="E1805" s="2"/>
      <c r="F1805" s="2"/>
      <c r="G1805" s="3"/>
      <c r="H1805" s="3"/>
      <c r="I1805" s="3"/>
      <c r="J1805" s="3"/>
      <c r="K1805" s="3"/>
      <c r="L1805" s="3"/>
      <c r="M1805" s="2"/>
      <c r="N1805" s="2"/>
    </row>
    <row r="1806" spans="5:14" x14ac:dyDescent="0.35">
      <c r="E1806" s="2"/>
      <c r="F1806" s="2"/>
      <c r="G1806" s="3"/>
      <c r="H1806" s="3"/>
      <c r="I1806" s="3"/>
      <c r="J1806" s="3"/>
      <c r="K1806" s="3"/>
      <c r="L1806" s="3"/>
      <c r="M1806" s="2"/>
      <c r="N1806" s="2"/>
    </row>
    <row r="1807" spans="5:14" x14ac:dyDescent="0.35">
      <c r="E1807" s="2"/>
      <c r="F1807" s="2"/>
      <c r="G1807" s="3"/>
      <c r="H1807" s="3"/>
      <c r="I1807" s="3"/>
      <c r="J1807" s="3"/>
      <c r="K1807" s="3"/>
      <c r="L1807" s="3"/>
      <c r="M1807" s="2"/>
      <c r="N1807" s="2"/>
    </row>
    <row r="1808" spans="5:14" x14ac:dyDescent="0.35">
      <c r="E1808" s="2"/>
      <c r="F1808" s="2"/>
      <c r="G1808" s="3"/>
      <c r="H1808" s="3"/>
      <c r="I1808" s="3"/>
      <c r="J1808" s="3"/>
      <c r="K1808" s="3"/>
      <c r="L1808" s="3"/>
      <c r="M1808" s="2"/>
      <c r="N1808" s="2"/>
    </row>
    <row r="1809" spans="5:14" x14ac:dyDescent="0.35">
      <c r="E1809" s="2"/>
      <c r="F1809" s="2"/>
      <c r="G1809" s="3"/>
      <c r="H1809" s="3"/>
      <c r="I1809" s="3"/>
      <c r="J1809" s="3"/>
      <c r="K1809" s="3"/>
      <c r="L1809" s="3"/>
      <c r="M1809" s="2"/>
      <c r="N1809" s="2"/>
    </row>
    <row r="1810" spans="5:14" x14ac:dyDescent="0.35">
      <c r="E1810" s="2"/>
      <c r="F1810" s="2"/>
      <c r="G1810" s="3"/>
      <c r="H1810" s="3"/>
      <c r="I1810" s="3"/>
      <c r="J1810" s="3"/>
      <c r="K1810" s="3"/>
      <c r="L1810" s="3"/>
      <c r="M1810" s="2"/>
      <c r="N1810" s="2"/>
    </row>
    <row r="1811" spans="5:14" x14ac:dyDescent="0.35">
      <c r="E1811" s="2"/>
      <c r="F1811" s="2"/>
      <c r="G1811" s="3"/>
      <c r="H1811" s="3"/>
      <c r="I1811" s="3"/>
      <c r="J1811" s="3"/>
      <c r="K1811" s="3"/>
      <c r="L1811" s="3"/>
      <c r="M1811" s="2"/>
      <c r="N1811" s="2"/>
    </row>
    <row r="1812" spans="5:14" x14ac:dyDescent="0.35">
      <c r="E1812" s="2"/>
      <c r="F1812" s="2"/>
      <c r="G1812" s="3"/>
      <c r="H1812" s="3"/>
      <c r="I1812" s="3"/>
      <c r="J1812" s="3"/>
      <c r="K1812" s="3"/>
      <c r="L1812" s="3"/>
      <c r="M1812" s="2"/>
      <c r="N1812" s="2"/>
    </row>
    <row r="1813" spans="5:14" x14ac:dyDescent="0.35">
      <c r="E1813" s="2"/>
      <c r="F1813" s="2"/>
      <c r="G1813" s="3"/>
      <c r="H1813" s="3"/>
      <c r="I1813" s="3"/>
      <c r="J1813" s="3"/>
      <c r="K1813" s="3"/>
      <c r="L1813" s="3"/>
      <c r="M1813" s="2"/>
      <c r="N1813" s="2"/>
    </row>
    <row r="1814" spans="5:14" x14ac:dyDescent="0.35">
      <c r="E1814" s="2"/>
      <c r="F1814" s="2"/>
      <c r="G1814" s="3"/>
      <c r="H1814" s="3"/>
      <c r="I1814" s="3"/>
      <c r="J1814" s="3"/>
      <c r="K1814" s="3"/>
      <c r="L1814" s="3"/>
      <c r="M1814" s="2"/>
      <c r="N1814" s="2"/>
    </row>
    <row r="1815" spans="5:14" x14ac:dyDescent="0.35">
      <c r="E1815" s="2"/>
      <c r="F1815" s="2"/>
      <c r="G1815" s="3"/>
      <c r="H1815" s="3"/>
      <c r="I1815" s="3"/>
      <c r="J1815" s="3"/>
      <c r="K1815" s="3"/>
      <c r="L1815" s="3"/>
      <c r="M1815" s="2"/>
      <c r="N1815" s="2"/>
    </row>
    <row r="1816" spans="5:14" x14ac:dyDescent="0.35">
      <c r="E1816" s="2"/>
      <c r="F1816" s="2"/>
      <c r="G1816" s="3"/>
      <c r="H1816" s="3"/>
      <c r="I1816" s="3"/>
      <c r="J1816" s="3"/>
      <c r="K1816" s="3"/>
      <c r="L1816" s="3"/>
      <c r="M1816" s="2"/>
      <c r="N1816" s="2"/>
    </row>
    <row r="1817" spans="5:14" x14ac:dyDescent="0.35">
      <c r="E1817" s="2"/>
      <c r="F1817" s="2"/>
      <c r="G1817" s="3"/>
      <c r="H1817" s="3"/>
      <c r="I1817" s="3"/>
      <c r="J1817" s="3"/>
      <c r="K1817" s="3"/>
      <c r="L1817" s="3"/>
      <c r="M1817" s="2"/>
      <c r="N1817" s="2"/>
    </row>
    <row r="1818" spans="5:14" x14ac:dyDescent="0.35">
      <c r="E1818" s="2"/>
      <c r="F1818" s="2"/>
      <c r="G1818" s="3"/>
      <c r="H1818" s="3"/>
      <c r="I1818" s="3"/>
      <c r="J1818" s="3"/>
      <c r="K1818" s="3"/>
      <c r="L1818" s="3"/>
      <c r="M1818" s="2"/>
      <c r="N1818" s="2"/>
    </row>
    <row r="1819" spans="5:14" x14ac:dyDescent="0.35">
      <c r="E1819" s="2"/>
      <c r="F1819" s="2"/>
      <c r="G1819" s="3"/>
      <c r="H1819" s="3"/>
      <c r="I1819" s="3"/>
      <c r="J1819" s="3"/>
      <c r="K1819" s="3"/>
      <c r="L1819" s="3"/>
      <c r="M1819" s="2"/>
      <c r="N1819" s="2"/>
    </row>
    <row r="1820" spans="5:14" x14ac:dyDescent="0.35">
      <c r="E1820" s="2"/>
      <c r="F1820" s="2"/>
      <c r="G1820" s="3"/>
      <c r="H1820" s="3"/>
      <c r="I1820" s="3"/>
      <c r="J1820" s="3"/>
      <c r="K1820" s="3"/>
      <c r="L1820" s="3"/>
      <c r="M1820" s="2"/>
      <c r="N1820" s="2"/>
    </row>
    <row r="1821" spans="5:14" x14ac:dyDescent="0.35">
      <c r="E1821" s="2"/>
      <c r="F1821" s="2"/>
      <c r="G1821" s="3"/>
      <c r="H1821" s="3"/>
      <c r="I1821" s="3"/>
      <c r="J1821" s="3"/>
      <c r="K1821" s="3"/>
      <c r="L1821" s="3"/>
      <c r="M1821" s="2"/>
      <c r="N1821" s="2"/>
    </row>
    <row r="1822" spans="5:14" x14ac:dyDescent="0.35">
      <c r="E1822" s="2"/>
      <c r="F1822" s="2"/>
      <c r="G1822" s="3"/>
      <c r="H1822" s="3"/>
      <c r="I1822" s="3"/>
      <c r="J1822" s="3"/>
      <c r="K1822" s="3"/>
      <c r="L1822" s="3"/>
      <c r="M1822" s="2"/>
      <c r="N1822" s="2"/>
    </row>
    <row r="1823" spans="5:14" x14ac:dyDescent="0.35">
      <c r="E1823" s="2"/>
      <c r="F1823" s="2"/>
      <c r="G1823" s="3"/>
      <c r="H1823" s="3"/>
      <c r="I1823" s="3"/>
      <c r="J1823" s="3"/>
      <c r="K1823" s="3"/>
      <c r="L1823" s="3"/>
      <c r="M1823" s="2"/>
      <c r="N1823" s="2"/>
    </row>
    <row r="1824" spans="5:14" x14ac:dyDescent="0.35">
      <c r="E1824" s="2"/>
      <c r="F1824" s="2"/>
      <c r="G1824" s="3"/>
      <c r="H1824" s="3"/>
      <c r="I1824" s="3"/>
      <c r="J1824" s="3"/>
      <c r="K1824" s="3"/>
      <c r="L1824" s="3"/>
      <c r="M1824" s="2"/>
      <c r="N1824" s="2"/>
    </row>
    <row r="1825" spans="5:14" x14ac:dyDescent="0.35">
      <c r="E1825" s="2"/>
      <c r="F1825" s="2"/>
      <c r="G1825" s="3"/>
      <c r="H1825" s="3"/>
      <c r="I1825" s="3"/>
      <c r="J1825" s="3"/>
      <c r="K1825" s="3"/>
      <c r="L1825" s="3"/>
      <c r="M1825" s="2"/>
      <c r="N1825" s="2"/>
    </row>
    <row r="1826" spans="5:14" x14ac:dyDescent="0.35">
      <c r="E1826" s="2"/>
      <c r="F1826" s="2"/>
      <c r="G1826" s="3"/>
      <c r="H1826" s="3"/>
      <c r="I1826" s="3"/>
      <c r="J1826" s="3"/>
      <c r="K1826" s="3"/>
      <c r="L1826" s="3"/>
      <c r="M1826" s="2"/>
      <c r="N1826" s="2"/>
    </row>
    <row r="1827" spans="5:14" x14ac:dyDescent="0.35">
      <c r="E1827" s="2"/>
      <c r="F1827" s="2"/>
      <c r="G1827" s="3"/>
      <c r="H1827" s="3"/>
      <c r="I1827" s="3"/>
      <c r="J1827" s="3"/>
      <c r="K1827" s="3"/>
      <c r="L1827" s="3"/>
      <c r="M1827" s="2"/>
      <c r="N1827" s="2"/>
    </row>
    <row r="1828" spans="5:14" x14ac:dyDescent="0.35">
      <c r="E1828" s="2"/>
      <c r="F1828" s="2"/>
      <c r="G1828" s="3"/>
      <c r="H1828" s="3"/>
      <c r="I1828" s="3"/>
      <c r="J1828" s="3"/>
      <c r="K1828" s="3"/>
      <c r="L1828" s="3"/>
      <c r="M1828" s="2"/>
      <c r="N1828" s="2"/>
    </row>
    <row r="1829" spans="5:14" x14ac:dyDescent="0.35">
      <c r="E1829" s="2"/>
      <c r="F1829" s="2"/>
      <c r="G1829" s="3"/>
      <c r="H1829" s="3"/>
      <c r="I1829" s="3"/>
      <c r="J1829" s="3"/>
      <c r="K1829" s="3"/>
      <c r="L1829" s="3"/>
      <c r="M1829" s="2"/>
      <c r="N1829" s="2"/>
    </row>
    <row r="1830" spans="5:14" x14ac:dyDescent="0.35">
      <c r="E1830" s="2"/>
      <c r="F1830" s="2"/>
      <c r="G1830" s="3"/>
      <c r="H1830" s="3"/>
      <c r="I1830" s="3"/>
      <c r="J1830" s="3"/>
      <c r="K1830" s="3"/>
      <c r="L1830" s="3"/>
      <c r="M1830" s="2"/>
      <c r="N1830" s="2"/>
    </row>
    <row r="1831" spans="5:14" x14ac:dyDescent="0.35">
      <c r="E1831" s="2"/>
      <c r="F1831" s="2"/>
      <c r="G1831" s="3"/>
      <c r="H1831" s="3"/>
      <c r="I1831" s="3"/>
      <c r="J1831" s="3"/>
      <c r="K1831" s="3"/>
      <c r="L1831" s="3"/>
      <c r="M1831" s="2"/>
      <c r="N1831" s="2"/>
    </row>
    <row r="1832" spans="5:14" x14ac:dyDescent="0.35">
      <c r="E1832" s="2"/>
      <c r="F1832" s="2"/>
      <c r="G1832" s="3"/>
      <c r="H1832" s="3"/>
      <c r="I1832" s="3"/>
      <c r="J1832" s="3"/>
      <c r="K1832" s="3"/>
      <c r="L1832" s="3"/>
      <c r="M1832" s="2"/>
      <c r="N1832" s="2"/>
    </row>
    <row r="1833" spans="5:14" x14ac:dyDescent="0.35">
      <c r="E1833" s="2"/>
      <c r="F1833" s="2"/>
      <c r="G1833" s="3"/>
      <c r="H1833" s="3"/>
      <c r="I1833" s="3"/>
      <c r="J1833" s="3"/>
      <c r="K1833" s="3"/>
      <c r="L1833" s="3"/>
      <c r="M1833" s="2"/>
      <c r="N1833" s="2"/>
    </row>
    <row r="1834" spans="5:14" x14ac:dyDescent="0.35">
      <c r="E1834" s="2"/>
      <c r="F1834" s="2"/>
      <c r="G1834" s="3"/>
      <c r="H1834" s="3"/>
      <c r="I1834" s="3"/>
      <c r="J1834" s="3"/>
      <c r="K1834" s="3"/>
      <c r="L1834" s="3"/>
      <c r="M1834" s="2"/>
      <c r="N1834" s="2"/>
    </row>
    <row r="1835" spans="5:14" x14ac:dyDescent="0.35">
      <c r="E1835" s="2"/>
      <c r="F1835" s="2"/>
      <c r="G1835" s="3"/>
      <c r="H1835" s="3"/>
      <c r="I1835" s="3"/>
      <c r="J1835" s="3"/>
      <c r="K1835" s="3"/>
      <c r="L1835" s="3"/>
      <c r="M1835" s="2"/>
      <c r="N1835" s="2"/>
    </row>
    <row r="1836" spans="5:14" x14ac:dyDescent="0.35">
      <c r="E1836" s="2"/>
      <c r="F1836" s="2"/>
      <c r="G1836" s="3"/>
      <c r="H1836" s="3"/>
      <c r="I1836" s="3"/>
      <c r="J1836" s="3"/>
      <c r="K1836" s="3"/>
      <c r="L1836" s="3"/>
      <c r="M1836" s="2"/>
      <c r="N1836" s="2"/>
    </row>
    <row r="1837" spans="5:14" x14ac:dyDescent="0.35">
      <c r="E1837" s="2"/>
      <c r="F1837" s="2"/>
      <c r="G1837" s="3"/>
      <c r="H1837" s="3"/>
      <c r="I1837" s="3"/>
      <c r="J1837" s="3"/>
      <c r="K1837" s="3"/>
      <c r="L1837" s="3"/>
      <c r="M1837" s="2"/>
      <c r="N1837" s="2"/>
    </row>
    <row r="1838" spans="5:14" x14ac:dyDescent="0.35">
      <c r="E1838" s="2"/>
      <c r="F1838" s="2"/>
      <c r="G1838" s="3"/>
      <c r="H1838" s="3"/>
      <c r="I1838" s="3"/>
      <c r="J1838" s="3"/>
      <c r="K1838" s="3"/>
      <c r="L1838" s="3"/>
      <c r="M1838" s="2"/>
      <c r="N1838" s="2"/>
    </row>
    <row r="1839" spans="5:14" x14ac:dyDescent="0.35">
      <c r="E1839" s="2"/>
      <c r="F1839" s="2"/>
      <c r="G1839" s="3"/>
      <c r="H1839" s="3"/>
      <c r="I1839" s="3"/>
      <c r="J1839" s="3"/>
      <c r="K1839" s="3"/>
      <c r="L1839" s="3"/>
      <c r="M1839" s="2"/>
      <c r="N1839" s="2"/>
    </row>
    <row r="1840" spans="5:14" x14ac:dyDescent="0.35">
      <c r="E1840" s="2"/>
      <c r="F1840" s="2"/>
      <c r="G1840" s="3"/>
      <c r="H1840" s="3"/>
      <c r="I1840" s="3"/>
      <c r="J1840" s="3"/>
      <c r="K1840" s="3"/>
      <c r="L1840" s="3"/>
      <c r="M1840" s="2"/>
      <c r="N1840" s="2"/>
    </row>
    <row r="1841" spans="5:14" x14ac:dyDescent="0.35">
      <c r="E1841" s="2"/>
      <c r="F1841" s="2"/>
      <c r="G1841" s="3"/>
      <c r="H1841" s="3"/>
      <c r="I1841" s="3"/>
      <c r="J1841" s="3"/>
      <c r="K1841" s="3"/>
      <c r="L1841" s="3"/>
      <c r="M1841" s="2"/>
      <c r="N1841" s="2"/>
    </row>
    <row r="1842" spans="5:14" x14ac:dyDescent="0.35">
      <c r="E1842" s="2"/>
      <c r="F1842" s="2"/>
      <c r="G1842" s="3"/>
      <c r="H1842" s="3"/>
      <c r="I1842" s="3"/>
      <c r="J1842" s="3"/>
      <c r="K1842" s="3"/>
      <c r="L1842" s="3"/>
      <c r="M1842" s="2"/>
      <c r="N1842" s="2"/>
    </row>
    <row r="1843" spans="5:14" x14ac:dyDescent="0.35">
      <c r="E1843" s="2"/>
      <c r="F1843" s="2"/>
      <c r="G1843" s="3"/>
      <c r="H1843" s="3"/>
      <c r="I1843" s="3"/>
      <c r="J1843" s="3"/>
      <c r="K1843" s="3"/>
      <c r="L1843" s="3"/>
      <c r="M1843" s="2"/>
      <c r="N1843" s="2"/>
    </row>
    <row r="1844" spans="5:14" x14ac:dyDescent="0.35">
      <c r="E1844" s="2"/>
      <c r="F1844" s="2"/>
      <c r="G1844" s="3"/>
      <c r="H1844" s="3"/>
      <c r="I1844" s="3"/>
      <c r="J1844" s="3"/>
      <c r="K1844" s="3"/>
      <c r="L1844" s="3"/>
      <c r="M1844" s="2"/>
      <c r="N1844" s="2"/>
    </row>
    <row r="1845" spans="5:14" x14ac:dyDescent="0.35">
      <c r="E1845" s="2"/>
      <c r="F1845" s="2"/>
      <c r="G1845" s="3"/>
      <c r="H1845" s="3"/>
      <c r="I1845" s="3"/>
      <c r="J1845" s="3"/>
      <c r="K1845" s="3"/>
      <c r="L1845" s="3"/>
      <c r="M1845" s="2"/>
      <c r="N1845" s="2"/>
    </row>
    <row r="1846" spans="5:14" x14ac:dyDescent="0.35">
      <c r="E1846" s="2"/>
      <c r="F1846" s="2"/>
      <c r="G1846" s="3"/>
      <c r="H1846" s="3"/>
      <c r="I1846" s="3"/>
      <c r="J1846" s="3"/>
      <c r="K1846" s="3"/>
      <c r="L1846" s="3"/>
      <c r="M1846" s="2"/>
      <c r="N1846" s="2"/>
    </row>
    <row r="1847" spans="5:14" x14ac:dyDescent="0.35">
      <c r="E1847" s="2"/>
      <c r="F1847" s="2"/>
      <c r="G1847" s="3"/>
      <c r="H1847" s="3"/>
      <c r="I1847" s="3"/>
      <c r="J1847" s="3"/>
      <c r="K1847" s="3"/>
      <c r="L1847" s="3"/>
      <c r="M1847" s="2"/>
      <c r="N1847" s="2"/>
    </row>
    <row r="1848" spans="5:14" x14ac:dyDescent="0.35">
      <c r="E1848" s="2"/>
      <c r="F1848" s="2"/>
      <c r="G1848" s="3"/>
      <c r="H1848" s="3"/>
      <c r="I1848" s="3"/>
      <c r="J1848" s="3"/>
      <c r="K1848" s="3"/>
      <c r="L1848" s="3"/>
      <c r="M1848" s="2"/>
      <c r="N1848" s="2"/>
    </row>
    <row r="1849" spans="5:14" x14ac:dyDescent="0.35">
      <c r="E1849" s="2"/>
      <c r="F1849" s="2"/>
      <c r="G1849" s="3"/>
      <c r="H1849" s="3"/>
      <c r="I1849" s="3"/>
      <c r="J1849" s="3"/>
      <c r="K1849" s="3"/>
      <c r="L1849" s="3"/>
      <c r="M1849" s="2"/>
      <c r="N1849" s="2"/>
    </row>
    <row r="1850" spans="5:14" x14ac:dyDescent="0.35">
      <c r="E1850" s="2"/>
      <c r="F1850" s="2"/>
      <c r="G1850" s="3"/>
      <c r="H1850" s="3"/>
      <c r="I1850" s="3"/>
      <c r="J1850" s="3"/>
      <c r="K1850" s="3"/>
      <c r="L1850" s="3"/>
      <c r="M1850" s="2"/>
      <c r="N1850" s="2"/>
    </row>
    <row r="1851" spans="5:14" x14ac:dyDescent="0.35">
      <c r="E1851" s="2"/>
      <c r="F1851" s="2"/>
      <c r="G1851" s="3"/>
      <c r="H1851" s="3"/>
      <c r="I1851" s="3"/>
      <c r="J1851" s="3"/>
      <c r="K1851" s="3"/>
      <c r="L1851" s="3"/>
      <c r="M1851" s="2"/>
      <c r="N1851" s="2"/>
    </row>
    <row r="1852" spans="5:14" x14ac:dyDescent="0.35">
      <c r="E1852" s="2"/>
      <c r="F1852" s="2"/>
      <c r="G1852" s="3"/>
      <c r="H1852" s="3"/>
      <c r="I1852" s="3"/>
      <c r="J1852" s="3"/>
      <c r="K1852" s="3"/>
      <c r="L1852" s="3"/>
      <c r="M1852" s="2"/>
      <c r="N1852" s="2"/>
    </row>
    <row r="1853" spans="5:14" x14ac:dyDescent="0.35">
      <c r="E1853" s="2"/>
      <c r="F1853" s="2"/>
      <c r="G1853" s="3"/>
      <c r="H1853" s="3"/>
      <c r="I1853" s="3"/>
      <c r="J1853" s="3"/>
      <c r="K1853" s="3"/>
      <c r="L1853" s="3"/>
      <c r="M1853" s="2"/>
      <c r="N1853" s="2"/>
    </row>
    <row r="1854" spans="5:14" x14ac:dyDescent="0.35">
      <c r="E1854" s="2"/>
      <c r="F1854" s="2"/>
      <c r="G1854" s="3"/>
      <c r="H1854" s="3"/>
      <c r="I1854" s="3"/>
      <c r="J1854" s="3"/>
      <c r="K1854" s="3"/>
      <c r="L1854" s="3"/>
      <c r="M1854" s="2"/>
      <c r="N1854" s="2"/>
    </row>
    <row r="1855" spans="5:14" x14ac:dyDescent="0.35">
      <c r="E1855" s="2"/>
      <c r="F1855" s="2"/>
      <c r="G1855" s="3"/>
      <c r="H1855" s="3"/>
      <c r="I1855" s="3"/>
      <c r="J1855" s="3"/>
      <c r="K1855" s="3"/>
      <c r="L1855" s="3"/>
      <c r="M1855" s="2"/>
      <c r="N1855" s="2"/>
    </row>
    <row r="1856" spans="5:14" x14ac:dyDescent="0.35">
      <c r="E1856" s="2"/>
      <c r="F1856" s="2"/>
      <c r="G1856" s="3"/>
      <c r="H1856" s="3"/>
      <c r="I1856" s="3"/>
      <c r="J1856" s="3"/>
      <c r="K1856" s="3"/>
      <c r="L1856" s="3"/>
      <c r="M1856" s="2"/>
      <c r="N1856" s="2"/>
    </row>
    <row r="1857" spans="5:14" x14ac:dyDescent="0.35">
      <c r="E1857" s="2"/>
      <c r="F1857" s="2"/>
      <c r="G1857" s="3"/>
      <c r="H1857" s="3"/>
      <c r="I1857" s="3"/>
      <c r="J1857" s="3"/>
      <c r="K1857" s="3"/>
      <c r="L1857" s="3"/>
      <c r="M1857" s="2"/>
      <c r="N1857" s="2"/>
    </row>
    <row r="1858" spans="5:14" x14ac:dyDescent="0.35">
      <c r="E1858" s="2"/>
      <c r="F1858" s="2"/>
      <c r="G1858" s="3"/>
      <c r="H1858" s="3"/>
      <c r="I1858" s="3"/>
      <c r="J1858" s="3"/>
      <c r="K1858" s="3"/>
      <c r="L1858" s="3"/>
      <c r="M1858" s="2"/>
      <c r="N1858" s="2"/>
    </row>
    <row r="1859" spans="5:14" x14ac:dyDescent="0.35">
      <c r="E1859" s="2"/>
      <c r="F1859" s="2"/>
      <c r="G1859" s="3"/>
      <c r="H1859" s="3"/>
      <c r="I1859" s="3"/>
      <c r="J1859" s="3"/>
      <c r="K1859" s="3"/>
      <c r="L1859" s="3"/>
      <c r="M1859" s="2"/>
      <c r="N1859" s="2"/>
    </row>
    <row r="1860" spans="5:14" x14ac:dyDescent="0.35">
      <c r="E1860" s="2"/>
      <c r="F1860" s="2"/>
      <c r="G1860" s="3"/>
      <c r="H1860" s="3"/>
      <c r="I1860" s="3"/>
      <c r="J1860" s="3"/>
      <c r="K1860" s="3"/>
      <c r="L1860" s="3"/>
      <c r="M1860" s="2"/>
      <c r="N1860" s="2"/>
    </row>
    <row r="1861" spans="5:14" x14ac:dyDescent="0.35">
      <c r="E1861" s="2"/>
      <c r="F1861" s="2"/>
      <c r="G1861" s="3"/>
      <c r="H1861" s="3"/>
      <c r="I1861" s="3"/>
      <c r="J1861" s="3"/>
      <c r="K1861" s="3"/>
      <c r="L1861" s="3"/>
      <c r="M1861" s="2"/>
      <c r="N1861" s="2"/>
    </row>
    <row r="1862" spans="5:14" x14ac:dyDescent="0.35">
      <c r="E1862" s="2"/>
      <c r="F1862" s="2"/>
      <c r="G1862" s="3"/>
      <c r="H1862" s="3"/>
      <c r="I1862" s="3"/>
      <c r="J1862" s="3"/>
      <c r="K1862" s="3"/>
      <c r="L1862" s="3"/>
      <c r="M1862" s="2"/>
      <c r="N1862" s="2"/>
    </row>
    <row r="1863" spans="5:14" x14ac:dyDescent="0.35">
      <c r="E1863" s="2"/>
      <c r="F1863" s="2"/>
      <c r="G1863" s="3"/>
      <c r="H1863" s="3"/>
      <c r="I1863" s="3"/>
      <c r="J1863" s="3"/>
      <c r="K1863" s="3"/>
      <c r="L1863" s="3"/>
      <c r="M1863" s="2"/>
      <c r="N1863" s="2"/>
    </row>
    <row r="1864" spans="5:14" x14ac:dyDescent="0.35">
      <c r="E1864" s="2"/>
      <c r="F1864" s="2"/>
      <c r="G1864" s="3"/>
      <c r="H1864" s="3"/>
      <c r="I1864" s="3"/>
      <c r="J1864" s="3"/>
      <c r="K1864" s="3"/>
      <c r="L1864" s="3"/>
      <c r="M1864" s="2"/>
      <c r="N1864" s="2"/>
    </row>
    <row r="1865" spans="5:14" x14ac:dyDescent="0.35">
      <c r="E1865" s="2"/>
      <c r="F1865" s="2"/>
      <c r="G1865" s="3"/>
      <c r="H1865" s="3"/>
      <c r="I1865" s="3"/>
      <c r="J1865" s="3"/>
      <c r="K1865" s="3"/>
      <c r="L1865" s="3"/>
      <c r="M1865" s="2"/>
      <c r="N1865" s="2"/>
    </row>
    <row r="1866" spans="5:14" x14ac:dyDescent="0.35">
      <c r="E1866" s="2"/>
      <c r="F1866" s="2"/>
      <c r="G1866" s="3"/>
      <c r="H1866" s="3"/>
      <c r="I1866" s="3"/>
      <c r="J1866" s="3"/>
      <c r="K1866" s="3"/>
      <c r="L1866" s="3"/>
      <c r="M1866" s="2"/>
      <c r="N1866" s="2"/>
    </row>
    <row r="1867" spans="5:14" x14ac:dyDescent="0.35">
      <c r="E1867" s="2"/>
      <c r="F1867" s="2"/>
      <c r="G1867" s="3"/>
      <c r="H1867" s="3"/>
      <c r="I1867" s="3"/>
      <c r="J1867" s="3"/>
      <c r="K1867" s="3"/>
      <c r="L1867" s="3"/>
      <c r="M1867" s="2"/>
      <c r="N1867" s="2"/>
    </row>
    <row r="1868" spans="5:14" x14ac:dyDescent="0.35">
      <c r="E1868" s="2"/>
      <c r="F1868" s="2"/>
      <c r="G1868" s="3"/>
      <c r="H1868" s="3"/>
      <c r="I1868" s="3"/>
      <c r="J1868" s="3"/>
      <c r="K1868" s="3"/>
      <c r="L1868" s="3"/>
      <c r="M1868" s="2"/>
      <c r="N1868" s="2"/>
    </row>
    <row r="1869" spans="5:14" x14ac:dyDescent="0.35">
      <c r="E1869" s="2"/>
      <c r="F1869" s="2"/>
      <c r="G1869" s="3"/>
      <c r="H1869" s="3"/>
      <c r="I1869" s="3"/>
      <c r="J1869" s="3"/>
      <c r="K1869" s="3"/>
      <c r="L1869" s="3"/>
      <c r="M1869" s="2"/>
      <c r="N1869" s="2"/>
    </row>
    <row r="1870" spans="5:14" x14ac:dyDescent="0.35">
      <c r="E1870" s="2"/>
      <c r="F1870" s="2"/>
      <c r="G1870" s="3"/>
      <c r="H1870" s="3"/>
      <c r="I1870" s="3"/>
      <c r="J1870" s="3"/>
      <c r="K1870" s="3"/>
      <c r="L1870" s="3"/>
      <c r="M1870" s="2"/>
      <c r="N1870" s="2"/>
    </row>
    <row r="1871" spans="5:14" x14ac:dyDescent="0.35">
      <c r="E1871" s="2"/>
      <c r="F1871" s="2"/>
      <c r="G1871" s="3"/>
      <c r="H1871" s="3"/>
      <c r="I1871" s="3"/>
      <c r="J1871" s="3"/>
      <c r="K1871" s="3"/>
      <c r="L1871" s="3"/>
      <c r="M1871" s="2"/>
      <c r="N1871" s="2"/>
    </row>
    <row r="1872" spans="5:14" x14ac:dyDescent="0.35">
      <c r="E1872" s="2"/>
      <c r="F1872" s="2"/>
      <c r="G1872" s="3"/>
      <c r="H1872" s="3"/>
      <c r="I1872" s="3"/>
      <c r="J1872" s="3"/>
      <c r="K1872" s="3"/>
      <c r="L1872" s="3"/>
      <c r="M1872" s="2"/>
      <c r="N1872" s="2"/>
    </row>
    <row r="1873" spans="5:14" x14ac:dyDescent="0.35">
      <c r="E1873" s="2"/>
      <c r="F1873" s="2"/>
      <c r="G1873" s="3"/>
      <c r="H1873" s="3"/>
      <c r="I1873" s="3"/>
      <c r="J1873" s="3"/>
      <c r="K1873" s="3"/>
      <c r="L1873" s="3"/>
      <c r="M1873" s="2"/>
      <c r="N1873" s="2"/>
    </row>
    <row r="1874" spans="5:14" x14ac:dyDescent="0.35">
      <c r="E1874" s="2"/>
      <c r="F1874" s="2"/>
      <c r="G1874" s="3"/>
      <c r="H1874" s="3"/>
      <c r="I1874" s="3"/>
      <c r="J1874" s="3"/>
      <c r="K1874" s="3"/>
      <c r="L1874" s="3"/>
      <c r="M1874" s="2"/>
      <c r="N1874" s="2"/>
    </row>
    <row r="1875" spans="5:14" x14ac:dyDescent="0.35">
      <c r="E1875" s="2"/>
      <c r="F1875" s="2"/>
      <c r="G1875" s="3"/>
      <c r="H1875" s="3"/>
      <c r="I1875" s="3"/>
      <c r="J1875" s="3"/>
      <c r="K1875" s="3"/>
      <c r="L1875" s="3"/>
      <c r="M1875" s="2"/>
      <c r="N1875" s="2"/>
    </row>
    <row r="1876" spans="5:14" x14ac:dyDescent="0.35">
      <c r="E1876" s="2"/>
      <c r="F1876" s="2"/>
      <c r="G1876" s="3"/>
      <c r="H1876" s="3"/>
      <c r="I1876" s="3"/>
      <c r="J1876" s="3"/>
      <c r="K1876" s="3"/>
      <c r="L1876" s="3"/>
      <c r="M1876" s="2"/>
      <c r="N1876" s="2"/>
    </row>
    <row r="1877" spans="5:14" x14ac:dyDescent="0.35">
      <c r="E1877" s="2"/>
      <c r="F1877" s="2"/>
      <c r="G1877" s="3"/>
      <c r="H1877" s="3"/>
      <c r="I1877" s="3"/>
      <c r="J1877" s="3"/>
      <c r="K1877" s="3"/>
      <c r="L1877" s="3"/>
      <c r="M1877" s="2"/>
      <c r="N1877" s="2"/>
    </row>
    <row r="1878" spans="5:14" x14ac:dyDescent="0.35">
      <c r="E1878" s="2"/>
      <c r="F1878" s="2"/>
      <c r="G1878" s="3"/>
      <c r="H1878" s="3"/>
      <c r="I1878" s="3"/>
      <c r="J1878" s="3"/>
      <c r="K1878" s="3"/>
      <c r="L1878" s="3"/>
      <c r="M1878" s="2"/>
      <c r="N1878" s="2"/>
    </row>
    <row r="1879" spans="5:14" x14ac:dyDescent="0.35">
      <c r="E1879" s="2"/>
      <c r="F1879" s="2"/>
      <c r="G1879" s="3"/>
      <c r="H1879" s="3"/>
      <c r="I1879" s="3"/>
      <c r="J1879" s="3"/>
      <c r="K1879" s="3"/>
      <c r="L1879" s="3"/>
      <c r="M1879" s="2"/>
      <c r="N1879" s="2"/>
    </row>
    <row r="1880" spans="5:14" x14ac:dyDescent="0.35">
      <c r="E1880" s="2"/>
      <c r="F1880" s="2"/>
      <c r="G1880" s="3"/>
      <c r="H1880" s="3"/>
      <c r="I1880" s="3"/>
      <c r="J1880" s="3"/>
      <c r="K1880" s="3"/>
      <c r="L1880" s="3"/>
      <c r="M1880" s="2"/>
      <c r="N1880" s="2"/>
    </row>
    <row r="1881" spans="5:14" x14ac:dyDescent="0.35">
      <c r="E1881" s="2"/>
      <c r="F1881" s="2"/>
      <c r="G1881" s="3"/>
      <c r="H1881" s="3"/>
      <c r="I1881" s="3"/>
      <c r="J1881" s="3"/>
      <c r="K1881" s="3"/>
      <c r="L1881" s="3"/>
      <c r="M1881" s="2"/>
      <c r="N1881" s="2"/>
    </row>
    <row r="1882" spans="5:14" x14ac:dyDescent="0.35">
      <c r="E1882" s="2"/>
      <c r="F1882" s="2"/>
      <c r="G1882" s="3"/>
      <c r="H1882" s="3"/>
      <c r="I1882" s="3"/>
      <c r="J1882" s="3"/>
      <c r="K1882" s="3"/>
      <c r="L1882" s="3"/>
      <c r="M1882" s="2"/>
      <c r="N1882" s="2"/>
    </row>
    <row r="1883" spans="5:14" x14ac:dyDescent="0.35">
      <c r="E1883" s="2"/>
      <c r="F1883" s="2"/>
      <c r="G1883" s="3"/>
      <c r="H1883" s="3"/>
      <c r="I1883" s="3"/>
      <c r="J1883" s="3"/>
      <c r="K1883" s="3"/>
      <c r="L1883" s="3"/>
      <c r="M1883" s="2"/>
      <c r="N1883" s="2"/>
    </row>
    <row r="1884" spans="5:14" x14ac:dyDescent="0.35">
      <c r="E1884" s="2"/>
      <c r="F1884" s="2"/>
      <c r="G1884" s="3"/>
      <c r="H1884" s="3"/>
      <c r="I1884" s="3"/>
      <c r="J1884" s="3"/>
      <c r="K1884" s="3"/>
      <c r="L1884" s="3"/>
      <c r="M1884" s="2"/>
      <c r="N1884" s="2"/>
    </row>
    <row r="1885" spans="5:14" x14ac:dyDescent="0.35">
      <c r="E1885" s="2"/>
      <c r="F1885" s="2"/>
      <c r="G1885" s="3"/>
      <c r="H1885" s="3"/>
      <c r="I1885" s="3"/>
      <c r="J1885" s="3"/>
      <c r="K1885" s="3"/>
      <c r="L1885" s="3"/>
      <c r="M1885" s="2"/>
      <c r="N1885" s="2"/>
    </row>
    <row r="1886" spans="5:14" x14ac:dyDescent="0.35">
      <c r="E1886" s="2"/>
      <c r="F1886" s="2"/>
      <c r="G1886" s="3"/>
      <c r="H1886" s="3"/>
      <c r="I1886" s="3"/>
      <c r="J1886" s="3"/>
      <c r="K1886" s="3"/>
      <c r="L1886" s="3"/>
      <c r="M1886" s="2"/>
      <c r="N1886" s="2"/>
    </row>
    <row r="1887" spans="5:14" x14ac:dyDescent="0.35">
      <c r="E1887" s="2"/>
      <c r="F1887" s="2"/>
      <c r="G1887" s="3"/>
      <c r="H1887" s="3"/>
      <c r="I1887" s="3"/>
      <c r="J1887" s="3"/>
      <c r="K1887" s="3"/>
      <c r="L1887" s="3"/>
      <c r="M1887" s="2"/>
      <c r="N1887" s="2"/>
    </row>
    <row r="1888" spans="5:14" x14ac:dyDescent="0.35">
      <c r="E1888" s="2"/>
      <c r="F1888" s="2"/>
      <c r="G1888" s="3"/>
      <c r="H1888" s="3"/>
      <c r="I1888" s="3"/>
      <c r="J1888" s="3"/>
      <c r="K1888" s="3"/>
      <c r="L1888" s="3"/>
      <c r="M1888" s="2"/>
      <c r="N1888" s="2"/>
    </row>
    <row r="1889" spans="5:14" x14ac:dyDescent="0.35">
      <c r="E1889" s="2"/>
      <c r="F1889" s="2"/>
      <c r="G1889" s="3"/>
      <c r="H1889" s="3"/>
      <c r="I1889" s="3"/>
      <c r="J1889" s="3"/>
      <c r="K1889" s="3"/>
      <c r="L1889" s="3"/>
      <c r="M1889" s="2"/>
      <c r="N1889" s="2"/>
    </row>
    <row r="1890" spans="5:14" x14ac:dyDescent="0.35">
      <c r="E1890" s="2"/>
      <c r="F1890" s="2"/>
      <c r="G1890" s="3"/>
      <c r="H1890" s="3"/>
      <c r="I1890" s="3"/>
      <c r="J1890" s="3"/>
      <c r="K1890" s="3"/>
      <c r="L1890" s="3"/>
      <c r="M1890" s="2"/>
      <c r="N1890" s="2"/>
    </row>
    <row r="1891" spans="5:14" x14ac:dyDescent="0.35">
      <c r="E1891" s="2"/>
      <c r="F1891" s="2"/>
      <c r="G1891" s="3"/>
      <c r="H1891" s="3"/>
      <c r="I1891" s="3"/>
      <c r="J1891" s="3"/>
      <c r="K1891" s="3"/>
      <c r="L1891" s="3"/>
      <c r="M1891" s="2"/>
      <c r="N1891" s="2"/>
    </row>
    <row r="1892" spans="5:14" x14ac:dyDescent="0.35">
      <c r="E1892" s="2"/>
      <c r="F1892" s="2"/>
      <c r="G1892" s="3"/>
      <c r="H1892" s="3"/>
      <c r="I1892" s="3"/>
      <c r="J1892" s="3"/>
      <c r="K1892" s="3"/>
      <c r="L1892" s="3"/>
      <c r="M1892" s="2"/>
      <c r="N1892" s="2"/>
    </row>
    <row r="1893" spans="5:14" x14ac:dyDescent="0.35">
      <c r="E1893" s="2"/>
      <c r="F1893" s="2"/>
      <c r="G1893" s="3"/>
      <c r="H1893" s="3"/>
      <c r="I1893" s="3"/>
      <c r="J1893" s="3"/>
      <c r="K1893" s="3"/>
      <c r="L1893" s="3"/>
      <c r="M1893" s="2"/>
      <c r="N1893" s="2"/>
    </row>
    <row r="1894" spans="5:14" x14ac:dyDescent="0.35">
      <c r="E1894" s="2"/>
      <c r="F1894" s="2"/>
      <c r="G1894" s="3"/>
      <c r="H1894" s="3"/>
      <c r="I1894" s="3"/>
      <c r="J1894" s="3"/>
      <c r="K1894" s="3"/>
      <c r="L1894" s="3"/>
      <c r="M1894" s="2"/>
      <c r="N1894" s="2"/>
    </row>
    <row r="1895" spans="5:14" x14ac:dyDescent="0.35">
      <c r="E1895" s="2"/>
      <c r="F1895" s="2"/>
      <c r="G1895" s="3"/>
      <c r="H1895" s="3"/>
      <c r="I1895" s="3"/>
      <c r="J1895" s="3"/>
      <c r="K1895" s="3"/>
      <c r="L1895" s="3"/>
      <c r="M1895" s="2"/>
      <c r="N1895" s="2"/>
    </row>
    <row r="1896" spans="5:14" x14ac:dyDescent="0.35">
      <c r="E1896" s="2"/>
      <c r="F1896" s="2"/>
      <c r="G1896" s="3"/>
      <c r="H1896" s="3"/>
      <c r="I1896" s="3"/>
      <c r="J1896" s="3"/>
      <c r="K1896" s="3"/>
      <c r="L1896" s="3"/>
      <c r="M1896" s="2"/>
      <c r="N1896" s="2"/>
    </row>
    <row r="1897" spans="5:14" x14ac:dyDescent="0.35">
      <c r="E1897" s="2"/>
      <c r="F1897" s="2"/>
      <c r="G1897" s="3"/>
      <c r="H1897" s="3"/>
      <c r="I1897" s="3"/>
      <c r="J1897" s="3"/>
      <c r="K1897" s="3"/>
      <c r="L1897" s="3"/>
      <c r="M1897" s="2"/>
      <c r="N1897" s="2"/>
    </row>
    <row r="1898" spans="5:14" x14ac:dyDescent="0.35">
      <c r="E1898" s="2"/>
      <c r="F1898" s="2"/>
      <c r="G1898" s="3"/>
      <c r="H1898" s="3"/>
      <c r="I1898" s="3"/>
      <c r="J1898" s="3"/>
      <c r="K1898" s="3"/>
      <c r="L1898" s="3"/>
      <c r="M1898" s="2"/>
      <c r="N1898" s="2"/>
    </row>
    <row r="1899" spans="5:14" x14ac:dyDescent="0.35">
      <c r="E1899" s="2"/>
      <c r="F1899" s="2"/>
      <c r="G1899" s="3"/>
      <c r="H1899" s="3"/>
      <c r="I1899" s="3"/>
      <c r="J1899" s="3"/>
      <c r="K1899" s="3"/>
      <c r="L1899" s="3"/>
      <c r="M1899" s="2"/>
      <c r="N1899" s="2"/>
    </row>
    <row r="1900" spans="5:14" x14ac:dyDescent="0.35">
      <c r="E1900" s="2"/>
      <c r="F1900" s="2"/>
      <c r="G1900" s="3"/>
      <c r="H1900" s="3"/>
      <c r="I1900" s="3"/>
      <c r="J1900" s="3"/>
      <c r="K1900" s="3"/>
      <c r="L1900" s="3"/>
      <c r="M1900" s="2"/>
      <c r="N1900" s="2"/>
    </row>
    <row r="1901" spans="5:14" x14ac:dyDescent="0.35">
      <c r="E1901" s="2"/>
      <c r="F1901" s="2"/>
      <c r="G1901" s="3"/>
      <c r="H1901" s="3"/>
      <c r="I1901" s="3"/>
      <c r="J1901" s="3"/>
      <c r="K1901" s="3"/>
      <c r="L1901" s="3"/>
      <c r="M1901" s="2"/>
      <c r="N1901" s="2"/>
    </row>
    <row r="1902" spans="5:14" x14ac:dyDescent="0.35">
      <c r="E1902" s="2"/>
      <c r="F1902" s="2"/>
      <c r="G1902" s="3"/>
      <c r="H1902" s="3"/>
      <c r="I1902" s="3"/>
      <c r="J1902" s="3"/>
      <c r="K1902" s="3"/>
      <c r="L1902" s="3"/>
      <c r="M1902" s="2"/>
      <c r="N1902" s="2"/>
    </row>
    <row r="1903" spans="5:14" x14ac:dyDescent="0.35">
      <c r="E1903" s="2"/>
      <c r="F1903" s="2"/>
      <c r="G1903" s="3"/>
      <c r="H1903" s="3"/>
      <c r="I1903" s="3"/>
      <c r="J1903" s="3"/>
      <c r="K1903" s="3"/>
      <c r="L1903" s="3"/>
      <c r="M1903" s="2"/>
      <c r="N1903" s="2"/>
    </row>
    <row r="1904" spans="5:14" x14ac:dyDescent="0.35">
      <c r="E1904" s="2"/>
      <c r="F1904" s="2"/>
      <c r="G1904" s="3"/>
      <c r="H1904" s="3"/>
      <c r="I1904" s="3"/>
      <c r="J1904" s="3"/>
      <c r="K1904" s="3"/>
      <c r="L1904" s="3"/>
      <c r="M1904" s="2"/>
      <c r="N1904" s="2"/>
    </row>
    <row r="1905" spans="5:14" x14ac:dyDescent="0.35">
      <c r="E1905" s="2"/>
      <c r="F1905" s="2"/>
      <c r="G1905" s="3"/>
      <c r="H1905" s="3"/>
      <c r="I1905" s="3"/>
      <c r="J1905" s="3"/>
      <c r="K1905" s="3"/>
      <c r="L1905" s="3"/>
      <c r="M1905" s="2"/>
      <c r="N1905" s="2"/>
    </row>
    <row r="1906" spans="5:14" x14ac:dyDescent="0.35">
      <c r="E1906" s="2"/>
      <c r="F1906" s="2"/>
      <c r="G1906" s="3"/>
      <c r="H1906" s="3"/>
      <c r="I1906" s="3"/>
      <c r="J1906" s="3"/>
      <c r="K1906" s="3"/>
      <c r="L1906" s="3"/>
      <c r="M1906" s="2"/>
      <c r="N1906" s="2"/>
    </row>
    <row r="1907" spans="5:14" x14ac:dyDescent="0.35">
      <c r="E1907" s="2"/>
      <c r="F1907" s="2"/>
      <c r="G1907" s="3"/>
      <c r="H1907" s="3"/>
      <c r="I1907" s="3"/>
      <c r="J1907" s="3"/>
      <c r="K1907" s="3"/>
      <c r="L1907" s="3"/>
      <c r="M1907" s="2"/>
      <c r="N1907" s="2"/>
    </row>
    <row r="1908" spans="5:14" x14ac:dyDescent="0.35">
      <c r="E1908" s="2"/>
      <c r="F1908" s="2"/>
      <c r="G1908" s="3"/>
      <c r="H1908" s="3"/>
      <c r="I1908" s="3"/>
      <c r="J1908" s="3"/>
      <c r="K1908" s="3"/>
      <c r="L1908" s="3"/>
      <c r="M1908" s="2"/>
      <c r="N1908" s="2"/>
    </row>
    <row r="1909" spans="5:14" x14ac:dyDescent="0.35">
      <c r="E1909" s="2"/>
      <c r="F1909" s="2"/>
      <c r="G1909" s="3"/>
      <c r="H1909" s="3"/>
      <c r="I1909" s="3"/>
      <c r="J1909" s="3"/>
      <c r="K1909" s="3"/>
      <c r="L1909" s="3"/>
      <c r="M1909" s="2"/>
      <c r="N1909" s="2"/>
    </row>
    <row r="1910" spans="5:14" x14ac:dyDescent="0.35">
      <c r="E1910" s="2"/>
      <c r="F1910" s="2"/>
      <c r="G1910" s="3"/>
      <c r="H1910" s="3"/>
      <c r="I1910" s="3"/>
      <c r="J1910" s="3"/>
      <c r="K1910" s="3"/>
      <c r="L1910" s="3"/>
      <c r="M1910" s="2"/>
      <c r="N1910" s="2"/>
    </row>
    <row r="1911" spans="5:14" x14ac:dyDescent="0.35">
      <c r="E1911" s="2"/>
      <c r="F1911" s="2"/>
      <c r="G1911" s="3"/>
      <c r="H1911" s="3"/>
      <c r="I1911" s="3"/>
      <c r="J1911" s="3"/>
      <c r="K1911" s="3"/>
      <c r="L1911" s="3"/>
      <c r="M1911" s="2"/>
      <c r="N1911" s="2"/>
    </row>
    <row r="1912" spans="5:14" x14ac:dyDescent="0.35">
      <c r="E1912" s="2"/>
      <c r="F1912" s="2"/>
      <c r="G1912" s="3"/>
      <c r="H1912" s="3"/>
      <c r="I1912" s="3"/>
      <c r="J1912" s="3"/>
      <c r="K1912" s="3"/>
      <c r="L1912" s="3"/>
      <c r="M1912" s="2"/>
      <c r="N1912" s="2"/>
    </row>
    <row r="1913" spans="5:14" x14ac:dyDescent="0.35">
      <c r="E1913" s="2"/>
      <c r="F1913" s="2"/>
      <c r="G1913" s="3"/>
      <c r="H1913" s="3"/>
      <c r="I1913" s="3"/>
      <c r="J1913" s="3"/>
      <c r="K1913" s="3"/>
      <c r="L1913" s="3"/>
      <c r="M1913" s="2"/>
      <c r="N1913" s="2"/>
    </row>
    <row r="1914" spans="5:14" x14ac:dyDescent="0.35">
      <c r="E1914" s="2"/>
      <c r="F1914" s="2"/>
      <c r="G1914" s="3"/>
      <c r="H1914" s="3"/>
      <c r="I1914" s="3"/>
      <c r="J1914" s="3"/>
      <c r="K1914" s="3"/>
      <c r="L1914" s="3"/>
      <c r="M1914" s="2"/>
      <c r="N1914" s="2"/>
    </row>
    <row r="1915" spans="5:14" x14ac:dyDescent="0.35">
      <c r="E1915" s="2"/>
      <c r="F1915" s="2"/>
      <c r="G1915" s="3"/>
      <c r="H1915" s="3"/>
      <c r="I1915" s="3"/>
      <c r="J1915" s="3"/>
      <c r="K1915" s="3"/>
      <c r="L1915" s="3"/>
      <c r="M1915" s="2"/>
      <c r="N1915" s="2"/>
    </row>
    <row r="1916" spans="5:14" x14ac:dyDescent="0.35">
      <c r="E1916" s="2"/>
      <c r="F1916" s="2"/>
      <c r="G1916" s="3"/>
      <c r="H1916" s="3"/>
      <c r="I1916" s="3"/>
      <c r="J1916" s="3"/>
      <c r="K1916" s="3"/>
      <c r="L1916" s="3"/>
      <c r="M1916" s="2"/>
      <c r="N1916" s="2"/>
    </row>
    <row r="1917" spans="5:14" x14ac:dyDescent="0.35">
      <c r="E1917" s="2"/>
      <c r="F1917" s="2"/>
      <c r="G1917" s="3"/>
      <c r="H1917" s="3"/>
      <c r="I1917" s="3"/>
      <c r="J1917" s="3"/>
      <c r="K1917" s="3"/>
      <c r="L1917" s="3"/>
      <c r="M1917" s="2"/>
      <c r="N1917" s="2"/>
    </row>
    <row r="1918" spans="5:14" x14ac:dyDescent="0.35">
      <c r="E1918" s="2"/>
      <c r="F1918" s="2"/>
      <c r="G1918" s="3"/>
      <c r="H1918" s="3"/>
      <c r="I1918" s="3"/>
      <c r="J1918" s="3"/>
      <c r="K1918" s="3"/>
      <c r="L1918" s="3"/>
      <c r="M1918" s="2"/>
      <c r="N1918" s="2"/>
    </row>
    <row r="1919" spans="5:14" x14ac:dyDescent="0.35">
      <c r="E1919" s="2"/>
      <c r="F1919" s="2"/>
      <c r="G1919" s="3"/>
      <c r="H1919" s="3"/>
      <c r="I1919" s="3"/>
      <c r="J1919" s="3"/>
      <c r="K1919" s="3"/>
      <c r="L1919" s="3"/>
      <c r="M1919" s="2"/>
      <c r="N1919" s="2"/>
    </row>
    <row r="1920" spans="5:14" x14ac:dyDescent="0.35">
      <c r="E1920" s="2"/>
      <c r="F1920" s="2"/>
      <c r="G1920" s="3"/>
      <c r="H1920" s="3"/>
      <c r="I1920" s="3"/>
      <c r="J1920" s="3"/>
      <c r="K1920" s="3"/>
      <c r="L1920" s="3"/>
      <c r="M1920" s="2"/>
      <c r="N1920" s="2"/>
    </row>
    <row r="1921" spans="5:14" x14ac:dyDescent="0.35">
      <c r="E1921" s="2"/>
      <c r="F1921" s="2"/>
      <c r="G1921" s="3"/>
      <c r="H1921" s="3"/>
      <c r="I1921" s="3"/>
      <c r="J1921" s="3"/>
      <c r="K1921" s="3"/>
      <c r="L1921" s="3"/>
      <c r="M1921" s="2"/>
      <c r="N1921" s="2"/>
    </row>
    <row r="1922" spans="5:14" x14ac:dyDescent="0.35">
      <c r="E1922" s="2"/>
      <c r="F1922" s="2"/>
      <c r="G1922" s="3"/>
      <c r="H1922" s="3"/>
      <c r="I1922" s="3"/>
      <c r="J1922" s="3"/>
      <c r="K1922" s="3"/>
      <c r="L1922" s="3"/>
      <c r="M1922" s="2"/>
      <c r="N1922" s="2"/>
    </row>
    <row r="1923" spans="5:14" x14ac:dyDescent="0.35">
      <c r="E1923" s="2"/>
      <c r="F1923" s="2"/>
      <c r="G1923" s="3"/>
      <c r="H1923" s="3"/>
      <c r="I1923" s="3"/>
      <c r="J1923" s="3"/>
      <c r="K1923" s="3"/>
      <c r="L1923" s="3"/>
      <c r="M1923" s="2"/>
      <c r="N1923" s="2"/>
    </row>
    <row r="1924" spans="5:14" x14ac:dyDescent="0.35">
      <c r="E1924" s="2"/>
      <c r="F1924" s="2"/>
      <c r="G1924" s="3"/>
      <c r="H1924" s="3"/>
      <c r="I1924" s="3"/>
      <c r="J1924" s="3"/>
      <c r="K1924" s="3"/>
      <c r="L1924" s="3"/>
      <c r="M1924" s="2"/>
      <c r="N1924" s="2"/>
    </row>
    <row r="1925" spans="5:14" x14ac:dyDescent="0.35">
      <c r="E1925" s="2"/>
      <c r="F1925" s="2"/>
      <c r="G1925" s="3"/>
      <c r="H1925" s="3"/>
      <c r="I1925" s="3"/>
      <c r="J1925" s="3"/>
      <c r="K1925" s="3"/>
      <c r="L1925" s="3"/>
      <c r="M1925" s="2"/>
      <c r="N1925" s="2"/>
    </row>
    <row r="1926" spans="5:14" x14ac:dyDescent="0.35">
      <c r="E1926" s="2"/>
      <c r="F1926" s="2"/>
      <c r="G1926" s="3"/>
      <c r="H1926" s="3"/>
      <c r="I1926" s="3"/>
      <c r="J1926" s="3"/>
      <c r="K1926" s="3"/>
      <c r="L1926" s="3"/>
      <c r="M1926" s="2"/>
      <c r="N1926" s="2"/>
    </row>
    <row r="1927" spans="5:14" x14ac:dyDescent="0.35">
      <c r="E1927" s="2"/>
      <c r="F1927" s="2"/>
      <c r="G1927" s="3"/>
      <c r="H1927" s="3"/>
      <c r="I1927" s="3"/>
      <c r="J1927" s="3"/>
      <c r="K1927" s="3"/>
      <c r="L1927" s="3"/>
      <c r="M1927" s="2"/>
      <c r="N1927" s="2"/>
    </row>
    <row r="1928" spans="5:14" x14ac:dyDescent="0.35">
      <c r="E1928" s="2"/>
      <c r="F1928" s="2"/>
      <c r="G1928" s="3"/>
      <c r="H1928" s="3"/>
      <c r="I1928" s="3"/>
      <c r="J1928" s="3"/>
      <c r="K1928" s="3"/>
      <c r="L1928" s="3"/>
      <c r="M1928" s="2"/>
      <c r="N1928" s="2"/>
    </row>
    <row r="1929" spans="5:14" x14ac:dyDescent="0.35">
      <c r="E1929" s="2"/>
      <c r="F1929" s="2"/>
      <c r="G1929" s="3"/>
      <c r="H1929" s="3"/>
      <c r="I1929" s="3"/>
      <c r="J1929" s="3"/>
      <c r="K1929" s="3"/>
      <c r="L1929" s="3"/>
      <c r="M1929" s="2"/>
      <c r="N1929" s="2"/>
    </row>
    <row r="1930" spans="5:14" x14ac:dyDescent="0.35">
      <c r="E1930" s="2"/>
      <c r="F1930" s="2"/>
      <c r="G1930" s="3"/>
      <c r="H1930" s="3"/>
      <c r="I1930" s="3"/>
      <c r="J1930" s="3"/>
      <c r="K1930" s="3"/>
      <c r="L1930" s="3"/>
      <c r="M1930" s="2"/>
      <c r="N1930" s="2"/>
    </row>
    <row r="1931" spans="5:14" x14ac:dyDescent="0.35">
      <c r="E1931" s="2"/>
      <c r="F1931" s="2"/>
      <c r="G1931" s="3"/>
      <c r="H1931" s="3"/>
      <c r="I1931" s="3"/>
      <c r="J1931" s="3"/>
      <c r="K1931" s="3"/>
      <c r="L1931" s="3"/>
      <c r="M1931" s="2"/>
      <c r="N1931" s="2"/>
    </row>
    <row r="1932" spans="5:14" x14ac:dyDescent="0.35">
      <c r="E1932" s="2"/>
      <c r="F1932" s="2"/>
      <c r="G1932" s="3"/>
      <c r="H1932" s="3"/>
      <c r="I1932" s="3"/>
      <c r="J1932" s="3"/>
      <c r="K1932" s="3"/>
      <c r="L1932" s="3"/>
      <c r="M1932" s="2"/>
      <c r="N1932" s="2"/>
    </row>
    <row r="1933" spans="5:14" x14ac:dyDescent="0.35">
      <c r="E1933" s="2"/>
      <c r="F1933" s="2"/>
      <c r="G1933" s="3"/>
      <c r="H1933" s="3"/>
      <c r="I1933" s="3"/>
      <c r="J1933" s="3"/>
      <c r="K1933" s="3"/>
      <c r="L1933" s="3"/>
      <c r="M1933" s="2"/>
      <c r="N1933" s="2"/>
    </row>
    <row r="1934" spans="5:14" x14ac:dyDescent="0.35">
      <c r="E1934" s="2"/>
      <c r="F1934" s="2"/>
      <c r="G1934" s="3"/>
      <c r="H1934" s="3"/>
      <c r="I1934" s="3"/>
      <c r="J1934" s="3"/>
      <c r="K1934" s="3"/>
      <c r="L1934" s="3"/>
      <c r="M1934" s="2"/>
      <c r="N1934" s="2"/>
    </row>
    <row r="1935" spans="5:14" x14ac:dyDescent="0.35">
      <c r="E1935" s="2"/>
      <c r="F1935" s="2"/>
      <c r="G1935" s="3"/>
      <c r="H1935" s="3"/>
      <c r="I1935" s="3"/>
      <c r="J1935" s="3"/>
      <c r="K1935" s="3"/>
      <c r="L1935" s="3"/>
      <c r="M1935" s="2"/>
      <c r="N1935" s="2"/>
    </row>
    <row r="1936" spans="5:14" x14ac:dyDescent="0.35">
      <c r="E1936" s="2"/>
      <c r="F1936" s="2"/>
      <c r="G1936" s="3"/>
      <c r="H1936" s="3"/>
      <c r="I1936" s="3"/>
      <c r="J1936" s="3"/>
      <c r="K1936" s="3"/>
      <c r="L1936" s="3"/>
      <c r="M1936" s="2"/>
      <c r="N1936" s="2"/>
    </row>
    <row r="1937" spans="5:14" x14ac:dyDescent="0.35">
      <c r="E1937" s="2"/>
      <c r="F1937" s="2"/>
      <c r="G1937" s="3"/>
      <c r="H1937" s="3"/>
      <c r="I1937" s="3"/>
      <c r="J1937" s="3"/>
      <c r="K1937" s="3"/>
      <c r="L1937" s="3"/>
      <c r="M1937" s="2"/>
      <c r="N1937" s="2"/>
    </row>
    <row r="1938" spans="5:14" x14ac:dyDescent="0.35">
      <c r="E1938" s="2"/>
      <c r="F1938" s="2"/>
      <c r="G1938" s="3"/>
      <c r="H1938" s="3"/>
      <c r="I1938" s="3"/>
      <c r="J1938" s="3"/>
      <c r="K1938" s="3"/>
      <c r="L1938" s="3"/>
      <c r="M1938" s="2"/>
      <c r="N1938" s="2"/>
    </row>
    <row r="1939" spans="5:14" x14ac:dyDescent="0.35">
      <c r="E1939" s="2"/>
      <c r="F1939" s="2"/>
      <c r="G1939" s="3"/>
      <c r="H1939" s="3"/>
      <c r="I1939" s="3"/>
      <c r="J1939" s="3"/>
      <c r="K1939" s="3"/>
      <c r="L1939" s="3"/>
      <c r="M1939" s="2"/>
      <c r="N1939" s="2"/>
    </row>
    <row r="1940" spans="5:14" x14ac:dyDescent="0.35">
      <c r="E1940" s="2"/>
      <c r="F1940" s="2"/>
      <c r="G1940" s="3"/>
      <c r="H1940" s="3"/>
      <c r="I1940" s="3"/>
      <c r="J1940" s="3"/>
      <c r="K1940" s="3"/>
      <c r="L1940" s="3"/>
      <c r="M1940" s="2"/>
      <c r="N1940" s="2"/>
    </row>
    <row r="1941" spans="5:14" x14ac:dyDescent="0.35">
      <c r="E1941" s="2"/>
      <c r="F1941" s="2"/>
      <c r="G1941" s="3"/>
      <c r="H1941" s="3"/>
      <c r="I1941" s="3"/>
      <c r="J1941" s="3"/>
      <c r="K1941" s="3"/>
      <c r="L1941" s="3"/>
      <c r="M1941" s="2"/>
      <c r="N1941" s="2"/>
    </row>
    <row r="1942" spans="5:14" x14ac:dyDescent="0.35">
      <c r="E1942" s="2"/>
      <c r="F1942" s="2"/>
      <c r="G1942" s="3"/>
      <c r="H1942" s="3"/>
      <c r="I1942" s="3"/>
      <c r="J1942" s="3"/>
      <c r="K1942" s="3"/>
      <c r="L1942" s="3"/>
      <c r="M1942" s="2"/>
      <c r="N1942" s="2"/>
    </row>
    <row r="1943" spans="5:14" x14ac:dyDescent="0.35">
      <c r="E1943" s="2"/>
      <c r="F1943" s="2"/>
      <c r="G1943" s="3"/>
      <c r="H1943" s="3"/>
      <c r="I1943" s="3"/>
      <c r="J1943" s="3"/>
      <c r="K1943" s="3"/>
      <c r="L1943" s="3"/>
      <c r="M1943" s="2"/>
      <c r="N1943" s="2"/>
    </row>
    <row r="1944" spans="5:14" x14ac:dyDescent="0.35">
      <c r="E1944" s="2"/>
      <c r="F1944" s="2"/>
      <c r="G1944" s="3"/>
      <c r="H1944" s="3"/>
      <c r="I1944" s="3"/>
      <c r="J1944" s="3"/>
      <c r="K1944" s="3"/>
      <c r="L1944" s="3"/>
      <c r="M1944" s="2"/>
      <c r="N1944" s="2"/>
    </row>
    <row r="1945" spans="5:14" x14ac:dyDescent="0.35">
      <c r="E1945" s="2"/>
      <c r="F1945" s="2"/>
      <c r="G1945" s="3"/>
      <c r="H1945" s="3"/>
      <c r="I1945" s="3"/>
      <c r="J1945" s="3"/>
      <c r="K1945" s="3"/>
      <c r="L1945" s="3"/>
      <c r="M1945" s="2"/>
      <c r="N1945" s="2"/>
    </row>
    <row r="1946" spans="5:14" x14ac:dyDescent="0.35">
      <c r="E1946" s="2"/>
      <c r="F1946" s="2"/>
      <c r="G1946" s="3"/>
      <c r="H1946" s="3"/>
      <c r="I1946" s="3"/>
      <c r="J1946" s="3"/>
      <c r="K1946" s="3"/>
      <c r="L1946" s="3"/>
      <c r="M1946" s="2"/>
      <c r="N1946" s="2"/>
    </row>
    <row r="1947" spans="5:14" x14ac:dyDescent="0.35">
      <c r="E1947" s="2"/>
      <c r="F1947" s="2"/>
      <c r="G1947" s="3"/>
      <c r="H1947" s="3"/>
      <c r="I1947" s="3"/>
      <c r="J1947" s="3"/>
      <c r="K1947" s="3"/>
      <c r="L1947" s="3"/>
      <c r="M1947" s="2"/>
      <c r="N1947" s="2"/>
    </row>
    <row r="1948" spans="5:14" x14ac:dyDescent="0.35">
      <c r="E1948" s="2"/>
      <c r="F1948" s="2"/>
      <c r="G1948" s="3"/>
      <c r="H1948" s="3"/>
      <c r="I1948" s="3"/>
      <c r="J1948" s="3"/>
      <c r="K1948" s="3"/>
      <c r="L1948" s="3"/>
      <c r="M1948" s="2"/>
      <c r="N1948" s="2"/>
    </row>
    <row r="1949" spans="5:14" x14ac:dyDescent="0.35">
      <c r="E1949" s="2"/>
      <c r="F1949" s="2"/>
      <c r="G1949" s="3"/>
      <c r="H1949" s="3"/>
      <c r="I1949" s="3"/>
      <c r="J1949" s="3"/>
      <c r="K1949" s="3"/>
      <c r="L1949" s="3"/>
      <c r="M1949" s="2"/>
      <c r="N1949" s="2"/>
    </row>
    <row r="1950" spans="5:14" x14ac:dyDescent="0.35">
      <c r="E1950" s="2"/>
      <c r="F1950" s="2"/>
      <c r="G1950" s="3"/>
      <c r="H1950" s="3"/>
      <c r="I1950" s="3"/>
      <c r="J1950" s="3"/>
      <c r="K1950" s="3"/>
      <c r="L1950" s="3"/>
      <c r="M1950" s="2"/>
      <c r="N1950" s="2"/>
    </row>
    <row r="1951" spans="5:14" x14ac:dyDescent="0.35">
      <c r="E1951" s="2"/>
      <c r="F1951" s="2"/>
      <c r="G1951" s="3"/>
      <c r="H1951" s="3"/>
      <c r="I1951" s="3"/>
      <c r="J1951" s="3"/>
      <c r="K1951" s="3"/>
      <c r="L1951" s="3"/>
      <c r="M1951" s="2"/>
      <c r="N1951" s="2"/>
    </row>
    <row r="1952" spans="5:14" x14ac:dyDescent="0.35">
      <c r="E1952" s="2"/>
      <c r="F1952" s="2"/>
      <c r="G1952" s="3"/>
      <c r="H1952" s="3"/>
      <c r="I1952" s="3"/>
      <c r="J1952" s="3"/>
      <c r="K1952" s="3"/>
      <c r="L1952" s="3"/>
      <c r="M1952" s="2"/>
      <c r="N1952" s="2"/>
    </row>
    <row r="1953" spans="5:14" x14ac:dyDescent="0.35">
      <c r="E1953" s="2"/>
      <c r="F1953" s="2"/>
      <c r="G1953" s="3"/>
      <c r="H1953" s="3"/>
      <c r="I1953" s="3"/>
      <c r="J1953" s="3"/>
      <c r="K1953" s="3"/>
      <c r="L1953" s="3"/>
      <c r="M1953" s="2"/>
      <c r="N1953" s="2"/>
    </row>
    <row r="1954" spans="5:14" x14ac:dyDescent="0.35">
      <c r="E1954" s="2"/>
      <c r="F1954" s="2"/>
      <c r="G1954" s="3"/>
      <c r="H1954" s="3"/>
      <c r="I1954" s="3"/>
      <c r="J1954" s="3"/>
      <c r="K1954" s="3"/>
      <c r="L1954" s="3"/>
      <c r="M1954" s="2"/>
      <c r="N1954" s="2"/>
    </row>
    <row r="1955" spans="5:14" x14ac:dyDescent="0.35">
      <c r="E1955" s="2"/>
      <c r="F1955" s="2"/>
      <c r="G1955" s="3"/>
      <c r="H1955" s="3"/>
      <c r="I1955" s="3"/>
      <c r="J1955" s="3"/>
      <c r="K1955" s="3"/>
      <c r="L1955" s="3"/>
      <c r="M1955" s="2"/>
      <c r="N1955" s="2"/>
    </row>
    <row r="1956" spans="5:14" x14ac:dyDescent="0.35">
      <c r="E1956" s="2"/>
      <c r="F1956" s="2"/>
      <c r="G1956" s="3"/>
      <c r="H1956" s="3"/>
      <c r="I1956" s="3"/>
      <c r="J1956" s="3"/>
      <c r="K1956" s="3"/>
      <c r="L1956" s="3"/>
      <c r="M1956" s="2"/>
      <c r="N1956" s="2"/>
    </row>
    <row r="1957" spans="5:14" x14ac:dyDescent="0.35">
      <c r="E1957" s="2"/>
      <c r="F1957" s="2"/>
      <c r="G1957" s="3"/>
      <c r="H1957" s="3"/>
      <c r="I1957" s="3"/>
      <c r="J1957" s="3"/>
      <c r="K1957" s="3"/>
      <c r="L1957" s="3"/>
      <c r="M1957" s="2"/>
      <c r="N1957" s="2"/>
    </row>
    <row r="1958" spans="5:14" x14ac:dyDescent="0.35">
      <c r="E1958" s="2"/>
      <c r="F1958" s="2"/>
      <c r="G1958" s="3"/>
      <c r="H1958" s="3"/>
      <c r="I1958" s="3"/>
      <c r="J1958" s="3"/>
      <c r="K1958" s="3"/>
      <c r="L1958" s="3"/>
      <c r="M1958" s="2"/>
      <c r="N1958" s="2"/>
    </row>
    <row r="1959" spans="5:14" x14ac:dyDescent="0.35">
      <c r="E1959" s="2"/>
      <c r="F1959" s="2"/>
      <c r="G1959" s="3"/>
      <c r="H1959" s="3"/>
      <c r="I1959" s="3"/>
      <c r="J1959" s="3"/>
      <c r="K1959" s="3"/>
      <c r="L1959" s="3"/>
      <c r="M1959" s="2"/>
      <c r="N1959" s="2"/>
    </row>
    <row r="1960" spans="5:14" x14ac:dyDescent="0.35">
      <c r="E1960" s="2"/>
      <c r="F1960" s="2"/>
      <c r="G1960" s="3"/>
      <c r="H1960" s="3"/>
      <c r="I1960" s="3"/>
      <c r="J1960" s="3"/>
      <c r="K1960" s="3"/>
      <c r="L1960" s="3"/>
      <c r="M1960" s="2"/>
      <c r="N1960" s="2"/>
    </row>
    <row r="1961" spans="5:14" x14ac:dyDescent="0.35">
      <c r="E1961" s="2"/>
      <c r="F1961" s="2"/>
      <c r="G1961" s="3"/>
      <c r="H1961" s="3"/>
      <c r="I1961" s="3"/>
      <c r="J1961" s="3"/>
      <c r="K1961" s="3"/>
      <c r="L1961" s="3"/>
      <c r="M1961" s="2"/>
      <c r="N1961" s="2"/>
    </row>
    <row r="1962" spans="5:14" x14ac:dyDescent="0.35">
      <c r="E1962" s="2"/>
      <c r="F1962" s="2"/>
      <c r="G1962" s="3"/>
      <c r="H1962" s="3"/>
      <c r="I1962" s="3"/>
      <c r="J1962" s="3"/>
      <c r="K1962" s="3"/>
      <c r="L1962" s="3"/>
      <c r="M1962" s="2"/>
      <c r="N1962" s="2"/>
    </row>
    <row r="1963" spans="5:14" x14ac:dyDescent="0.35">
      <c r="E1963" s="2"/>
      <c r="F1963" s="2"/>
      <c r="G1963" s="3"/>
      <c r="H1963" s="3"/>
      <c r="I1963" s="3"/>
      <c r="J1963" s="3"/>
      <c r="K1963" s="3"/>
      <c r="L1963" s="3"/>
      <c r="M1963" s="2"/>
      <c r="N1963" s="2"/>
    </row>
    <row r="1964" spans="5:14" x14ac:dyDescent="0.35">
      <c r="E1964" s="2"/>
      <c r="F1964" s="2"/>
      <c r="G1964" s="3"/>
      <c r="H1964" s="3"/>
      <c r="I1964" s="3"/>
      <c r="J1964" s="3"/>
      <c r="K1964" s="3"/>
      <c r="L1964" s="3"/>
      <c r="M1964" s="2"/>
      <c r="N1964" s="2"/>
    </row>
    <row r="1965" spans="5:14" x14ac:dyDescent="0.35">
      <c r="E1965" s="2"/>
      <c r="F1965" s="2"/>
      <c r="G1965" s="3"/>
      <c r="H1965" s="3"/>
      <c r="I1965" s="3"/>
      <c r="J1965" s="3"/>
      <c r="K1965" s="3"/>
      <c r="L1965" s="3"/>
      <c r="M1965" s="2"/>
      <c r="N1965" s="2"/>
    </row>
    <row r="1966" spans="5:14" x14ac:dyDescent="0.35">
      <c r="E1966" s="2"/>
      <c r="F1966" s="2"/>
      <c r="G1966" s="3"/>
      <c r="H1966" s="3"/>
      <c r="I1966" s="3"/>
      <c r="J1966" s="3"/>
      <c r="K1966" s="3"/>
      <c r="L1966" s="3"/>
      <c r="M1966" s="2"/>
      <c r="N1966" s="2"/>
    </row>
    <row r="1967" spans="5:14" x14ac:dyDescent="0.35">
      <c r="E1967" s="2"/>
      <c r="F1967" s="2"/>
      <c r="G1967" s="3"/>
      <c r="H1967" s="3"/>
      <c r="I1967" s="3"/>
      <c r="J1967" s="3"/>
      <c r="K1967" s="3"/>
      <c r="L1967" s="3"/>
      <c r="M1967" s="2"/>
      <c r="N1967" s="2"/>
    </row>
    <row r="1968" spans="5:14" x14ac:dyDescent="0.35">
      <c r="E1968" s="2"/>
      <c r="F1968" s="2"/>
      <c r="G1968" s="3"/>
      <c r="H1968" s="3"/>
      <c r="I1968" s="3"/>
      <c r="J1968" s="3"/>
      <c r="K1968" s="3"/>
      <c r="L1968" s="3"/>
      <c r="M1968" s="2"/>
      <c r="N1968" s="2"/>
    </row>
    <row r="1969" spans="5:14" x14ac:dyDescent="0.35">
      <c r="E1969" s="2"/>
      <c r="F1969" s="2"/>
      <c r="G1969" s="3"/>
      <c r="H1969" s="3"/>
      <c r="I1969" s="3"/>
      <c r="J1969" s="3"/>
      <c r="K1969" s="3"/>
      <c r="L1969" s="3"/>
      <c r="M1969" s="2"/>
      <c r="N1969" s="2"/>
    </row>
    <row r="1970" spans="5:14" x14ac:dyDescent="0.35">
      <c r="E1970" s="2"/>
      <c r="F1970" s="2"/>
      <c r="G1970" s="3"/>
      <c r="H1970" s="3"/>
      <c r="I1970" s="3"/>
      <c r="J1970" s="3"/>
      <c r="K1970" s="3"/>
      <c r="L1970" s="3"/>
      <c r="M1970" s="2"/>
      <c r="N1970" s="2"/>
    </row>
    <row r="1971" spans="5:14" x14ac:dyDescent="0.35">
      <c r="E1971" s="2"/>
      <c r="F1971" s="2"/>
      <c r="G1971" s="3"/>
      <c r="H1971" s="3"/>
      <c r="I1971" s="3"/>
      <c r="J1971" s="3"/>
      <c r="K1971" s="3"/>
      <c r="L1971" s="3"/>
      <c r="M1971" s="2"/>
      <c r="N1971" s="2"/>
    </row>
    <row r="1972" spans="5:14" x14ac:dyDescent="0.35">
      <c r="E1972" s="2"/>
      <c r="F1972" s="2"/>
      <c r="G1972" s="3"/>
      <c r="H1972" s="3"/>
      <c r="I1972" s="3"/>
      <c r="J1972" s="3"/>
      <c r="K1972" s="3"/>
      <c r="L1972" s="3"/>
      <c r="M1972" s="2"/>
      <c r="N1972" s="2"/>
    </row>
    <row r="1973" spans="5:14" x14ac:dyDescent="0.35">
      <c r="E1973" s="2"/>
      <c r="F1973" s="2"/>
      <c r="G1973" s="3"/>
      <c r="H1973" s="3"/>
      <c r="I1973" s="3"/>
      <c r="J1973" s="3"/>
      <c r="K1973" s="3"/>
      <c r="L1973" s="3"/>
      <c r="M1973" s="2"/>
      <c r="N1973" s="2"/>
    </row>
    <row r="1974" spans="5:14" x14ac:dyDescent="0.35">
      <c r="E1974" s="2"/>
      <c r="F1974" s="2"/>
      <c r="G1974" s="3"/>
      <c r="H1974" s="3"/>
      <c r="I1974" s="3"/>
      <c r="J1974" s="3"/>
      <c r="K1974" s="3"/>
      <c r="L1974" s="3"/>
      <c r="M1974" s="2"/>
      <c r="N1974" s="2"/>
    </row>
    <row r="1975" spans="5:14" x14ac:dyDescent="0.35">
      <c r="E1975" s="2"/>
      <c r="F1975" s="2"/>
      <c r="G1975" s="3"/>
      <c r="H1975" s="3"/>
      <c r="I1975" s="3"/>
      <c r="J1975" s="3"/>
      <c r="K1975" s="3"/>
      <c r="L1975" s="3"/>
      <c r="M1975" s="2"/>
      <c r="N1975" s="2"/>
    </row>
    <row r="1976" spans="5:14" x14ac:dyDescent="0.35">
      <c r="E1976" s="2"/>
      <c r="F1976" s="2"/>
      <c r="G1976" s="3"/>
      <c r="H1976" s="3"/>
      <c r="I1976" s="3"/>
      <c r="J1976" s="3"/>
      <c r="K1976" s="3"/>
      <c r="L1976" s="3"/>
      <c r="M1976" s="2"/>
      <c r="N1976" s="2"/>
    </row>
    <row r="1977" spans="5:14" x14ac:dyDescent="0.35">
      <c r="E1977" s="2"/>
      <c r="F1977" s="2"/>
      <c r="G1977" s="3"/>
      <c r="H1977" s="3"/>
      <c r="I1977" s="3"/>
      <c r="J1977" s="3"/>
      <c r="K1977" s="3"/>
      <c r="L1977" s="3"/>
      <c r="M1977" s="2"/>
      <c r="N1977" s="2"/>
    </row>
    <row r="1978" spans="5:14" x14ac:dyDescent="0.35">
      <c r="E1978" s="2"/>
      <c r="F1978" s="2"/>
      <c r="G1978" s="3"/>
      <c r="H1978" s="3"/>
      <c r="I1978" s="3"/>
      <c r="J1978" s="3"/>
      <c r="K1978" s="3"/>
      <c r="L1978" s="3"/>
      <c r="M1978" s="2"/>
      <c r="N1978" s="2"/>
    </row>
    <row r="1979" spans="5:14" x14ac:dyDescent="0.35">
      <c r="E1979" s="2"/>
      <c r="F1979" s="2"/>
      <c r="G1979" s="3"/>
      <c r="H1979" s="3"/>
      <c r="I1979" s="3"/>
      <c r="J1979" s="3"/>
      <c r="K1979" s="3"/>
      <c r="L1979" s="3"/>
      <c r="M1979" s="2"/>
      <c r="N1979" s="2"/>
    </row>
    <row r="1980" spans="5:14" x14ac:dyDescent="0.35">
      <c r="E1980" s="2"/>
      <c r="F1980" s="2"/>
      <c r="G1980" s="3"/>
      <c r="H1980" s="3"/>
      <c r="I1980" s="3"/>
      <c r="J1980" s="3"/>
      <c r="K1980" s="3"/>
      <c r="L1980" s="3"/>
      <c r="M1980" s="2"/>
      <c r="N1980" s="2"/>
    </row>
    <row r="1981" spans="5:14" x14ac:dyDescent="0.35">
      <c r="E1981" s="2"/>
      <c r="F1981" s="2"/>
      <c r="G1981" s="3"/>
      <c r="H1981" s="3"/>
      <c r="I1981" s="3"/>
      <c r="J1981" s="3"/>
      <c r="K1981" s="3"/>
      <c r="L1981" s="3"/>
      <c r="M1981" s="2"/>
      <c r="N1981" s="2"/>
    </row>
    <row r="1982" spans="5:14" x14ac:dyDescent="0.35">
      <c r="E1982" s="2"/>
      <c r="F1982" s="2"/>
      <c r="G1982" s="3"/>
      <c r="H1982" s="3"/>
      <c r="I1982" s="3"/>
      <c r="J1982" s="3"/>
      <c r="K1982" s="3"/>
      <c r="L1982" s="3"/>
      <c r="M1982" s="2"/>
      <c r="N1982" s="2"/>
    </row>
    <row r="1983" spans="5:14" x14ac:dyDescent="0.35">
      <c r="E1983" s="2"/>
      <c r="F1983" s="2"/>
      <c r="G1983" s="3"/>
      <c r="H1983" s="3"/>
      <c r="I1983" s="3"/>
      <c r="J1983" s="3"/>
      <c r="K1983" s="3"/>
      <c r="L1983" s="3"/>
      <c r="M1983" s="2"/>
      <c r="N1983" s="2"/>
    </row>
    <row r="1984" spans="5:14" x14ac:dyDescent="0.35">
      <c r="E1984" s="2"/>
      <c r="F1984" s="2"/>
      <c r="G1984" s="3"/>
      <c r="H1984" s="3"/>
      <c r="I1984" s="3"/>
      <c r="J1984" s="3"/>
      <c r="K1984" s="3"/>
      <c r="L1984" s="3"/>
      <c r="M1984" s="2"/>
      <c r="N1984" s="2"/>
    </row>
    <row r="1985" spans="5:14" x14ac:dyDescent="0.35">
      <c r="E1985" s="2"/>
      <c r="F1985" s="2"/>
      <c r="G1985" s="3"/>
      <c r="H1985" s="3"/>
      <c r="I1985" s="3"/>
      <c r="J1985" s="3"/>
      <c r="K1985" s="3"/>
      <c r="L1985" s="3"/>
      <c r="M1985" s="2"/>
      <c r="N1985" s="2"/>
    </row>
    <row r="1986" spans="5:14" x14ac:dyDescent="0.35">
      <c r="E1986" s="2"/>
      <c r="F1986" s="2"/>
      <c r="G1986" s="3"/>
      <c r="H1986" s="3"/>
      <c r="I1986" s="3"/>
      <c r="J1986" s="3"/>
      <c r="K1986" s="3"/>
      <c r="L1986" s="3"/>
      <c r="M1986" s="2"/>
      <c r="N1986" s="2"/>
    </row>
    <row r="1987" spans="5:14" x14ac:dyDescent="0.35">
      <c r="E1987" s="2"/>
      <c r="F1987" s="2"/>
      <c r="G1987" s="3"/>
      <c r="H1987" s="3"/>
      <c r="I1987" s="3"/>
      <c r="J1987" s="3"/>
      <c r="K1987" s="3"/>
      <c r="L1987" s="3"/>
      <c r="M1987" s="2"/>
      <c r="N1987" s="2"/>
    </row>
    <row r="1988" spans="5:14" x14ac:dyDescent="0.35">
      <c r="E1988" s="2"/>
      <c r="F1988" s="2"/>
      <c r="G1988" s="3"/>
      <c r="H1988" s="3"/>
      <c r="I1988" s="3"/>
      <c r="J1988" s="3"/>
      <c r="K1988" s="3"/>
      <c r="L1988" s="3"/>
      <c r="M1988" s="2"/>
      <c r="N1988" s="2"/>
    </row>
    <row r="1989" spans="5:14" x14ac:dyDescent="0.35">
      <c r="E1989" s="2"/>
      <c r="F1989" s="2"/>
      <c r="G1989" s="3"/>
      <c r="H1989" s="3"/>
      <c r="I1989" s="3"/>
      <c r="J1989" s="3"/>
      <c r="K1989" s="3"/>
      <c r="L1989" s="3"/>
      <c r="M1989" s="2"/>
      <c r="N1989" s="2"/>
    </row>
    <row r="1990" spans="5:14" x14ac:dyDescent="0.35">
      <c r="E1990" s="2"/>
      <c r="F1990" s="2"/>
      <c r="G1990" s="3"/>
      <c r="H1990" s="3"/>
      <c r="I1990" s="3"/>
      <c r="J1990" s="3"/>
      <c r="K1990" s="3"/>
      <c r="L1990" s="3"/>
      <c r="M1990" s="2"/>
      <c r="N1990" s="2"/>
    </row>
    <row r="1991" spans="5:14" x14ac:dyDescent="0.35">
      <c r="E1991" s="2"/>
      <c r="F1991" s="2"/>
      <c r="G1991" s="3"/>
      <c r="H1991" s="3"/>
      <c r="I1991" s="3"/>
      <c r="J1991" s="3"/>
      <c r="K1991" s="3"/>
      <c r="L1991" s="3"/>
      <c r="M1991" s="2"/>
      <c r="N1991" s="2"/>
    </row>
    <row r="1992" spans="5:14" x14ac:dyDescent="0.35">
      <c r="E1992" s="2"/>
      <c r="F1992" s="2"/>
      <c r="G1992" s="3"/>
      <c r="H1992" s="3"/>
      <c r="I1992" s="3"/>
      <c r="J1992" s="3"/>
      <c r="K1992" s="3"/>
      <c r="L1992" s="3"/>
      <c r="M1992" s="2"/>
      <c r="N1992" s="2"/>
    </row>
    <row r="1993" spans="5:14" x14ac:dyDescent="0.35">
      <c r="E1993" s="2"/>
      <c r="F1993" s="2"/>
      <c r="G1993" s="3"/>
      <c r="H1993" s="3"/>
      <c r="I1993" s="3"/>
      <c r="J1993" s="3"/>
      <c r="K1993" s="3"/>
      <c r="L1993" s="3"/>
      <c r="M1993" s="2"/>
      <c r="N1993" s="2"/>
    </row>
    <row r="1994" spans="5:14" x14ac:dyDescent="0.35">
      <c r="E1994" s="2"/>
      <c r="F1994" s="2"/>
      <c r="G1994" s="3"/>
      <c r="H1994" s="3"/>
      <c r="I1994" s="3"/>
      <c r="J1994" s="3"/>
      <c r="K1994" s="3"/>
      <c r="L1994" s="3"/>
      <c r="M1994" s="2"/>
      <c r="N1994" s="2"/>
    </row>
    <row r="1995" spans="5:14" x14ac:dyDescent="0.35">
      <c r="E1995" s="2"/>
      <c r="F1995" s="2"/>
      <c r="G1995" s="3"/>
      <c r="H1995" s="3"/>
      <c r="I1995" s="3"/>
      <c r="J1995" s="3"/>
      <c r="K1995" s="3"/>
      <c r="L1995" s="3"/>
      <c r="M1995" s="2"/>
      <c r="N1995" s="2"/>
    </row>
    <row r="1996" spans="5:14" x14ac:dyDescent="0.35">
      <c r="E1996" s="2"/>
      <c r="F1996" s="2"/>
      <c r="G1996" s="3"/>
      <c r="H1996" s="3"/>
      <c r="I1996" s="3"/>
      <c r="J1996" s="3"/>
      <c r="K1996" s="3"/>
      <c r="L1996" s="3"/>
      <c r="M1996" s="2"/>
      <c r="N1996" s="2"/>
    </row>
    <row r="1997" spans="5:14" x14ac:dyDescent="0.35">
      <c r="E1997" s="2"/>
      <c r="F1997" s="2"/>
      <c r="G1997" s="3"/>
      <c r="H1997" s="3"/>
      <c r="I1997" s="3"/>
      <c r="J1997" s="3"/>
      <c r="K1997" s="3"/>
      <c r="L1997" s="3"/>
      <c r="M1997" s="2"/>
      <c r="N1997" s="2"/>
    </row>
    <row r="1998" spans="5:14" x14ac:dyDescent="0.35">
      <c r="E1998" s="2"/>
      <c r="F1998" s="2"/>
      <c r="G1998" s="3"/>
      <c r="H1998" s="3"/>
      <c r="I1998" s="3"/>
      <c r="J1998" s="3"/>
      <c r="K1998" s="3"/>
      <c r="L1998" s="3"/>
      <c r="M1998" s="2"/>
      <c r="N1998" s="2"/>
    </row>
    <row r="1999" spans="5:14" x14ac:dyDescent="0.35">
      <c r="E1999" s="2"/>
      <c r="F1999" s="2"/>
      <c r="G1999" s="3"/>
      <c r="H1999" s="3"/>
      <c r="I1999" s="3"/>
      <c r="J1999" s="3"/>
      <c r="K1999" s="3"/>
      <c r="L1999" s="3"/>
      <c r="M1999" s="2"/>
      <c r="N1999" s="2"/>
    </row>
    <row r="2000" spans="5:14" x14ac:dyDescent="0.35">
      <c r="E2000" s="2"/>
      <c r="F2000" s="2"/>
      <c r="G2000" s="3"/>
      <c r="H2000" s="3"/>
      <c r="I2000" s="3"/>
      <c r="J2000" s="3"/>
      <c r="K2000" s="3"/>
      <c r="L2000" s="3"/>
      <c r="M2000" s="2"/>
      <c r="N2000" s="2"/>
    </row>
  </sheetData>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890B5D1-F5C9-452F-8DA6-742FF446337F}">
          <x14:formula1>
            <xm:f>PARAMETROS_IMPORTACION!$A$2:$A$3</xm:f>
          </x14:formula1>
          <xm:sqref>B2:B7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
  <sheetViews>
    <sheetView workbookViewId="0">
      <pane ySplit="1" topLeftCell="A2" activePane="bottomLeft" state="frozen"/>
      <selection pane="bottomLeft" activeCell="A2" sqref="A2"/>
    </sheetView>
  </sheetViews>
  <sheetFormatPr baseColWidth="10" defaultColWidth="8.7265625" defaultRowHeight="14.5" x14ac:dyDescent="0.35"/>
  <cols>
    <col min="1" max="2" width="14" customWidth="1"/>
    <col min="3" max="3" width="19" customWidth="1"/>
    <col min="4" max="4" width="15" customWidth="1"/>
  </cols>
  <sheetData>
    <row r="1" spans="1:4" x14ac:dyDescent="0.35">
      <c r="A1" s="1" t="s">
        <v>170</v>
      </c>
      <c r="B1" s="1" t="s">
        <v>183</v>
      </c>
      <c r="C1" s="1" t="s">
        <v>184</v>
      </c>
      <c r="D1" s="1"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CATALOGO_PRODUCTOS</vt:lpstr>
      <vt:lpstr>PARAMETROS_IMPORTACION</vt:lpstr>
      <vt:lpstr>TIPOS_CAMBIO</vt:lpstr>
      <vt:lpstr>LANDED_COST</vt:lpstr>
      <vt:lpstr>CONTROL_VERSIONES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Fernando Olvera Rendon</cp:lastModifiedBy>
  <cp:revision/>
  <dcterms:created xsi:type="dcterms:W3CDTF">2025-12-24T15:55:03Z</dcterms:created>
  <dcterms:modified xsi:type="dcterms:W3CDTF">2026-02-10T14:52:42Z</dcterms:modified>
  <cp:category/>
  <cp:contentStatus/>
</cp:coreProperties>
</file>