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800D2B31-CE70-42CF-B85F-4A9A3FC29E98}" xr6:coauthVersionLast="47" xr6:coauthVersionMax="47" xr10:uidLastSave="{00000000-0000-0000-0000-000000000000}"/>
  <bookViews>
    <workbookView xWindow="28680" yWindow="-120" windowWidth="29040" windowHeight="15720"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5" l="1"/>
  <c r="C3" i="5"/>
  <c r="D3" i="5"/>
  <c r="F3" i="5" s="1"/>
  <c r="E3" i="5"/>
  <c r="I3" i="5"/>
  <c r="J3" i="5"/>
  <c r="K3" i="5"/>
  <c r="L3" i="5"/>
  <c r="M3" i="5"/>
  <c r="L2" i="5"/>
  <c r="M2" i="5"/>
  <c r="E2" i="5"/>
  <c r="K2" i="5"/>
  <c r="H2" i="5"/>
  <c r="I2" i="5"/>
  <c r="J2" i="5"/>
  <c r="D2" i="5"/>
  <c r="F2" i="5" s="1"/>
  <c r="C2" i="5"/>
  <c r="G3" i="5" l="1"/>
  <c r="N3" i="5" s="1"/>
  <c r="O3" i="5" s="1"/>
  <c r="G2" i="5"/>
  <c r="N2" i="5" l="1"/>
  <c r="O2" i="5" s="1"/>
</calcChain>
</file>

<file path=xl/sharedStrings.xml><?xml version="1.0" encoding="utf-8"?>
<sst xmlns="http://schemas.openxmlformats.org/spreadsheetml/2006/main" count="3921" uniqueCount="904">
  <si>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</si>
  <si>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</si>
  <si>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</si>
  <si>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</si>
  <si>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</si>
  <si>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</si>
  <si>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</si>
  <si>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</si>
  <si>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</si>
  <si>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</si>
  <si>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</si>
  <si>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</si>
  <si>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</si>
  <si>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</si>
  <si>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</si>
  <si>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</si>
  <si>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</si>
  <si>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</si>
  <si>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</si>
  <si>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</si>
  <si>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</si>
  <si>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</si>
  <si>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</si>
  <si>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</si>
  <si>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</si>
  <si>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</si>
  <si>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</si>
  <si>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</si>
  <si>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</si>
  <si>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</si>
  <si>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</si>
  <si>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</si>
  <si>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</si>
  <si>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</si>
  <si>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</si>
  <si>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</si>
  <si>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</si>
  <si>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</si>
  <si>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</si>
  <si>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</si>
  <si>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</si>
  <si>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</si>
  <si>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</si>
  <si>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</si>
  <si>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</si>
  <si>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</si>
  <si>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</si>
  <si>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</si>
  <si>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</si>
  <si>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</si>
  <si>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</si>
  <si>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</si>
  <si>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</si>
  <si>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</si>
  <si>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</si>
  <si>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</si>
  <si>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</si>
  <si>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</si>
  <si>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</si>
  <si>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</si>
  <si>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</si>
  <si>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</si>
  <si>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</si>
  <si>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</si>
  <si>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</si>
  <si>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</si>
  <si>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</si>
  <si>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</si>
  <si>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</si>
  <si>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</si>
  <si>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</si>
  <si>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</si>
  <si>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</si>
  <si>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</si>
  <si>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</si>
  <si>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</si>
  <si>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</si>
  <si>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</si>
  <si>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</si>
  <si>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</si>
  <si>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</si>
  <si>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</si>
  <si>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</si>
  <si>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</si>
  <si>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</si>
  <si>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</si>
  <si>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</si>
  <si>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</si>
  <si>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</si>
  <si>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</si>
  <si>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</si>
  <si>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</si>
  <si>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</si>
  <si>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</si>
  <si>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</si>
  <si>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</si>
  <si>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</si>
  <si>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</si>
  <si>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</si>
  <si>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</si>
  <si>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</si>
  <si>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</si>
  <si>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</si>
  <si>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</si>
  <si>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</si>
  <si>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</si>
  <si>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</si>
  <si>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</si>
  <si>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</si>
  <si>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</si>
  <si>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</si>
  <si>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</si>
  <si>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</si>
  <si>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</si>
  <si>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</si>
  <si>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</si>
  <si>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</si>
  <si>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</si>
  <si>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</si>
  <si>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</si>
  <si>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</si>
  <si>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</si>
  <si>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</si>
  <si>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</si>
  <si>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</si>
  <si>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</si>
  <si>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</si>
  <si>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</si>
  <si>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</si>
  <si>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</si>
  <si>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</si>
  <si>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</si>
  <si>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</si>
  <si>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</si>
  <si>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</si>
  <si>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</si>
  <si>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</si>
  <si>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</si>
  <si>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</si>
  <si>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</si>
  <si>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</si>
  <si>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</si>
  <si>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</si>
  <si>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</si>
  <si>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</si>
  <si>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</si>
  <si>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</si>
  <si>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</si>
  <si>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</si>
  <si>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</si>
  <si>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</si>
  <si>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</si>
  <si>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</si>
  <si>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</si>
  <si>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</si>
  <si>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</si>
  <si>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</si>
  <si>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</si>
  <si>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</si>
  <si>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</si>
  <si>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</si>
  <si>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</si>
  <si>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</si>
  <si>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</si>
  <si>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</si>
  <si>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</si>
  <si>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</si>
  <si>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</si>
  <si>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</si>
  <si>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</si>
  <si>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</si>
  <si>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</si>
  <si>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</si>
  <si>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</si>
  <si>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</si>
  <si>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</si>
  <si>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</si>
  <si>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</si>
  <si>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</si>
  <si>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</si>
  <si>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</si>
  <si>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</si>
  <si>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</si>
  <si>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</si>
  <si>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</si>
  <si>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</si>
  <si>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</si>
  <si>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</si>
  <si>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</si>
  <si>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</si>
  <si>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</si>
  <si>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</si>
  <si>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</si>
  <si>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</si>
  <si>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</si>
  <si>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</si>
  <si>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</si>
  <si>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</si>
  <si>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</si>
  <si>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</si>
  <si>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</si>
  <si>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</si>
  <si>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</si>
  <si>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</si>
  <si>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</si>
  <si>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</si>
  <si>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</si>
  <si>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</si>
  <si>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</si>
  <si>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</si>
  <si>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</si>
  <si>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</si>
  <si>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</si>
  <si>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</si>
  <si>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</si>
  <si>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</si>
  <si>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</si>
  <si>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</si>
  <si>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</si>
  <si>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</si>
  <si>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</si>
  <si>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</si>
  <si>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</si>
  <si>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</si>
  <si>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</si>
  <si>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</si>
  <si>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</si>
  <si>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</si>
  <si>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</si>
  <si>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</si>
  <si>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</si>
  <si>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</si>
  <si>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</si>
  <si>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</si>
  <si>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</si>
  <si>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</si>
  <si>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</si>
  <si>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</si>
  <si>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</si>
  <si>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</si>
  <si>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</si>
  <si>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</si>
  <si>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</si>
  <si>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</si>
  <si>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</si>
  <si>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</si>
  <si>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</si>
  <si>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</si>
  <si>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</si>
  <si>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</si>
  <si>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</si>
  <si>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</si>
  <si>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</si>
  <si>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</si>
  <si>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</si>
  <si>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</si>
  <si>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</si>
  <si>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</si>
  <si>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</si>
  <si>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</si>
  <si>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</si>
  <si>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</si>
  <si>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</si>
  <si>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</si>
  <si>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</si>
  <si>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</si>
  <si>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</si>
  <si>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</si>
  <si>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</si>
  <si>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</si>
  <si>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</si>
  <si>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</si>
  <si>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</si>
  <si>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</si>
  <si>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</si>
  <si>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</si>
  <si>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</si>
  <si>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</si>
  <si>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</si>
  <si>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</si>
  <si>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</si>
  <si>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</si>
  <si>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</si>
  <si>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</si>
  <si>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</si>
  <si>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</si>
  <si>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</si>
  <si>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</si>
  <si>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</si>
  <si>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</si>
  <si>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</si>
  <si>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</si>
  <si>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</si>
  <si>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</si>
  <si>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</si>
  <si>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</si>
  <si>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</si>
  <si>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</si>
  <si>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</si>
  <si>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</si>
  <si>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</si>
  <si>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</si>
  <si>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</si>
  <si>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</si>
  <si>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</si>
  <si>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</si>
  <si>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</si>
  <si>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</si>
  <si>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</si>
  <si>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</si>
  <si>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</si>
  <si>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</si>
  <si>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</si>
  <si>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</si>
  <si>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</si>
  <si>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</si>
  <si>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</si>
  <si>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</si>
  <si>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</si>
  <si>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</si>
  <si>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</si>
  <si>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</si>
  <si>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</si>
  <si>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</si>
  <si>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</si>
  <si>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</si>
  <si>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</si>
  <si>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</si>
  <si>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</si>
  <si>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</si>
  <si>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</si>
  <si>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</si>
  <si>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</si>
  <si>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</si>
  <si>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</si>
  <si>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</si>
  <si>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</si>
  <si>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</si>
  <si>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</si>
  <si>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</si>
  <si>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</si>
  <si>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</si>
  <si>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</si>
  <si>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</si>
  <si>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</si>
  <si>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</si>
  <si>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</si>
  <si>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</si>
  <si>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</si>
  <si>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</si>
  <si>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</si>
  <si>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</si>
  <si>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</si>
  <si>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</si>
  <si>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</si>
  <si>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</si>
  <si>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</si>
  <si>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</si>
  <si>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</si>
  <si>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</si>
  <si>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</si>
  <si>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</si>
  <si>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</si>
  <si>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</si>
  <si>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</si>
  <si>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</si>
  <si>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</si>
  <si>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</si>
  <si>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</si>
  <si>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</si>
  <si>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</si>
  <si>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</si>
  <si>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</si>
  <si>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</si>
  <si>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</si>
  <si>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</si>
  <si>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</si>
  <si>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</si>
  <si>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</si>
  <si>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</si>
  <si>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</si>
  <si>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</si>
  <si>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</si>
  <si>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</si>
  <si>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</si>
  <si>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</si>
  <si>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</si>
  <si>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</si>
  <si>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</si>
  <si>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</si>
  <si>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</si>
  <si>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</si>
  <si>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</si>
  <si>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</si>
  <si>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</si>
  <si>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</si>
  <si>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</si>
  <si>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</si>
  <si>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</si>
  <si>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</si>
  <si>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</si>
  <si>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</si>
  <si>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</si>
  <si>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</si>
  <si>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</si>
  <si>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</si>
  <si>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</si>
  <si>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</si>
  <si>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</si>
  <si>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</si>
  <si>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</si>
  <si>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</si>
  <si>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</si>
  <si>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</si>
  <si>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</si>
  <si>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</si>
  <si>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</si>
  <si>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</si>
  <si>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</si>
  <si>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</si>
  <si>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</si>
  <si>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</si>
  <si>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</si>
  <si>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</si>
  <si>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</si>
  <si>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</si>
  <si>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</si>
  <si>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</si>
  <si>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</si>
  <si>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</si>
  <si>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</si>
  <si>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</si>
  <si>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</si>
  <si>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</si>
  <si>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</si>
  <si>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</si>
  <si>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</si>
  <si>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</si>
  <si>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</si>
  <si>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</si>
  <si>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</si>
  <si>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</si>
  <si>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</si>
  <si>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</si>
  <si>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</si>
  <si>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</si>
  <si>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</si>
  <si>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</si>
  <si>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</si>
  <si>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</si>
  <si>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</si>
  <si>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</si>
  <si>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</si>
  <si>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</si>
  <si>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</si>
  <si>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</si>
  <si>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</si>
  <si>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</si>
  <si>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</si>
  <si>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</si>
  <si>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</si>
  <si>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</si>
  <si>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</si>
  <si>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</si>
  <si>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</si>
  <si>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</si>
  <si>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</si>
  <si>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</si>
  <si>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</si>
  <si>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</si>
  <si>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</si>
  <si>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</si>
  <si>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</si>
  <si>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</si>
  <si>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</si>
  <si>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</si>
  <si>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</si>
  <si>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</si>
  <si>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</si>
  <si>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</si>
  <si>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</si>
  <si>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</si>
  <si>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</si>
  <si>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</si>
  <si>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</si>
  <si>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</si>
  <si>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</si>
  <si>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</si>
  <si>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</si>
  <si>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</si>
  <si>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</si>
  <si>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</si>
  <si>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</si>
  <si>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</si>
  <si>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</si>
  <si>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</si>
  <si>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</si>
  <si>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</si>
  <si>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</si>
  <si>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</si>
  <si>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</si>
  <si>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</si>
  <si>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</si>
  <si>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</si>
  <si>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</si>
  <si>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</si>
  <si>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</si>
  <si>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</si>
  <si>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</si>
  <si>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</si>
  <si>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</si>
  <si>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</si>
  <si>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</si>
  <si>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</si>
  <si>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</si>
  <si>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</si>
  <si>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</si>
  <si>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</si>
  <si>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</si>
  <si>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</si>
  <si>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</si>
  <si>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</si>
  <si>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</si>
  <si>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</si>
  <si>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</si>
  <si>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</si>
  <si>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</si>
  <si>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</si>
  <si>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</si>
  <si>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</si>
  <si>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</si>
  <si>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</si>
  <si>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</si>
  <si>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</si>
  <si>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</si>
  <si>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</si>
  <si>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</si>
  <si>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</si>
  <si>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</si>
  <si>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</si>
  <si>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</si>
  <si>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</si>
  <si>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</si>
  <si>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</si>
  <si>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</si>
  <si>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</si>
  <si>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</si>
  <si>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</si>
  <si>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</si>
  <si>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</si>
  <si>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</si>
  <si>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</si>
  <si>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</si>
  <si>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</si>
  <si>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</si>
  <si>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</si>
  <si>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</si>
  <si>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</si>
  <si>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</si>
  <si>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</si>
  <si>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</si>
  <si>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</si>
  <si>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</si>
  <si>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</si>
  <si>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</si>
  <si>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</si>
  <si>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</si>
  <si>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</si>
  <si>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</si>
  <si>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</si>
  <si>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</si>
  <si>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</si>
  <si>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</si>
  <si>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</si>
  <si>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</si>
  <si>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</si>
  <si>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</si>
  <si>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</si>
  <si>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</si>
  <si>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</si>
  <si>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</si>
  <si>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</si>
  <si>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</si>
  <si>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</si>
  <si>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</si>
  <si>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</si>
  <si>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</si>
  <si>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</si>
  <si>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</si>
  <si>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</si>
  <si>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</si>
  <si>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</si>
  <si>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</si>
  <si>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</si>
  <si>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</si>
  <si>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</si>
  <si>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</si>
  <si>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</si>
  <si>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</si>
  <si>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</si>
  <si>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</si>
  <si>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</si>
  <si>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</si>
  <si>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</si>
  <si>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</si>
  <si>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</si>
  <si>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</si>
  <si>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</si>
  <si>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</si>
  <si>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</si>
  <si>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</si>
  <si>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</si>
  <si>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</si>
  <si>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</si>
  <si>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</si>
  <si>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</si>
  <si>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</si>
  <si>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</si>
  <si>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</si>
  <si>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</si>
  <si>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</si>
  <si>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</si>
  <si>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</si>
  <si>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</si>
  <si>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</si>
  <si>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</si>
  <si>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</si>
  <si>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</si>
  <si>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</si>
  <si>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</si>
  <si>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</si>
  <si>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</si>
  <si>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</si>
  <si>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</si>
  <si>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</si>
  <si>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</si>
  <si>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</si>
  <si>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</si>
  <si>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</si>
  <si>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</si>
  <si>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</si>
  <si>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</si>
  <si>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</si>
  <si>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</si>
  <si>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</si>
  <si>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</si>
  <si>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</si>
  <si>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</si>
  <si>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</si>
  <si>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</si>
  <si>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</si>
  <si>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</si>
  <si>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</si>
  <si>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</si>
  <si>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</si>
  <si>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</si>
  <si>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</si>
  <si>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</si>
  <si>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</si>
  <si>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</si>
  <si>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</si>
  <si>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</si>
  <si>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</si>
  <si>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</si>
  <si>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</si>
  <si>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</si>
  <si>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</si>
  <si>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</si>
  <si>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</si>
  <si>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</si>
  <si>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</si>
  <si>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</si>
  <si>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</si>
  <si>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</si>
  <si>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</si>
  <si>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</si>
  <si>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</si>
  <si>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</si>
  <si>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</si>
  <si>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</si>
  <si>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</si>
  <si>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</si>
  <si>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</si>
  <si>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</si>
  <si>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</si>
  <si>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</si>
  <si>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</si>
  <si>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</si>
  <si>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</si>
  <si>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</si>
  <si>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</si>
  <si>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</si>
  <si>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</si>
  <si>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</si>
  <si>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</si>
  <si>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</si>
  <si>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</si>
  <si>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</si>
  <si>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</si>
  <si>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</si>
  <si>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</si>
  <si>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</si>
  <si>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</si>
  <si>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</si>
  <si>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</si>
  <si>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</si>
  <si>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</si>
  <si>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</si>
  <si>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</si>
  <si>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</si>
  <si>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</si>
  <si>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</si>
  <si>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</si>
  <si>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</si>
  <si>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</si>
  <si>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</si>
  <si>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</si>
  <si>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</si>
  <si>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</si>
  <si>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</si>
  <si>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</si>
  <si>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</si>
  <si>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</si>
  <si>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</si>
  <si>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</si>
  <si>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</si>
  <si>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</si>
  <si>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</si>
  <si>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</si>
  <si>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</si>
  <si>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</si>
  <si>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</si>
  <si>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</si>
  <si>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</si>
  <si>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</si>
  <si>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</si>
  <si>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</si>
  <si>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</si>
  <si>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</si>
  <si>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</si>
  <si>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</si>
  <si>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</si>
  <si>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</si>
  <si>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</si>
  <si>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</si>
  <si>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</si>
  <si>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</si>
  <si>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</si>
  <si>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</si>
  <si>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</si>
  <si>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</si>
  <si>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</si>
  <si>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</si>
  <si>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</si>
  <si>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</si>
  <si>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</si>
  <si>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</si>
  <si>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</si>
  <si>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</si>
  <si>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</si>
  <si>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</si>
  <si>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</si>
  <si>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</si>
  <si>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</si>
  <si>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</si>
  <si>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</si>
  <si>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</si>
  <si>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</si>
  <si>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</si>
  <si>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</si>
  <si>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</si>
  <si>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</si>
  <si>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</si>
  <si>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</si>
  <si>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</si>
  <si>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</si>
  <si>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</si>
  <si>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</si>
  <si>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</si>
  <si>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</si>
  <si>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</si>
  <si>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</si>
  <si>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</si>
  <si>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</si>
  <si>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</si>
  <si>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</si>
  <si>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</si>
  <si>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</si>
  <si>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</si>
  <si>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</si>
  <si>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</si>
  <si>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</si>
  <si>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</si>
  <si>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</si>
  <si>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</si>
  <si>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</si>
  <si>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</si>
  <si>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</si>
  <si>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</si>
  <si>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</si>
  <si>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</si>
  <si>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</si>
  <si>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</si>
  <si>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</si>
  <si>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</si>
  <si>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</si>
  <si>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</si>
  <si>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</si>
  <si>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</si>
  <si>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</si>
  <si>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</si>
  <si>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</si>
  <si>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</si>
  <si>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</si>
  <si>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</si>
  <si>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</si>
  <si>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</si>
  <si>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</si>
  <si>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</si>
  <si>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</si>
  <si>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</si>
  <si>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</si>
  <si>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</si>
  <si>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</si>
  <si>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</si>
  <si>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</si>
  <si>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</si>
  <si>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</si>
  <si>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</si>
  <si>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</si>
  <si>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</si>
  <si>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</si>
  <si>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</si>
  <si>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</si>
  <si>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</si>
  <si>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</si>
  <si>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</si>
  <si>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</si>
  <si>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</si>
  <si>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</si>
  <si>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</si>
  <si>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</si>
  <si>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</si>
  <si>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</si>
  <si>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</si>
  <si>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</si>
  <si>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</si>
  <si>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</si>
  <si>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</si>
  <si>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</si>
  <si>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</si>
  <si>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</si>
  <si>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</si>
  <si>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</si>
  <si>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</si>
  <si>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</si>
  <si>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</si>
  <si>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</si>
  <si>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</si>
  <si>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</si>
  <si>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</si>
  <si>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</si>
  <si>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</si>
  <si>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</si>
  <si>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</si>
  <si>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</si>
  <si>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</si>
  <si>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</si>
  <si>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</si>
  <si>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</si>
  <si>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</si>
  <si>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</si>
  <si>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</si>
  <si>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</si>
  <si>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</si>
  <si>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</si>
  <si>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</si>
  <si>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</si>
  <si>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</si>
  <si>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</si>
  <si>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</si>
  <si>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</si>
  <si>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</si>
  <si>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</si>
  <si>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</si>
  <si>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</si>
  <si>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</si>
  <si>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</si>
  <si>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</si>
  <si>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</si>
  <si>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</si>
  <si>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</si>
  <si>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</si>
  <si>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</si>
  <si>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</si>
  <si>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</si>
  <si>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</si>
  <si>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</si>
  <si>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</si>
  <si>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</si>
  <si>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</si>
  <si>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</si>
  <si>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</si>
  <si>
    <t>todos los casetes descontar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</si>
</sst>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9"/>
  <sheetViews>
    <sheetView tabSelected="1" zoomScaleNormal="100" workbookViewId="0">
      <pane ySplit="1" topLeftCell="A2" activePane="bottomLeft" state="frozen"/>
      <selection pane="bottomLeft" activeCell="A2" sqref="A2"/>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c r="L15" t="s">
        <v>902</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2" x14ac:dyDescent="0.35">
      <c r="A193" t="s">
        <v>129</v>
      </c>
      <c r="B193">
        <v>1400</v>
      </c>
      <c r="C193" t="s">
        <v>130</v>
      </c>
      <c r="D193" t="s">
        <v>74</v>
      </c>
      <c r="E193" t="s">
        <v>131</v>
      </c>
      <c r="F193" t="s">
        <v>14</v>
      </c>
      <c r="G193" t="s">
        <v>76</v>
      </c>
      <c r="H193" t="s">
        <v>16</v>
      </c>
      <c r="I193" t="s">
        <v>17</v>
      </c>
      <c r="J193" s="6">
        <v>46030</v>
      </c>
      <c r="K193" t="s">
        <v>77</v>
      </c>
    </row>
    <row r="194" spans="1:12" x14ac:dyDescent="0.35">
      <c r="A194" t="s">
        <v>68</v>
      </c>
      <c r="B194" t="s">
        <v>484</v>
      </c>
      <c r="C194" t="s">
        <v>69</v>
      </c>
      <c r="D194" t="s">
        <v>12</v>
      </c>
      <c r="E194" t="s">
        <v>22</v>
      </c>
      <c r="F194" t="s">
        <v>14</v>
      </c>
      <c r="G194" t="s">
        <v>15</v>
      </c>
      <c r="H194" t="s">
        <v>16</v>
      </c>
      <c r="I194" t="s">
        <v>17</v>
      </c>
      <c r="J194" s="6">
        <v>46030</v>
      </c>
      <c r="K194" t="s">
        <v>18</v>
      </c>
    </row>
    <row r="195" spans="1:12" x14ac:dyDescent="0.35">
      <c r="A195" t="s">
        <v>64</v>
      </c>
      <c r="B195" t="s">
        <v>484</v>
      </c>
      <c r="C195" t="s">
        <v>65</v>
      </c>
      <c r="D195" t="s">
        <v>12</v>
      </c>
      <c r="E195" t="s">
        <v>25</v>
      </c>
      <c r="F195" t="s">
        <v>14</v>
      </c>
      <c r="G195" t="s">
        <v>15</v>
      </c>
      <c r="H195" t="s">
        <v>16</v>
      </c>
      <c r="I195" t="s">
        <v>17</v>
      </c>
      <c r="J195" s="6">
        <v>46030</v>
      </c>
      <c r="K195" t="s">
        <v>18</v>
      </c>
    </row>
    <row r="196" spans="1:12" x14ac:dyDescent="0.35">
      <c r="A196" t="s">
        <v>150</v>
      </c>
      <c r="B196">
        <v>59</v>
      </c>
      <c r="C196" t="s">
        <v>151</v>
      </c>
      <c r="D196" t="s">
        <v>152</v>
      </c>
      <c r="E196" t="s">
        <v>465</v>
      </c>
      <c r="F196" t="s">
        <v>14</v>
      </c>
      <c r="G196" t="s">
        <v>76</v>
      </c>
      <c r="H196" t="s">
        <v>16</v>
      </c>
      <c r="I196" t="s">
        <v>17</v>
      </c>
      <c r="J196" s="6">
        <v>46030</v>
      </c>
      <c r="K196" t="s">
        <v>77</v>
      </c>
    </row>
    <row r="197" spans="1:12" x14ac:dyDescent="0.35">
      <c r="A197" t="s">
        <v>153</v>
      </c>
      <c r="B197">
        <v>6</v>
      </c>
      <c r="C197" t="s">
        <v>154</v>
      </c>
      <c r="D197" t="s">
        <v>152</v>
      </c>
      <c r="E197" t="s">
        <v>465</v>
      </c>
      <c r="F197" t="s">
        <v>14</v>
      </c>
      <c r="G197" t="s">
        <v>76</v>
      </c>
      <c r="H197" t="s">
        <v>16</v>
      </c>
      <c r="I197" t="s">
        <v>17</v>
      </c>
      <c r="J197" s="6">
        <v>46030</v>
      </c>
      <c r="K197" t="s">
        <v>77</v>
      </c>
    </row>
    <row r="198" spans="1:12" x14ac:dyDescent="0.35">
      <c r="A198" t="s">
        <v>485</v>
      </c>
      <c r="B198">
        <v>178</v>
      </c>
      <c r="C198" t="s">
        <v>486</v>
      </c>
      <c r="D198" t="s">
        <v>152</v>
      </c>
      <c r="E198" t="s">
        <v>465</v>
      </c>
      <c r="F198" t="s">
        <v>14</v>
      </c>
      <c r="G198" t="s">
        <v>76</v>
      </c>
      <c r="H198" t="s">
        <v>16</v>
      </c>
      <c r="I198" t="s">
        <v>17</v>
      </c>
      <c r="J198" s="6">
        <v>46030</v>
      </c>
      <c r="K198" t="s">
        <v>77</v>
      </c>
    </row>
    <row r="199" spans="1:12" x14ac:dyDescent="0.35">
      <c r="A199" t="s">
        <v>488</v>
      </c>
      <c r="B199">
        <v>10</v>
      </c>
      <c r="C199" t="s">
        <v>489</v>
      </c>
      <c r="D199" t="s">
        <v>74</v>
      </c>
      <c r="E199" t="s">
        <v>490</v>
      </c>
      <c r="F199" t="s">
        <v>14</v>
      </c>
      <c r="G199" t="s">
        <v>76</v>
      </c>
      <c r="H199" t="s">
        <v>16</v>
      </c>
      <c r="I199" t="s">
        <v>17</v>
      </c>
      <c r="J199" s="6">
        <v>46030</v>
      </c>
      <c r="K199" t="s">
        <v>77</v>
      </c>
      <c r="L199">
        <v>5</v>
      </c>
    </row>
    <row r="200" spans="1:12" x14ac:dyDescent="0.35">
      <c r="A200" t="s">
        <v>491</v>
      </c>
      <c r="B200">
        <v>10</v>
      </c>
      <c r="C200" t="s">
        <v>492</v>
      </c>
      <c r="D200" t="s">
        <v>74</v>
      </c>
      <c r="E200" t="s">
        <v>490</v>
      </c>
      <c r="F200" t="s">
        <v>14</v>
      </c>
      <c r="G200" t="s">
        <v>76</v>
      </c>
      <c r="H200" t="s">
        <v>16</v>
      </c>
      <c r="I200" t="s">
        <v>17</v>
      </c>
      <c r="J200" s="6">
        <v>46030</v>
      </c>
      <c r="K200" t="s">
        <v>77</v>
      </c>
      <c r="L200">
        <v>5</v>
      </c>
    </row>
    <row r="201" spans="1:12" x14ac:dyDescent="0.35">
      <c r="A201" t="s">
        <v>493</v>
      </c>
      <c r="B201">
        <v>10</v>
      </c>
      <c r="C201" t="s">
        <v>494</v>
      </c>
      <c r="D201" t="s">
        <v>74</v>
      </c>
      <c r="E201" t="s">
        <v>490</v>
      </c>
      <c r="F201" t="s">
        <v>14</v>
      </c>
      <c r="G201" t="s">
        <v>76</v>
      </c>
      <c r="H201" t="s">
        <v>16</v>
      </c>
      <c r="I201" t="s">
        <v>17</v>
      </c>
      <c r="J201" s="6">
        <v>46030</v>
      </c>
      <c r="K201" t="s">
        <v>77</v>
      </c>
      <c r="L201">
        <v>5</v>
      </c>
    </row>
    <row r="202" spans="1:12" x14ac:dyDescent="0.35">
      <c r="A202" t="s">
        <v>495</v>
      </c>
      <c r="B202">
        <v>10</v>
      </c>
      <c r="C202" t="s">
        <v>496</v>
      </c>
      <c r="D202" t="s">
        <v>74</v>
      </c>
      <c r="E202" t="s">
        <v>490</v>
      </c>
      <c r="F202" t="s">
        <v>14</v>
      </c>
      <c r="G202" t="s">
        <v>76</v>
      </c>
      <c r="H202" t="s">
        <v>16</v>
      </c>
      <c r="I202" t="s">
        <v>17</v>
      </c>
      <c r="J202" s="6">
        <v>46030</v>
      </c>
      <c r="K202" t="s">
        <v>77</v>
      </c>
      <c r="L202">
        <v>5</v>
      </c>
    </row>
    <row r="203" spans="1:12" x14ac:dyDescent="0.35">
      <c r="A203" t="s">
        <v>497</v>
      </c>
      <c r="B203">
        <v>11</v>
      </c>
      <c r="C203" t="s">
        <v>498</v>
      </c>
      <c r="D203" t="s">
        <v>74</v>
      </c>
      <c r="E203" t="s">
        <v>499</v>
      </c>
      <c r="F203" t="s">
        <v>14</v>
      </c>
      <c r="G203" t="s">
        <v>76</v>
      </c>
      <c r="H203" t="s">
        <v>16</v>
      </c>
      <c r="I203" t="s">
        <v>17</v>
      </c>
      <c r="J203" s="6">
        <v>46030</v>
      </c>
      <c r="K203" t="s">
        <v>77</v>
      </c>
      <c r="L203">
        <v>5.5</v>
      </c>
    </row>
    <row r="204" spans="1:12" x14ac:dyDescent="0.35">
      <c r="A204" t="s">
        <v>500</v>
      </c>
      <c r="B204">
        <v>11</v>
      </c>
      <c r="C204" t="s">
        <v>501</v>
      </c>
      <c r="D204" t="s">
        <v>74</v>
      </c>
      <c r="E204" t="s">
        <v>499</v>
      </c>
      <c r="F204" t="s">
        <v>14</v>
      </c>
      <c r="G204" t="s">
        <v>76</v>
      </c>
      <c r="H204" t="s">
        <v>16</v>
      </c>
      <c r="I204" t="s">
        <v>17</v>
      </c>
      <c r="J204" s="6">
        <v>46030</v>
      </c>
      <c r="K204" t="s">
        <v>77</v>
      </c>
      <c r="L204">
        <v>5.5</v>
      </c>
    </row>
    <row r="205" spans="1:12" x14ac:dyDescent="0.35">
      <c r="A205" t="s">
        <v>502</v>
      </c>
      <c r="B205">
        <v>11</v>
      </c>
      <c r="C205" t="s">
        <v>503</v>
      </c>
      <c r="D205" t="s">
        <v>74</v>
      </c>
      <c r="E205" t="s">
        <v>499</v>
      </c>
      <c r="F205" t="s">
        <v>14</v>
      </c>
      <c r="G205" t="s">
        <v>76</v>
      </c>
      <c r="H205" t="s">
        <v>16</v>
      </c>
      <c r="I205" t="s">
        <v>17</v>
      </c>
      <c r="J205" s="6">
        <v>46030</v>
      </c>
      <c r="K205" t="s">
        <v>77</v>
      </c>
      <c r="L205">
        <v>5.5</v>
      </c>
    </row>
    <row r="206" spans="1:12" x14ac:dyDescent="0.35">
      <c r="A206" t="s">
        <v>504</v>
      </c>
      <c r="B206">
        <v>11</v>
      </c>
      <c r="C206" t="s">
        <v>505</v>
      </c>
      <c r="D206" t="s">
        <v>74</v>
      </c>
      <c r="E206" t="s">
        <v>499</v>
      </c>
      <c r="F206" t="s">
        <v>14</v>
      </c>
      <c r="G206" t="s">
        <v>76</v>
      </c>
      <c r="H206" t="s">
        <v>16</v>
      </c>
      <c r="I206" t="s">
        <v>17</v>
      </c>
      <c r="J206" s="6">
        <v>46030</v>
      </c>
      <c r="K206" t="s">
        <v>77</v>
      </c>
      <c r="L206">
        <v>5.5</v>
      </c>
    </row>
    <row r="207" spans="1:12" x14ac:dyDescent="0.35">
      <c r="A207" t="s">
        <v>506</v>
      </c>
      <c r="B207">
        <v>12</v>
      </c>
      <c r="C207" t="s">
        <v>507</v>
      </c>
      <c r="D207" t="s">
        <v>74</v>
      </c>
      <c r="E207" t="s">
        <v>508</v>
      </c>
      <c r="F207" t="s">
        <v>14</v>
      </c>
      <c r="G207" t="s">
        <v>76</v>
      </c>
      <c r="H207" t="s">
        <v>16</v>
      </c>
      <c r="I207" t="s">
        <v>17</v>
      </c>
      <c r="J207" s="6">
        <v>46030</v>
      </c>
      <c r="K207" t="s">
        <v>77</v>
      </c>
      <c r="L207">
        <v>6</v>
      </c>
    </row>
    <row r="208" spans="1:12" x14ac:dyDescent="0.35">
      <c r="A208" t="s">
        <v>509</v>
      </c>
      <c r="B208">
        <v>12</v>
      </c>
      <c r="C208" t="s">
        <v>510</v>
      </c>
      <c r="D208" t="s">
        <v>74</v>
      </c>
      <c r="E208" t="s">
        <v>508</v>
      </c>
      <c r="F208" t="s">
        <v>14</v>
      </c>
      <c r="G208" t="s">
        <v>76</v>
      </c>
      <c r="H208" t="s">
        <v>16</v>
      </c>
      <c r="I208" t="s">
        <v>17</v>
      </c>
      <c r="J208" s="6">
        <v>46030</v>
      </c>
      <c r="K208" t="s">
        <v>77</v>
      </c>
      <c r="L208">
        <v>6</v>
      </c>
    </row>
    <row r="209" spans="1:12" x14ac:dyDescent="0.35">
      <c r="A209" t="s">
        <v>511</v>
      </c>
      <c r="B209">
        <v>12</v>
      </c>
      <c r="C209" t="s">
        <v>512</v>
      </c>
      <c r="D209" t="s">
        <v>74</v>
      </c>
      <c r="E209" t="s">
        <v>508</v>
      </c>
      <c r="F209" t="s">
        <v>14</v>
      </c>
      <c r="G209" t="s">
        <v>76</v>
      </c>
      <c r="H209" t="s">
        <v>16</v>
      </c>
      <c r="I209" t="s">
        <v>17</v>
      </c>
      <c r="J209" s="6">
        <v>46030</v>
      </c>
      <c r="K209" t="s">
        <v>77</v>
      </c>
      <c r="L209">
        <v>6</v>
      </c>
    </row>
    <row r="210" spans="1:12" x14ac:dyDescent="0.35">
      <c r="A210" t="s">
        <v>513</v>
      </c>
      <c r="B210">
        <v>12</v>
      </c>
      <c r="C210" t="s">
        <v>514</v>
      </c>
      <c r="D210" t="s">
        <v>74</v>
      </c>
      <c r="E210" t="s">
        <v>508</v>
      </c>
      <c r="F210" t="s">
        <v>14</v>
      </c>
      <c r="G210" t="s">
        <v>76</v>
      </c>
      <c r="H210" t="s">
        <v>16</v>
      </c>
      <c r="I210" t="s">
        <v>17</v>
      </c>
      <c r="J210" s="6">
        <v>46030</v>
      </c>
      <c r="K210" t="s">
        <v>77</v>
      </c>
      <c r="L210">
        <v>6</v>
      </c>
    </row>
    <row r="211" spans="1:12" x14ac:dyDescent="0.35">
      <c r="A211" t="s">
        <v>515</v>
      </c>
      <c r="B211">
        <v>12</v>
      </c>
      <c r="C211" t="s">
        <v>517</v>
      </c>
      <c r="D211" t="s">
        <v>74</v>
      </c>
      <c r="E211" t="s">
        <v>516</v>
      </c>
      <c r="F211" t="s">
        <v>14</v>
      </c>
      <c r="G211" t="s">
        <v>76</v>
      </c>
      <c r="H211" t="s">
        <v>16</v>
      </c>
      <c r="I211" t="s">
        <v>17</v>
      </c>
      <c r="J211" s="6">
        <v>46030</v>
      </c>
      <c r="K211" t="s">
        <v>77</v>
      </c>
      <c r="L211">
        <v>6</v>
      </c>
    </row>
    <row r="212" spans="1:12" x14ac:dyDescent="0.35">
      <c r="A212" t="s">
        <v>518</v>
      </c>
      <c r="B212">
        <v>12</v>
      </c>
      <c r="C212" t="s">
        <v>519</v>
      </c>
      <c r="D212" t="s">
        <v>74</v>
      </c>
      <c r="E212" t="s">
        <v>516</v>
      </c>
      <c r="F212" t="s">
        <v>14</v>
      </c>
      <c r="G212" t="s">
        <v>76</v>
      </c>
      <c r="H212" t="s">
        <v>16</v>
      </c>
      <c r="I212" t="s">
        <v>17</v>
      </c>
      <c r="J212" s="6">
        <v>46030</v>
      </c>
      <c r="K212" t="s">
        <v>77</v>
      </c>
      <c r="L212">
        <v>6</v>
      </c>
    </row>
    <row r="213" spans="1:12" x14ac:dyDescent="0.35">
      <c r="A213" t="s">
        <v>520</v>
      </c>
      <c r="B213">
        <v>12</v>
      </c>
      <c r="C213" t="s">
        <v>521</v>
      </c>
      <c r="D213" t="s">
        <v>74</v>
      </c>
      <c r="E213" t="s">
        <v>516</v>
      </c>
      <c r="F213" t="s">
        <v>14</v>
      </c>
      <c r="G213" t="s">
        <v>76</v>
      </c>
      <c r="H213" t="s">
        <v>16</v>
      </c>
      <c r="I213" t="s">
        <v>17</v>
      </c>
      <c r="J213" s="6">
        <v>46030</v>
      </c>
      <c r="K213" t="s">
        <v>77</v>
      </c>
      <c r="L213">
        <v>6</v>
      </c>
    </row>
    <row r="214" spans="1:12" x14ac:dyDescent="0.35">
      <c r="A214" t="s">
        <v>522</v>
      </c>
      <c r="B214">
        <v>12</v>
      </c>
      <c r="C214" t="s">
        <v>523</v>
      </c>
      <c r="D214" t="s">
        <v>74</v>
      </c>
      <c r="E214" t="s">
        <v>516</v>
      </c>
      <c r="F214" t="s">
        <v>14</v>
      </c>
      <c r="G214" t="s">
        <v>76</v>
      </c>
      <c r="H214" t="s">
        <v>16</v>
      </c>
      <c r="I214" t="s">
        <v>17</v>
      </c>
      <c r="J214" s="6">
        <v>46030</v>
      </c>
      <c r="K214" t="s">
        <v>77</v>
      </c>
      <c r="L214">
        <v>6</v>
      </c>
    </row>
    <row r="215" spans="1:12" x14ac:dyDescent="0.35">
      <c r="A215" t="s">
        <v>524</v>
      </c>
      <c r="B215">
        <v>15</v>
      </c>
      <c r="C215" t="s">
        <v>525</v>
      </c>
      <c r="D215" t="s">
        <v>74</v>
      </c>
      <c r="E215" t="s">
        <v>526</v>
      </c>
      <c r="F215" t="s">
        <v>14</v>
      </c>
      <c r="G215" t="s">
        <v>76</v>
      </c>
      <c r="H215" t="s">
        <v>16</v>
      </c>
      <c r="I215" t="s">
        <v>17</v>
      </c>
      <c r="J215" s="6">
        <v>46030</v>
      </c>
      <c r="K215" t="s">
        <v>77</v>
      </c>
      <c r="L215">
        <v>7.5</v>
      </c>
    </row>
    <row r="216" spans="1:12" x14ac:dyDescent="0.35">
      <c r="A216" t="s">
        <v>527</v>
      </c>
      <c r="B216">
        <v>15</v>
      </c>
      <c r="C216" t="s">
        <v>528</v>
      </c>
      <c r="D216" t="s">
        <v>74</v>
      </c>
      <c r="E216" t="s">
        <v>526</v>
      </c>
      <c r="F216" t="s">
        <v>14</v>
      </c>
      <c r="G216" t="s">
        <v>76</v>
      </c>
      <c r="H216" t="s">
        <v>16</v>
      </c>
      <c r="I216" t="s">
        <v>17</v>
      </c>
      <c r="J216" s="6">
        <v>46030</v>
      </c>
      <c r="K216" t="s">
        <v>77</v>
      </c>
      <c r="L216">
        <v>7.5</v>
      </c>
    </row>
    <row r="217" spans="1:12" x14ac:dyDescent="0.35">
      <c r="A217" t="s">
        <v>529</v>
      </c>
      <c r="B217">
        <v>15</v>
      </c>
      <c r="C217" t="s">
        <v>530</v>
      </c>
      <c r="D217" t="s">
        <v>74</v>
      </c>
      <c r="E217" t="s">
        <v>526</v>
      </c>
      <c r="F217" t="s">
        <v>14</v>
      </c>
      <c r="G217" t="s">
        <v>76</v>
      </c>
      <c r="H217" t="s">
        <v>16</v>
      </c>
      <c r="I217" t="s">
        <v>17</v>
      </c>
      <c r="J217" s="6">
        <v>46030</v>
      </c>
      <c r="K217" t="s">
        <v>77</v>
      </c>
      <c r="L217">
        <v>7.5</v>
      </c>
    </row>
    <row r="218" spans="1:12" x14ac:dyDescent="0.35">
      <c r="A218" t="s">
        <v>531</v>
      </c>
      <c r="B218">
        <v>15</v>
      </c>
      <c r="C218" t="s">
        <v>532</v>
      </c>
      <c r="D218" t="s">
        <v>74</v>
      </c>
      <c r="E218" t="s">
        <v>526</v>
      </c>
      <c r="F218" t="s">
        <v>14</v>
      </c>
      <c r="G218" t="s">
        <v>76</v>
      </c>
      <c r="H218" t="s">
        <v>16</v>
      </c>
      <c r="I218" t="s">
        <v>17</v>
      </c>
      <c r="J218" s="6">
        <v>46030</v>
      </c>
      <c r="K218" t="s">
        <v>77</v>
      </c>
      <c r="L218">
        <v>7.5</v>
      </c>
    </row>
    <row r="219" spans="1:12" x14ac:dyDescent="0.35">
      <c r="A219" t="s">
        <v>533</v>
      </c>
      <c r="B219">
        <v>10</v>
      </c>
      <c r="C219" t="s">
        <v>489</v>
      </c>
      <c r="D219" t="s">
        <v>74</v>
      </c>
      <c r="E219" t="s">
        <v>490</v>
      </c>
      <c r="F219" t="s">
        <v>14</v>
      </c>
      <c r="G219" t="s">
        <v>76</v>
      </c>
      <c r="H219" t="s">
        <v>16</v>
      </c>
      <c r="I219" t="s">
        <v>17</v>
      </c>
      <c r="J219" s="6">
        <v>46030</v>
      </c>
      <c r="K219" t="s">
        <v>77</v>
      </c>
      <c r="L219">
        <v>5</v>
      </c>
    </row>
    <row r="220" spans="1:12" x14ac:dyDescent="0.35">
      <c r="A220" t="s">
        <v>534</v>
      </c>
      <c r="B220">
        <v>10</v>
      </c>
      <c r="C220" t="s">
        <v>492</v>
      </c>
      <c r="D220" t="s">
        <v>74</v>
      </c>
      <c r="E220" t="s">
        <v>490</v>
      </c>
      <c r="F220" t="s">
        <v>14</v>
      </c>
      <c r="G220" t="s">
        <v>76</v>
      </c>
      <c r="H220" t="s">
        <v>16</v>
      </c>
      <c r="I220" t="s">
        <v>17</v>
      </c>
      <c r="J220" s="6">
        <v>46030</v>
      </c>
      <c r="K220" t="s">
        <v>77</v>
      </c>
      <c r="L220">
        <v>5</v>
      </c>
    </row>
    <row r="221" spans="1:12" x14ac:dyDescent="0.35">
      <c r="A221" t="s">
        <v>535</v>
      </c>
      <c r="B221">
        <v>10</v>
      </c>
      <c r="C221" t="s">
        <v>494</v>
      </c>
      <c r="D221" t="s">
        <v>74</v>
      </c>
      <c r="E221" t="s">
        <v>490</v>
      </c>
      <c r="F221" t="s">
        <v>14</v>
      </c>
      <c r="G221" t="s">
        <v>76</v>
      </c>
      <c r="H221" t="s">
        <v>16</v>
      </c>
      <c r="I221" t="s">
        <v>17</v>
      </c>
      <c r="J221" s="6">
        <v>46030</v>
      </c>
      <c r="K221" t="s">
        <v>77</v>
      </c>
      <c r="L221">
        <v>5</v>
      </c>
    </row>
    <row r="222" spans="1:12" x14ac:dyDescent="0.35">
      <c r="A222" t="s">
        <v>536</v>
      </c>
      <c r="B222">
        <v>10</v>
      </c>
      <c r="C222" t="s">
        <v>496</v>
      </c>
      <c r="D222" t="s">
        <v>74</v>
      </c>
      <c r="E222" t="s">
        <v>490</v>
      </c>
      <c r="F222" t="s">
        <v>14</v>
      </c>
      <c r="G222" t="s">
        <v>76</v>
      </c>
      <c r="H222" t="s">
        <v>16</v>
      </c>
      <c r="I222" t="s">
        <v>17</v>
      </c>
      <c r="J222" s="6">
        <v>46030</v>
      </c>
      <c r="K222" t="s">
        <v>77</v>
      </c>
      <c r="L222">
        <v>5</v>
      </c>
    </row>
    <row r="223" spans="1:12" x14ac:dyDescent="0.35">
      <c r="A223" t="s">
        <v>537</v>
      </c>
      <c r="B223">
        <v>11</v>
      </c>
      <c r="C223" t="s">
        <v>498</v>
      </c>
      <c r="D223" t="s">
        <v>74</v>
      </c>
      <c r="E223" t="s">
        <v>538</v>
      </c>
      <c r="F223" t="s">
        <v>14</v>
      </c>
      <c r="G223" t="s">
        <v>76</v>
      </c>
      <c r="H223" t="s">
        <v>16</v>
      </c>
      <c r="I223" t="s">
        <v>17</v>
      </c>
      <c r="J223" s="6">
        <v>46030</v>
      </c>
      <c r="K223" t="s">
        <v>77</v>
      </c>
      <c r="L223">
        <v>5.5</v>
      </c>
    </row>
    <row r="224" spans="1:12" x14ac:dyDescent="0.35">
      <c r="A224" t="s">
        <v>539</v>
      </c>
      <c r="B224">
        <v>11</v>
      </c>
      <c r="C224" t="s">
        <v>501</v>
      </c>
      <c r="D224" t="s">
        <v>74</v>
      </c>
      <c r="E224" t="s">
        <v>538</v>
      </c>
      <c r="F224" t="s">
        <v>14</v>
      </c>
      <c r="G224" t="s">
        <v>76</v>
      </c>
      <c r="H224" t="s">
        <v>16</v>
      </c>
      <c r="I224" t="s">
        <v>17</v>
      </c>
      <c r="J224" s="6">
        <v>46030</v>
      </c>
      <c r="K224" t="s">
        <v>77</v>
      </c>
      <c r="L224">
        <v>5.5</v>
      </c>
    </row>
    <row r="225" spans="1:12" x14ac:dyDescent="0.35">
      <c r="A225" t="s">
        <v>540</v>
      </c>
      <c r="B225">
        <v>11</v>
      </c>
      <c r="C225" t="s">
        <v>541</v>
      </c>
      <c r="D225" t="s">
        <v>74</v>
      </c>
      <c r="E225" t="s">
        <v>538</v>
      </c>
      <c r="F225" t="s">
        <v>14</v>
      </c>
      <c r="G225" t="s">
        <v>76</v>
      </c>
      <c r="H225" t="s">
        <v>16</v>
      </c>
      <c r="I225" t="s">
        <v>17</v>
      </c>
      <c r="J225" s="6">
        <v>46030</v>
      </c>
      <c r="K225" t="s">
        <v>77</v>
      </c>
      <c r="L225">
        <v>5.5</v>
      </c>
    </row>
    <row r="226" spans="1:12" x14ac:dyDescent="0.35">
      <c r="A226" t="s">
        <v>542</v>
      </c>
      <c r="B226">
        <v>11</v>
      </c>
      <c r="C226" t="s">
        <v>505</v>
      </c>
      <c r="D226" t="s">
        <v>74</v>
      </c>
      <c r="E226" t="s">
        <v>538</v>
      </c>
      <c r="F226" t="s">
        <v>14</v>
      </c>
      <c r="G226" t="s">
        <v>76</v>
      </c>
      <c r="H226" t="s">
        <v>16</v>
      </c>
      <c r="I226" t="s">
        <v>17</v>
      </c>
      <c r="J226" s="6">
        <v>46030</v>
      </c>
      <c r="K226" t="s">
        <v>77</v>
      </c>
      <c r="L226">
        <v>5.5</v>
      </c>
    </row>
    <row r="227" spans="1:12" x14ac:dyDescent="0.35">
      <c r="A227" t="s">
        <v>543</v>
      </c>
      <c r="B227">
        <v>12</v>
      </c>
      <c r="C227" t="s">
        <v>507</v>
      </c>
      <c r="D227" t="s">
        <v>74</v>
      </c>
      <c r="E227" t="s">
        <v>544</v>
      </c>
      <c r="F227" t="s">
        <v>14</v>
      </c>
      <c r="G227" t="s">
        <v>76</v>
      </c>
      <c r="H227" t="s">
        <v>16</v>
      </c>
      <c r="I227" t="s">
        <v>17</v>
      </c>
      <c r="J227" s="6">
        <v>46030</v>
      </c>
      <c r="K227" t="s">
        <v>77</v>
      </c>
      <c r="L227">
        <v>6</v>
      </c>
    </row>
    <row r="228" spans="1:12" x14ac:dyDescent="0.35">
      <c r="A228" t="s">
        <v>545</v>
      </c>
      <c r="B228">
        <v>12</v>
      </c>
      <c r="C228" t="s">
        <v>510</v>
      </c>
      <c r="D228" t="s">
        <v>74</v>
      </c>
      <c r="E228" t="s">
        <v>544</v>
      </c>
      <c r="F228" t="s">
        <v>14</v>
      </c>
      <c r="G228" t="s">
        <v>76</v>
      </c>
      <c r="H228" t="s">
        <v>16</v>
      </c>
      <c r="I228" t="s">
        <v>17</v>
      </c>
      <c r="J228" s="6">
        <v>46030</v>
      </c>
      <c r="K228" t="s">
        <v>77</v>
      </c>
      <c r="L228">
        <v>6</v>
      </c>
    </row>
    <row r="229" spans="1:12" x14ac:dyDescent="0.35">
      <c r="A229" t="s">
        <v>546</v>
      </c>
      <c r="B229">
        <v>12</v>
      </c>
      <c r="C229" t="s">
        <v>512</v>
      </c>
      <c r="D229" t="s">
        <v>74</v>
      </c>
      <c r="E229" t="s">
        <v>544</v>
      </c>
      <c r="F229" t="s">
        <v>14</v>
      </c>
      <c r="G229" t="s">
        <v>76</v>
      </c>
      <c r="H229" t="s">
        <v>16</v>
      </c>
      <c r="I229" t="s">
        <v>17</v>
      </c>
      <c r="J229" s="6">
        <v>46030</v>
      </c>
      <c r="K229" t="s">
        <v>77</v>
      </c>
      <c r="L229">
        <v>6</v>
      </c>
    </row>
    <row r="230" spans="1:12" x14ac:dyDescent="0.35">
      <c r="A230" t="s">
        <v>547</v>
      </c>
      <c r="B230">
        <v>12</v>
      </c>
      <c r="C230" t="s">
        <v>514</v>
      </c>
      <c r="D230" t="s">
        <v>74</v>
      </c>
      <c r="E230" t="s">
        <v>544</v>
      </c>
      <c r="F230" t="s">
        <v>14</v>
      </c>
      <c r="G230" t="s">
        <v>76</v>
      </c>
      <c r="H230" t="s">
        <v>16</v>
      </c>
      <c r="I230" t="s">
        <v>17</v>
      </c>
      <c r="J230" s="6">
        <v>46030</v>
      </c>
      <c r="K230" t="s">
        <v>77</v>
      </c>
      <c r="L230">
        <v>6</v>
      </c>
    </row>
    <row r="231" spans="1:12" x14ac:dyDescent="0.35">
      <c r="A231" t="s">
        <v>548</v>
      </c>
      <c r="B231">
        <v>13</v>
      </c>
      <c r="C231" t="s">
        <v>517</v>
      </c>
      <c r="D231" t="s">
        <v>74</v>
      </c>
      <c r="E231" t="s">
        <v>549</v>
      </c>
      <c r="F231" t="s">
        <v>14</v>
      </c>
      <c r="G231" t="s">
        <v>76</v>
      </c>
      <c r="H231" t="s">
        <v>16</v>
      </c>
      <c r="I231" t="s">
        <v>17</v>
      </c>
      <c r="J231" s="6">
        <v>46030</v>
      </c>
      <c r="K231" t="s">
        <v>77</v>
      </c>
      <c r="L231">
        <v>6.5</v>
      </c>
    </row>
    <row r="232" spans="1:12" x14ac:dyDescent="0.35">
      <c r="A232" t="s">
        <v>550</v>
      </c>
      <c r="B232">
        <v>13</v>
      </c>
      <c r="C232" t="s">
        <v>519</v>
      </c>
      <c r="D232" t="s">
        <v>74</v>
      </c>
      <c r="E232" t="s">
        <v>549</v>
      </c>
      <c r="F232" t="s">
        <v>14</v>
      </c>
      <c r="G232" t="s">
        <v>76</v>
      </c>
      <c r="H232" t="s">
        <v>16</v>
      </c>
      <c r="I232" t="s">
        <v>17</v>
      </c>
      <c r="J232" s="6">
        <v>46030</v>
      </c>
      <c r="K232" t="s">
        <v>77</v>
      </c>
      <c r="L232">
        <v>6.5</v>
      </c>
    </row>
    <row r="233" spans="1:12" x14ac:dyDescent="0.35">
      <c r="A233" t="s">
        <v>551</v>
      </c>
      <c r="B233">
        <v>13</v>
      </c>
      <c r="C233" t="s">
        <v>521</v>
      </c>
      <c r="D233" t="s">
        <v>74</v>
      </c>
      <c r="E233" t="s">
        <v>549</v>
      </c>
      <c r="F233" t="s">
        <v>14</v>
      </c>
      <c r="G233" t="s">
        <v>76</v>
      </c>
      <c r="H233" t="s">
        <v>16</v>
      </c>
      <c r="I233" t="s">
        <v>17</v>
      </c>
      <c r="J233" s="6">
        <v>46030</v>
      </c>
      <c r="K233" t="s">
        <v>77</v>
      </c>
      <c r="L233">
        <v>6.5</v>
      </c>
    </row>
    <row r="234" spans="1:12" x14ac:dyDescent="0.35">
      <c r="A234" t="s">
        <v>552</v>
      </c>
      <c r="B234">
        <v>13</v>
      </c>
      <c r="C234" t="s">
        <v>523</v>
      </c>
      <c r="D234" t="s">
        <v>74</v>
      </c>
      <c r="E234" t="s">
        <v>549</v>
      </c>
      <c r="F234" t="s">
        <v>14</v>
      </c>
      <c r="G234" t="s">
        <v>76</v>
      </c>
      <c r="H234" t="s">
        <v>16</v>
      </c>
      <c r="I234" t="s">
        <v>17</v>
      </c>
      <c r="J234" s="6">
        <v>46030</v>
      </c>
      <c r="K234" t="s">
        <v>77</v>
      </c>
      <c r="L234">
        <v>6.5</v>
      </c>
    </row>
    <row r="235" spans="1:12" x14ac:dyDescent="0.35">
      <c r="A235" t="s">
        <v>553</v>
      </c>
      <c r="B235">
        <v>15.5</v>
      </c>
      <c r="C235" t="s">
        <v>525</v>
      </c>
      <c r="D235" t="s">
        <v>74</v>
      </c>
      <c r="E235" t="s">
        <v>557</v>
      </c>
      <c r="F235" t="s">
        <v>14</v>
      </c>
      <c r="G235" t="s">
        <v>76</v>
      </c>
      <c r="H235" t="s">
        <v>16</v>
      </c>
      <c r="I235" t="s">
        <v>17</v>
      </c>
      <c r="J235" s="6">
        <v>46030</v>
      </c>
      <c r="K235" t="s">
        <v>77</v>
      </c>
      <c r="L235">
        <v>7.75</v>
      </c>
    </row>
    <row r="236" spans="1:12" x14ac:dyDescent="0.35">
      <c r="A236" t="s">
        <v>554</v>
      </c>
      <c r="B236">
        <v>15.5</v>
      </c>
      <c r="C236" t="s">
        <v>528</v>
      </c>
      <c r="D236" t="s">
        <v>74</v>
      </c>
      <c r="E236" t="s">
        <v>557</v>
      </c>
      <c r="F236" t="s">
        <v>14</v>
      </c>
      <c r="G236" t="s">
        <v>76</v>
      </c>
      <c r="H236" t="s">
        <v>16</v>
      </c>
      <c r="I236" t="s">
        <v>17</v>
      </c>
      <c r="J236" s="6">
        <v>46030</v>
      </c>
      <c r="K236" t="s">
        <v>77</v>
      </c>
      <c r="L236">
        <v>7.75</v>
      </c>
    </row>
    <row r="237" spans="1:12" x14ac:dyDescent="0.35">
      <c r="A237" t="s">
        <v>555</v>
      </c>
      <c r="B237">
        <v>15.5</v>
      </c>
      <c r="C237" t="s">
        <v>530</v>
      </c>
      <c r="D237" t="s">
        <v>74</v>
      </c>
      <c r="E237" t="s">
        <v>557</v>
      </c>
      <c r="F237" t="s">
        <v>14</v>
      </c>
      <c r="G237" t="s">
        <v>76</v>
      </c>
      <c r="H237" t="s">
        <v>16</v>
      </c>
      <c r="I237" t="s">
        <v>17</v>
      </c>
      <c r="J237" s="6">
        <v>46030</v>
      </c>
      <c r="K237" t="s">
        <v>77</v>
      </c>
      <c r="L237">
        <v>7.75</v>
      </c>
    </row>
    <row r="238" spans="1:12" x14ac:dyDescent="0.35">
      <c r="A238" t="s">
        <v>556</v>
      </c>
      <c r="B238">
        <v>15.5</v>
      </c>
      <c r="C238" t="s">
        <v>532</v>
      </c>
      <c r="D238" t="s">
        <v>74</v>
      </c>
      <c r="E238" t="s">
        <v>557</v>
      </c>
      <c r="F238" t="s">
        <v>14</v>
      </c>
      <c r="G238" t="s">
        <v>76</v>
      </c>
      <c r="H238" t="s">
        <v>16</v>
      </c>
      <c r="I238" t="s">
        <v>17</v>
      </c>
      <c r="J238" s="6">
        <v>46030</v>
      </c>
      <c r="K238" t="s">
        <v>77</v>
      </c>
      <c r="L238">
        <v>7.75</v>
      </c>
    </row>
    <row r="239" spans="1:12" x14ac:dyDescent="0.35">
      <c r="A239" t="s">
        <v>558</v>
      </c>
      <c r="B239">
        <v>11</v>
      </c>
      <c r="C239" t="s">
        <v>489</v>
      </c>
      <c r="D239" t="s">
        <v>74</v>
      </c>
      <c r="E239" t="s">
        <v>562</v>
      </c>
      <c r="F239" t="s">
        <v>14</v>
      </c>
      <c r="G239" t="s">
        <v>76</v>
      </c>
      <c r="H239" t="s">
        <v>16</v>
      </c>
      <c r="I239" t="s">
        <v>17</v>
      </c>
      <c r="J239" s="6">
        <v>46030</v>
      </c>
      <c r="K239" t="s">
        <v>77</v>
      </c>
      <c r="L239">
        <v>5.5</v>
      </c>
    </row>
    <row r="240" spans="1:12" x14ac:dyDescent="0.35">
      <c r="A240" t="s">
        <v>559</v>
      </c>
      <c r="B240">
        <v>11</v>
      </c>
      <c r="C240" t="s">
        <v>492</v>
      </c>
      <c r="D240" t="s">
        <v>74</v>
      </c>
      <c r="E240" t="s">
        <v>562</v>
      </c>
      <c r="F240" t="s">
        <v>14</v>
      </c>
      <c r="G240" t="s">
        <v>76</v>
      </c>
      <c r="H240" t="s">
        <v>16</v>
      </c>
      <c r="I240" t="s">
        <v>17</v>
      </c>
      <c r="J240" s="6">
        <v>46030</v>
      </c>
      <c r="K240" t="s">
        <v>77</v>
      </c>
      <c r="L240">
        <v>5.5</v>
      </c>
    </row>
    <row r="241" spans="1:12" x14ac:dyDescent="0.35">
      <c r="A241" t="s">
        <v>560</v>
      </c>
      <c r="B241">
        <v>11</v>
      </c>
      <c r="C241" t="s">
        <v>494</v>
      </c>
      <c r="D241" t="s">
        <v>74</v>
      </c>
      <c r="E241" t="s">
        <v>562</v>
      </c>
      <c r="F241" t="s">
        <v>14</v>
      </c>
      <c r="G241" t="s">
        <v>76</v>
      </c>
      <c r="H241" t="s">
        <v>16</v>
      </c>
      <c r="I241" t="s">
        <v>17</v>
      </c>
      <c r="J241" s="6">
        <v>46030</v>
      </c>
      <c r="K241" t="s">
        <v>77</v>
      </c>
      <c r="L241">
        <v>5.5</v>
      </c>
    </row>
    <row r="242" spans="1:12" x14ac:dyDescent="0.35">
      <c r="A242" t="s">
        <v>561</v>
      </c>
      <c r="B242">
        <v>11</v>
      </c>
      <c r="C242" t="s">
        <v>496</v>
      </c>
      <c r="D242" t="s">
        <v>74</v>
      </c>
      <c r="E242" t="s">
        <v>562</v>
      </c>
      <c r="F242" t="s">
        <v>14</v>
      </c>
      <c r="G242" t="s">
        <v>76</v>
      </c>
      <c r="H242" t="s">
        <v>16</v>
      </c>
      <c r="I242" t="s">
        <v>17</v>
      </c>
      <c r="J242" s="6">
        <v>46030</v>
      </c>
      <c r="K242" t="s">
        <v>77</v>
      </c>
      <c r="L242">
        <v>5.5</v>
      </c>
    </row>
    <row r="243" spans="1:12" x14ac:dyDescent="0.35">
      <c r="A243" t="s">
        <v>563</v>
      </c>
      <c r="B243">
        <v>12</v>
      </c>
      <c r="C243" t="s">
        <v>567</v>
      </c>
      <c r="D243" t="s">
        <v>74</v>
      </c>
      <c r="E243" t="s">
        <v>568</v>
      </c>
      <c r="F243" t="s">
        <v>14</v>
      </c>
      <c r="G243" t="s">
        <v>76</v>
      </c>
      <c r="H243" t="s">
        <v>16</v>
      </c>
      <c r="I243" t="s">
        <v>17</v>
      </c>
      <c r="J243" s="6">
        <v>46030</v>
      </c>
      <c r="K243" t="s">
        <v>77</v>
      </c>
      <c r="L243">
        <v>6</v>
      </c>
    </row>
    <row r="244" spans="1:12" x14ac:dyDescent="0.35">
      <c r="A244" t="s">
        <v>564</v>
      </c>
      <c r="B244">
        <v>12</v>
      </c>
      <c r="C244" t="s">
        <v>569</v>
      </c>
      <c r="D244" t="s">
        <v>74</v>
      </c>
      <c r="E244" t="s">
        <v>568</v>
      </c>
      <c r="F244" t="s">
        <v>14</v>
      </c>
      <c r="G244" t="s">
        <v>76</v>
      </c>
      <c r="H244" t="s">
        <v>16</v>
      </c>
      <c r="I244" t="s">
        <v>17</v>
      </c>
      <c r="J244" s="6">
        <v>46030</v>
      </c>
      <c r="K244" t="s">
        <v>77</v>
      </c>
      <c r="L244">
        <v>6</v>
      </c>
    </row>
    <row r="245" spans="1:12" x14ac:dyDescent="0.35">
      <c r="A245" t="s">
        <v>565</v>
      </c>
      <c r="B245">
        <v>12</v>
      </c>
      <c r="C245" t="s">
        <v>570</v>
      </c>
      <c r="D245" t="s">
        <v>74</v>
      </c>
      <c r="E245" t="s">
        <v>568</v>
      </c>
      <c r="F245" t="s">
        <v>14</v>
      </c>
      <c r="G245" t="s">
        <v>76</v>
      </c>
      <c r="H245" t="s">
        <v>16</v>
      </c>
      <c r="I245" t="s">
        <v>17</v>
      </c>
      <c r="J245" s="6">
        <v>46030</v>
      </c>
      <c r="K245" t="s">
        <v>77</v>
      </c>
      <c r="L245">
        <v>6</v>
      </c>
    </row>
    <row r="246" spans="1:12" x14ac:dyDescent="0.35">
      <c r="A246" t="s">
        <v>566</v>
      </c>
      <c r="B246">
        <v>12</v>
      </c>
      <c r="C246" t="s">
        <v>571</v>
      </c>
      <c r="D246" t="s">
        <v>74</v>
      </c>
      <c r="E246" t="s">
        <v>568</v>
      </c>
      <c r="F246" t="s">
        <v>14</v>
      </c>
      <c r="G246" t="s">
        <v>76</v>
      </c>
      <c r="H246" t="s">
        <v>16</v>
      </c>
      <c r="I246" t="s">
        <v>17</v>
      </c>
      <c r="J246" s="6">
        <v>46030</v>
      </c>
      <c r="K246" t="s">
        <v>77</v>
      </c>
      <c r="L246">
        <v>6</v>
      </c>
    </row>
    <row r="247" spans="1:12" x14ac:dyDescent="0.35">
      <c r="A247" t="s">
        <v>572</v>
      </c>
      <c r="B247">
        <v>13</v>
      </c>
      <c r="C247" t="s">
        <v>507</v>
      </c>
      <c r="D247" t="s">
        <v>74</v>
      </c>
      <c r="E247" t="s">
        <v>576</v>
      </c>
      <c r="F247" t="s">
        <v>14</v>
      </c>
      <c r="G247" t="s">
        <v>76</v>
      </c>
      <c r="H247" t="s">
        <v>16</v>
      </c>
      <c r="I247" t="s">
        <v>17</v>
      </c>
      <c r="J247" s="6">
        <v>46030</v>
      </c>
      <c r="K247" t="s">
        <v>77</v>
      </c>
      <c r="L247">
        <v>6.5</v>
      </c>
    </row>
    <row r="248" spans="1:12" x14ac:dyDescent="0.35">
      <c r="A248" t="s">
        <v>573</v>
      </c>
      <c r="B248">
        <v>13</v>
      </c>
      <c r="C248" t="s">
        <v>510</v>
      </c>
      <c r="D248" t="s">
        <v>74</v>
      </c>
      <c r="E248" t="s">
        <v>576</v>
      </c>
      <c r="F248" t="s">
        <v>14</v>
      </c>
      <c r="G248" t="s">
        <v>76</v>
      </c>
      <c r="H248" t="s">
        <v>16</v>
      </c>
      <c r="I248" t="s">
        <v>17</v>
      </c>
      <c r="J248" s="6">
        <v>46030</v>
      </c>
      <c r="K248" t="s">
        <v>77</v>
      </c>
      <c r="L248">
        <v>6.5</v>
      </c>
    </row>
    <row r="249" spans="1:12" x14ac:dyDescent="0.35">
      <c r="A249" t="s">
        <v>574</v>
      </c>
      <c r="B249">
        <v>13</v>
      </c>
      <c r="C249" t="s">
        <v>512</v>
      </c>
      <c r="D249" t="s">
        <v>74</v>
      </c>
      <c r="E249" t="s">
        <v>576</v>
      </c>
      <c r="F249" t="s">
        <v>14</v>
      </c>
      <c r="G249" t="s">
        <v>76</v>
      </c>
      <c r="H249" t="s">
        <v>16</v>
      </c>
      <c r="I249" t="s">
        <v>17</v>
      </c>
      <c r="J249" s="6">
        <v>46030</v>
      </c>
      <c r="K249" t="s">
        <v>77</v>
      </c>
      <c r="L249">
        <v>6.5</v>
      </c>
    </row>
    <row r="250" spans="1:12" x14ac:dyDescent="0.35">
      <c r="A250" t="s">
        <v>575</v>
      </c>
      <c r="B250">
        <v>13</v>
      </c>
      <c r="C250" t="s">
        <v>514</v>
      </c>
      <c r="D250" t="s">
        <v>74</v>
      </c>
      <c r="E250" t="s">
        <v>576</v>
      </c>
      <c r="F250" t="s">
        <v>14</v>
      </c>
      <c r="G250" t="s">
        <v>76</v>
      </c>
      <c r="H250" t="s">
        <v>16</v>
      </c>
      <c r="I250" t="s">
        <v>17</v>
      </c>
      <c r="J250" s="6">
        <v>46030</v>
      </c>
      <c r="K250" t="s">
        <v>77</v>
      </c>
      <c r="L250">
        <v>6.5</v>
      </c>
    </row>
    <row r="251" spans="1:12" x14ac:dyDescent="0.35">
      <c r="A251" t="s">
        <v>577</v>
      </c>
      <c r="B251">
        <v>14</v>
      </c>
      <c r="C251" t="s">
        <v>517</v>
      </c>
      <c r="D251" t="s">
        <v>74</v>
      </c>
      <c r="E251" t="s">
        <v>581</v>
      </c>
      <c r="F251" t="s">
        <v>14</v>
      </c>
      <c r="G251" t="s">
        <v>76</v>
      </c>
      <c r="H251" t="s">
        <v>16</v>
      </c>
      <c r="I251" t="s">
        <v>17</v>
      </c>
      <c r="J251" s="6">
        <v>46030</v>
      </c>
      <c r="K251" t="s">
        <v>77</v>
      </c>
      <c r="L251">
        <v>7</v>
      </c>
    </row>
    <row r="252" spans="1:12" x14ac:dyDescent="0.35">
      <c r="A252" t="s">
        <v>578</v>
      </c>
      <c r="B252">
        <v>14</v>
      </c>
      <c r="C252" t="s">
        <v>519</v>
      </c>
      <c r="D252" t="s">
        <v>74</v>
      </c>
      <c r="E252" t="s">
        <v>581</v>
      </c>
      <c r="F252" t="s">
        <v>14</v>
      </c>
      <c r="G252" t="s">
        <v>76</v>
      </c>
      <c r="H252" t="s">
        <v>16</v>
      </c>
      <c r="I252" t="s">
        <v>17</v>
      </c>
      <c r="J252" s="6">
        <v>46030</v>
      </c>
      <c r="K252" t="s">
        <v>77</v>
      </c>
      <c r="L252">
        <v>7</v>
      </c>
    </row>
    <row r="253" spans="1:12" x14ac:dyDescent="0.35">
      <c r="A253" t="s">
        <v>579</v>
      </c>
      <c r="B253">
        <v>14</v>
      </c>
      <c r="C253" t="s">
        <v>521</v>
      </c>
      <c r="D253" t="s">
        <v>74</v>
      </c>
      <c r="E253" t="s">
        <v>581</v>
      </c>
      <c r="F253" t="s">
        <v>14</v>
      </c>
      <c r="G253" t="s">
        <v>76</v>
      </c>
      <c r="H253" t="s">
        <v>16</v>
      </c>
      <c r="I253" t="s">
        <v>17</v>
      </c>
      <c r="J253" s="6">
        <v>46030</v>
      </c>
      <c r="K253" t="s">
        <v>77</v>
      </c>
      <c r="L253">
        <v>7</v>
      </c>
    </row>
    <row r="254" spans="1:12" x14ac:dyDescent="0.35">
      <c r="A254" t="s">
        <v>580</v>
      </c>
      <c r="B254">
        <v>14</v>
      </c>
      <c r="C254" t="s">
        <v>523</v>
      </c>
      <c r="D254" t="s">
        <v>74</v>
      </c>
      <c r="E254" t="s">
        <v>581</v>
      </c>
      <c r="F254" t="s">
        <v>14</v>
      </c>
      <c r="G254" t="s">
        <v>76</v>
      </c>
      <c r="H254" t="s">
        <v>16</v>
      </c>
      <c r="I254" t="s">
        <v>17</v>
      </c>
      <c r="J254" s="6">
        <v>46030</v>
      </c>
      <c r="K254" t="s">
        <v>77</v>
      </c>
      <c r="L254">
        <v>7</v>
      </c>
    </row>
    <row r="255" spans="1:12" x14ac:dyDescent="0.35">
      <c r="A255" t="s">
        <v>582</v>
      </c>
      <c r="B255">
        <v>16.2</v>
      </c>
      <c r="C255" t="s">
        <v>525</v>
      </c>
      <c r="D255" t="s">
        <v>74</v>
      </c>
      <c r="E255" t="s">
        <v>586</v>
      </c>
      <c r="F255" t="s">
        <v>14</v>
      </c>
      <c r="G255" t="s">
        <v>76</v>
      </c>
      <c r="H255" t="s">
        <v>16</v>
      </c>
      <c r="I255" t="s">
        <v>17</v>
      </c>
      <c r="J255" s="6">
        <v>46030</v>
      </c>
      <c r="K255" t="s">
        <v>77</v>
      </c>
      <c r="L255">
        <v>8.1</v>
      </c>
    </row>
    <row r="256" spans="1:12" x14ac:dyDescent="0.35">
      <c r="A256" t="s">
        <v>583</v>
      </c>
      <c r="B256">
        <v>16.2</v>
      </c>
      <c r="C256" t="s">
        <v>528</v>
      </c>
      <c r="D256" t="s">
        <v>74</v>
      </c>
      <c r="E256" t="s">
        <v>586</v>
      </c>
      <c r="F256" t="s">
        <v>14</v>
      </c>
      <c r="G256" t="s">
        <v>76</v>
      </c>
      <c r="H256" t="s">
        <v>16</v>
      </c>
      <c r="I256" t="s">
        <v>17</v>
      </c>
      <c r="J256" s="6">
        <v>46030</v>
      </c>
      <c r="K256" t="s">
        <v>77</v>
      </c>
      <c r="L256">
        <v>8.1</v>
      </c>
    </row>
    <row r="257" spans="1:12" x14ac:dyDescent="0.35">
      <c r="A257" t="s">
        <v>584</v>
      </c>
      <c r="B257">
        <v>16.2</v>
      </c>
      <c r="C257" t="s">
        <v>530</v>
      </c>
      <c r="D257" t="s">
        <v>74</v>
      </c>
      <c r="E257" t="s">
        <v>586</v>
      </c>
      <c r="F257" t="s">
        <v>14</v>
      </c>
      <c r="G257" t="s">
        <v>76</v>
      </c>
      <c r="H257" t="s">
        <v>16</v>
      </c>
      <c r="I257" t="s">
        <v>17</v>
      </c>
      <c r="J257" s="6">
        <v>46030</v>
      </c>
      <c r="K257" t="s">
        <v>77</v>
      </c>
      <c r="L257">
        <v>8.1</v>
      </c>
    </row>
    <row r="258" spans="1:12" x14ac:dyDescent="0.35">
      <c r="A258" t="s">
        <v>585</v>
      </c>
      <c r="B258">
        <v>16.2</v>
      </c>
      <c r="C258" t="s">
        <v>532</v>
      </c>
      <c r="D258" t="s">
        <v>74</v>
      </c>
      <c r="E258" t="s">
        <v>586</v>
      </c>
      <c r="F258" t="s">
        <v>14</v>
      </c>
      <c r="G258" t="s">
        <v>76</v>
      </c>
      <c r="H258" t="s">
        <v>16</v>
      </c>
      <c r="I258" t="s">
        <v>17</v>
      </c>
      <c r="J258" s="6">
        <v>46030</v>
      </c>
      <c r="K258" t="s">
        <v>77</v>
      </c>
      <c r="L258">
        <v>8.1</v>
      </c>
    </row>
    <row r="259" spans="1:12" x14ac:dyDescent="0.35">
      <c r="A259" t="s">
        <v>587</v>
      </c>
      <c r="B259">
        <v>11</v>
      </c>
      <c r="C259" t="s">
        <v>489</v>
      </c>
      <c r="D259" t="s">
        <v>74</v>
      </c>
      <c r="E259" t="s">
        <v>591</v>
      </c>
      <c r="F259" t="s">
        <v>14</v>
      </c>
      <c r="G259" t="s">
        <v>76</v>
      </c>
      <c r="H259" t="s">
        <v>16</v>
      </c>
      <c r="I259" t="s">
        <v>17</v>
      </c>
      <c r="J259" s="6">
        <v>46030</v>
      </c>
      <c r="K259" t="s">
        <v>77</v>
      </c>
      <c r="L259">
        <v>5.5</v>
      </c>
    </row>
    <row r="260" spans="1:12" x14ac:dyDescent="0.35">
      <c r="A260" t="s">
        <v>588</v>
      </c>
      <c r="B260">
        <v>11</v>
      </c>
      <c r="C260" t="s">
        <v>492</v>
      </c>
      <c r="D260" t="s">
        <v>74</v>
      </c>
      <c r="E260" t="s">
        <v>591</v>
      </c>
      <c r="F260" t="s">
        <v>14</v>
      </c>
      <c r="G260" t="s">
        <v>76</v>
      </c>
      <c r="H260" t="s">
        <v>16</v>
      </c>
      <c r="I260" t="s">
        <v>17</v>
      </c>
      <c r="J260" s="6">
        <v>46030</v>
      </c>
      <c r="K260" t="s">
        <v>77</v>
      </c>
      <c r="L260">
        <v>5.5</v>
      </c>
    </row>
    <row r="261" spans="1:12" x14ac:dyDescent="0.35">
      <c r="A261" t="s">
        <v>589</v>
      </c>
      <c r="B261">
        <v>11</v>
      </c>
      <c r="C261" t="s">
        <v>494</v>
      </c>
      <c r="D261" t="s">
        <v>74</v>
      </c>
      <c r="E261" t="s">
        <v>591</v>
      </c>
      <c r="F261" t="s">
        <v>14</v>
      </c>
      <c r="G261" t="s">
        <v>76</v>
      </c>
      <c r="H261" t="s">
        <v>16</v>
      </c>
      <c r="I261" t="s">
        <v>17</v>
      </c>
      <c r="J261" s="6">
        <v>46030</v>
      </c>
      <c r="K261" t="s">
        <v>77</v>
      </c>
      <c r="L261">
        <v>5.5</v>
      </c>
    </row>
    <row r="262" spans="1:12" x14ac:dyDescent="0.35">
      <c r="A262" t="s">
        <v>590</v>
      </c>
      <c r="B262">
        <v>11</v>
      </c>
      <c r="C262" t="s">
        <v>496</v>
      </c>
      <c r="D262" t="s">
        <v>74</v>
      </c>
      <c r="E262" t="s">
        <v>591</v>
      </c>
      <c r="F262" t="s">
        <v>14</v>
      </c>
      <c r="G262" t="s">
        <v>76</v>
      </c>
      <c r="H262" t="s">
        <v>16</v>
      </c>
      <c r="I262" t="s">
        <v>17</v>
      </c>
      <c r="J262" s="6">
        <v>46030</v>
      </c>
      <c r="K262" t="s">
        <v>77</v>
      </c>
      <c r="L262">
        <v>5.5</v>
      </c>
    </row>
    <row r="263" spans="1:12" x14ac:dyDescent="0.35">
      <c r="A263" t="s">
        <v>592</v>
      </c>
      <c r="B263">
        <v>12</v>
      </c>
      <c r="C263" t="s">
        <v>498</v>
      </c>
      <c r="D263" t="s">
        <v>74</v>
      </c>
      <c r="E263" t="s">
        <v>596</v>
      </c>
      <c r="F263" t="s">
        <v>14</v>
      </c>
      <c r="G263" t="s">
        <v>76</v>
      </c>
      <c r="H263" t="s">
        <v>16</v>
      </c>
      <c r="I263" t="s">
        <v>17</v>
      </c>
      <c r="J263" s="6">
        <v>46030</v>
      </c>
      <c r="K263" t="s">
        <v>77</v>
      </c>
      <c r="L263">
        <v>6</v>
      </c>
    </row>
    <row r="264" spans="1:12" x14ac:dyDescent="0.35">
      <c r="A264" t="s">
        <v>593</v>
      </c>
      <c r="B264">
        <v>12</v>
      </c>
      <c r="C264" t="s">
        <v>501</v>
      </c>
      <c r="D264" t="s">
        <v>74</v>
      </c>
      <c r="E264" t="s">
        <v>596</v>
      </c>
      <c r="F264" t="s">
        <v>14</v>
      </c>
      <c r="G264" t="s">
        <v>76</v>
      </c>
      <c r="H264" t="s">
        <v>16</v>
      </c>
      <c r="I264" t="s">
        <v>17</v>
      </c>
      <c r="J264" s="6">
        <v>46030</v>
      </c>
      <c r="K264" t="s">
        <v>77</v>
      </c>
      <c r="L264">
        <v>6</v>
      </c>
    </row>
    <row r="265" spans="1:12" x14ac:dyDescent="0.35">
      <c r="A265" t="s">
        <v>594</v>
      </c>
      <c r="B265">
        <v>12</v>
      </c>
      <c r="C265" t="s">
        <v>503</v>
      </c>
      <c r="D265" t="s">
        <v>74</v>
      </c>
      <c r="E265" t="s">
        <v>596</v>
      </c>
      <c r="F265" t="s">
        <v>14</v>
      </c>
      <c r="G265" t="s">
        <v>76</v>
      </c>
      <c r="H265" t="s">
        <v>16</v>
      </c>
      <c r="I265" t="s">
        <v>17</v>
      </c>
      <c r="J265" s="6">
        <v>46030</v>
      </c>
      <c r="K265" t="s">
        <v>77</v>
      </c>
      <c r="L265">
        <v>6</v>
      </c>
    </row>
    <row r="266" spans="1:12" x14ac:dyDescent="0.35">
      <c r="A266" t="s">
        <v>595</v>
      </c>
      <c r="B266">
        <v>12</v>
      </c>
      <c r="C266" t="s">
        <v>505</v>
      </c>
      <c r="D266" t="s">
        <v>74</v>
      </c>
      <c r="E266" t="s">
        <v>596</v>
      </c>
      <c r="F266" t="s">
        <v>14</v>
      </c>
      <c r="G266" t="s">
        <v>76</v>
      </c>
      <c r="H266" t="s">
        <v>16</v>
      </c>
      <c r="I266" t="s">
        <v>17</v>
      </c>
      <c r="J266" s="6">
        <v>46030</v>
      </c>
      <c r="K266" t="s">
        <v>77</v>
      </c>
      <c r="L266">
        <v>6</v>
      </c>
    </row>
    <row r="267" spans="1:12" x14ac:dyDescent="0.35">
      <c r="A267" t="s">
        <v>597</v>
      </c>
      <c r="B267">
        <v>13</v>
      </c>
      <c r="C267" t="s">
        <v>507</v>
      </c>
      <c r="D267" t="s">
        <v>74</v>
      </c>
      <c r="E267" t="s">
        <v>601</v>
      </c>
      <c r="F267" t="s">
        <v>14</v>
      </c>
      <c r="G267" t="s">
        <v>76</v>
      </c>
      <c r="H267" t="s">
        <v>16</v>
      </c>
      <c r="I267" t="s">
        <v>17</v>
      </c>
      <c r="J267" s="6">
        <v>46030</v>
      </c>
      <c r="K267" t="s">
        <v>77</v>
      </c>
      <c r="L267">
        <v>6.5</v>
      </c>
    </row>
    <row r="268" spans="1:12" x14ac:dyDescent="0.35">
      <c r="A268" t="s">
        <v>598</v>
      </c>
      <c r="B268">
        <v>13</v>
      </c>
      <c r="C268" t="s">
        <v>510</v>
      </c>
      <c r="D268" t="s">
        <v>74</v>
      </c>
      <c r="E268" t="s">
        <v>601</v>
      </c>
      <c r="F268" t="s">
        <v>14</v>
      </c>
      <c r="G268" t="s">
        <v>76</v>
      </c>
      <c r="H268" t="s">
        <v>16</v>
      </c>
      <c r="I268" t="s">
        <v>17</v>
      </c>
      <c r="J268" s="6">
        <v>46030</v>
      </c>
      <c r="K268" t="s">
        <v>77</v>
      </c>
      <c r="L268">
        <v>6.5</v>
      </c>
    </row>
    <row r="269" spans="1:12" x14ac:dyDescent="0.35">
      <c r="A269" t="s">
        <v>599</v>
      </c>
      <c r="B269">
        <v>13</v>
      </c>
      <c r="C269" t="s">
        <v>512</v>
      </c>
      <c r="D269" t="s">
        <v>74</v>
      </c>
      <c r="E269" t="s">
        <v>601</v>
      </c>
      <c r="F269" t="s">
        <v>14</v>
      </c>
      <c r="G269" t="s">
        <v>76</v>
      </c>
      <c r="H269" t="s">
        <v>16</v>
      </c>
      <c r="I269" t="s">
        <v>17</v>
      </c>
      <c r="J269" s="6">
        <v>46030</v>
      </c>
      <c r="K269" t="s">
        <v>77</v>
      </c>
      <c r="L269">
        <v>6.5</v>
      </c>
    </row>
    <row r="270" spans="1:12" x14ac:dyDescent="0.35">
      <c r="A270" t="s">
        <v>600</v>
      </c>
      <c r="B270">
        <v>13</v>
      </c>
      <c r="C270" t="s">
        <v>514</v>
      </c>
      <c r="D270" t="s">
        <v>74</v>
      </c>
      <c r="E270" t="s">
        <v>601</v>
      </c>
      <c r="F270" t="s">
        <v>14</v>
      </c>
      <c r="G270" t="s">
        <v>76</v>
      </c>
      <c r="H270" t="s">
        <v>16</v>
      </c>
      <c r="I270" t="s">
        <v>17</v>
      </c>
      <c r="J270" s="6">
        <v>46030</v>
      </c>
      <c r="K270" t="s">
        <v>77</v>
      </c>
      <c r="L270">
        <v>6.5</v>
      </c>
    </row>
    <row r="271" spans="1:12" x14ac:dyDescent="0.35">
      <c r="A271" t="s">
        <v>602</v>
      </c>
      <c r="B271">
        <v>14</v>
      </c>
      <c r="C271" t="s">
        <v>517</v>
      </c>
      <c r="D271" t="s">
        <v>74</v>
      </c>
      <c r="E271" t="s">
        <v>606</v>
      </c>
      <c r="F271" t="s">
        <v>14</v>
      </c>
      <c r="G271" t="s">
        <v>76</v>
      </c>
      <c r="H271" t="s">
        <v>16</v>
      </c>
      <c r="I271" t="s">
        <v>17</v>
      </c>
      <c r="J271" s="6">
        <v>46030</v>
      </c>
      <c r="K271" t="s">
        <v>77</v>
      </c>
      <c r="L271">
        <v>7</v>
      </c>
    </row>
    <row r="272" spans="1:12" x14ac:dyDescent="0.35">
      <c r="A272" t="s">
        <v>603</v>
      </c>
      <c r="B272">
        <v>14</v>
      </c>
      <c r="C272" t="s">
        <v>519</v>
      </c>
      <c r="D272" t="s">
        <v>74</v>
      </c>
      <c r="E272" t="s">
        <v>606</v>
      </c>
      <c r="F272" t="s">
        <v>14</v>
      </c>
      <c r="G272" t="s">
        <v>76</v>
      </c>
      <c r="H272" t="s">
        <v>16</v>
      </c>
      <c r="I272" t="s">
        <v>17</v>
      </c>
      <c r="J272" s="6">
        <v>46030</v>
      </c>
      <c r="K272" t="s">
        <v>77</v>
      </c>
      <c r="L272">
        <v>7</v>
      </c>
    </row>
    <row r="273" spans="1:12" x14ac:dyDescent="0.35">
      <c r="A273" t="s">
        <v>604</v>
      </c>
      <c r="B273">
        <v>14</v>
      </c>
      <c r="C273" t="s">
        <v>521</v>
      </c>
      <c r="D273" t="s">
        <v>74</v>
      </c>
      <c r="E273" t="s">
        <v>606</v>
      </c>
      <c r="F273" t="s">
        <v>14</v>
      </c>
      <c r="G273" t="s">
        <v>76</v>
      </c>
      <c r="H273" t="s">
        <v>16</v>
      </c>
      <c r="I273" t="s">
        <v>17</v>
      </c>
      <c r="J273" s="6">
        <v>46030</v>
      </c>
      <c r="K273" t="s">
        <v>77</v>
      </c>
      <c r="L273">
        <v>7</v>
      </c>
    </row>
    <row r="274" spans="1:12" x14ac:dyDescent="0.35">
      <c r="A274" t="s">
        <v>605</v>
      </c>
      <c r="B274">
        <v>14</v>
      </c>
      <c r="C274" t="s">
        <v>523</v>
      </c>
      <c r="D274" t="s">
        <v>74</v>
      </c>
      <c r="E274" t="s">
        <v>606</v>
      </c>
      <c r="F274" t="s">
        <v>14</v>
      </c>
      <c r="G274" t="s">
        <v>76</v>
      </c>
      <c r="H274" t="s">
        <v>16</v>
      </c>
      <c r="I274" t="s">
        <v>17</v>
      </c>
      <c r="J274" s="6">
        <v>46030</v>
      </c>
      <c r="K274" t="s">
        <v>77</v>
      </c>
      <c r="L274">
        <v>7</v>
      </c>
    </row>
    <row r="275" spans="1:12" x14ac:dyDescent="0.35">
      <c r="A275" t="s">
        <v>607</v>
      </c>
      <c r="B275">
        <v>16.5</v>
      </c>
      <c r="C275" t="s">
        <v>525</v>
      </c>
      <c r="D275" t="s">
        <v>74</v>
      </c>
      <c r="E275" t="s">
        <v>611</v>
      </c>
      <c r="F275" t="s">
        <v>14</v>
      </c>
      <c r="G275" t="s">
        <v>76</v>
      </c>
      <c r="H275" t="s">
        <v>16</v>
      </c>
      <c r="I275" t="s">
        <v>17</v>
      </c>
      <c r="J275" s="6">
        <v>46030</v>
      </c>
      <c r="K275" t="s">
        <v>77</v>
      </c>
      <c r="L275">
        <v>8.25</v>
      </c>
    </row>
    <row r="276" spans="1:12" x14ac:dyDescent="0.35">
      <c r="A276" t="s">
        <v>608</v>
      </c>
      <c r="B276">
        <v>16.5</v>
      </c>
      <c r="C276" t="s">
        <v>528</v>
      </c>
      <c r="D276" t="s">
        <v>74</v>
      </c>
      <c r="E276" t="s">
        <v>611</v>
      </c>
      <c r="F276" t="s">
        <v>14</v>
      </c>
      <c r="G276" t="s">
        <v>76</v>
      </c>
      <c r="H276" t="s">
        <v>16</v>
      </c>
      <c r="I276" t="s">
        <v>17</v>
      </c>
      <c r="J276" s="6">
        <v>46030</v>
      </c>
      <c r="K276" t="s">
        <v>77</v>
      </c>
      <c r="L276">
        <v>8.25</v>
      </c>
    </row>
    <row r="277" spans="1:12" x14ac:dyDescent="0.35">
      <c r="A277" t="s">
        <v>609</v>
      </c>
      <c r="B277">
        <v>16.5</v>
      </c>
      <c r="C277" t="s">
        <v>530</v>
      </c>
      <c r="D277" t="s">
        <v>74</v>
      </c>
      <c r="E277" t="s">
        <v>611</v>
      </c>
      <c r="F277" t="s">
        <v>14</v>
      </c>
      <c r="G277" t="s">
        <v>76</v>
      </c>
      <c r="H277" t="s">
        <v>16</v>
      </c>
      <c r="I277" t="s">
        <v>17</v>
      </c>
      <c r="J277" s="6">
        <v>46030</v>
      </c>
      <c r="K277" t="s">
        <v>77</v>
      </c>
      <c r="L277">
        <v>8.25</v>
      </c>
    </row>
    <row r="278" spans="1:12" x14ac:dyDescent="0.35">
      <c r="A278" t="s">
        <v>610</v>
      </c>
      <c r="B278">
        <v>16.5</v>
      </c>
      <c r="C278" t="s">
        <v>532</v>
      </c>
      <c r="D278" t="s">
        <v>74</v>
      </c>
      <c r="E278" t="s">
        <v>611</v>
      </c>
      <c r="F278" t="s">
        <v>14</v>
      </c>
      <c r="G278" t="s">
        <v>76</v>
      </c>
      <c r="H278" t="s">
        <v>16</v>
      </c>
      <c r="I278" t="s">
        <v>17</v>
      </c>
      <c r="J278" s="6">
        <v>46030</v>
      </c>
      <c r="K278" t="s">
        <v>77</v>
      </c>
      <c r="L278">
        <v>8.25</v>
      </c>
    </row>
    <row r="279" spans="1:12" x14ac:dyDescent="0.35">
      <c r="A279" t="s">
        <v>612</v>
      </c>
      <c r="B279">
        <v>13</v>
      </c>
      <c r="C279" t="s">
        <v>489</v>
      </c>
      <c r="D279" t="s">
        <v>74</v>
      </c>
      <c r="E279" t="s">
        <v>616</v>
      </c>
      <c r="F279" t="s">
        <v>14</v>
      </c>
      <c r="G279" t="s">
        <v>76</v>
      </c>
      <c r="H279" t="s">
        <v>16</v>
      </c>
      <c r="I279" t="s">
        <v>17</v>
      </c>
      <c r="J279" s="6">
        <v>46030</v>
      </c>
      <c r="K279" t="s">
        <v>77</v>
      </c>
      <c r="L279">
        <v>6.5</v>
      </c>
    </row>
    <row r="280" spans="1:12" x14ac:dyDescent="0.35">
      <c r="A280" t="s">
        <v>613</v>
      </c>
      <c r="B280">
        <v>13</v>
      </c>
      <c r="C280" t="s">
        <v>492</v>
      </c>
      <c r="D280" t="s">
        <v>74</v>
      </c>
      <c r="E280" t="s">
        <v>616</v>
      </c>
      <c r="F280" t="s">
        <v>14</v>
      </c>
      <c r="G280" t="s">
        <v>76</v>
      </c>
      <c r="H280" t="s">
        <v>16</v>
      </c>
      <c r="I280" t="s">
        <v>17</v>
      </c>
      <c r="J280" s="6">
        <v>46030</v>
      </c>
      <c r="K280" t="s">
        <v>77</v>
      </c>
      <c r="L280">
        <v>6.5</v>
      </c>
    </row>
    <row r="281" spans="1:12" x14ac:dyDescent="0.35">
      <c r="A281" t="s">
        <v>614</v>
      </c>
      <c r="B281">
        <v>13</v>
      </c>
      <c r="C281" t="s">
        <v>494</v>
      </c>
      <c r="D281" t="s">
        <v>74</v>
      </c>
      <c r="E281" t="s">
        <v>616</v>
      </c>
      <c r="F281" t="s">
        <v>14</v>
      </c>
      <c r="G281" t="s">
        <v>76</v>
      </c>
      <c r="H281" t="s">
        <v>16</v>
      </c>
      <c r="I281" t="s">
        <v>17</v>
      </c>
      <c r="J281" s="6">
        <v>46030</v>
      </c>
      <c r="K281" t="s">
        <v>77</v>
      </c>
      <c r="L281">
        <v>6.5</v>
      </c>
    </row>
    <row r="282" spans="1:12" x14ac:dyDescent="0.35">
      <c r="A282" t="s">
        <v>615</v>
      </c>
      <c r="B282">
        <v>13</v>
      </c>
      <c r="C282" t="s">
        <v>496</v>
      </c>
      <c r="D282" t="s">
        <v>74</v>
      </c>
      <c r="E282" t="s">
        <v>616</v>
      </c>
      <c r="F282" t="s">
        <v>14</v>
      </c>
      <c r="G282" t="s">
        <v>76</v>
      </c>
      <c r="H282" t="s">
        <v>16</v>
      </c>
      <c r="I282" t="s">
        <v>17</v>
      </c>
      <c r="J282" s="6">
        <v>46030</v>
      </c>
      <c r="K282" t="s">
        <v>77</v>
      </c>
      <c r="L282">
        <v>6.5</v>
      </c>
    </row>
    <row r="283" spans="1:12" x14ac:dyDescent="0.35">
      <c r="A283" t="s">
        <v>617</v>
      </c>
      <c r="B283">
        <v>14</v>
      </c>
      <c r="C283" t="s">
        <v>498</v>
      </c>
      <c r="D283" t="s">
        <v>74</v>
      </c>
      <c r="E283" t="s">
        <v>621</v>
      </c>
      <c r="F283" t="s">
        <v>14</v>
      </c>
      <c r="G283" t="s">
        <v>76</v>
      </c>
      <c r="H283" t="s">
        <v>16</v>
      </c>
      <c r="I283" t="s">
        <v>17</v>
      </c>
      <c r="J283" s="6">
        <v>46030</v>
      </c>
      <c r="K283" t="s">
        <v>77</v>
      </c>
      <c r="L283">
        <v>7</v>
      </c>
    </row>
    <row r="284" spans="1:12" x14ac:dyDescent="0.35">
      <c r="A284" t="s">
        <v>618</v>
      </c>
      <c r="B284">
        <v>14</v>
      </c>
      <c r="C284" t="s">
        <v>501</v>
      </c>
      <c r="D284" t="s">
        <v>74</v>
      </c>
      <c r="E284" t="s">
        <v>621</v>
      </c>
      <c r="F284" t="s">
        <v>14</v>
      </c>
      <c r="G284" t="s">
        <v>76</v>
      </c>
      <c r="H284" t="s">
        <v>16</v>
      </c>
      <c r="I284" t="s">
        <v>17</v>
      </c>
      <c r="J284" s="6">
        <v>46030</v>
      </c>
      <c r="K284" t="s">
        <v>77</v>
      </c>
      <c r="L284">
        <v>7</v>
      </c>
    </row>
    <row r="285" spans="1:12" x14ac:dyDescent="0.35">
      <c r="A285" t="s">
        <v>619</v>
      </c>
      <c r="B285">
        <v>14</v>
      </c>
      <c r="C285" t="s">
        <v>503</v>
      </c>
      <c r="D285" t="s">
        <v>74</v>
      </c>
      <c r="E285" t="s">
        <v>621</v>
      </c>
      <c r="F285" t="s">
        <v>14</v>
      </c>
      <c r="G285" t="s">
        <v>76</v>
      </c>
      <c r="H285" t="s">
        <v>16</v>
      </c>
      <c r="I285" t="s">
        <v>17</v>
      </c>
      <c r="J285" s="6">
        <v>46030</v>
      </c>
      <c r="K285" t="s">
        <v>77</v>
      </c>
      <c r="L285">
        <v>7</v>
      </c>
    </row>
    <row r="286" spans="1:12" x14ac:dyDescent="0.35">
      <c r="A286" t="s">
        <v>620</v>
      </c>
      <c r="B286">
        <v>14</v>
      </c>
      <c r="C286" t="s">
        <v>505</v>
      </c>
      <c r="D286" t="s">
        <v>74</v>
      </c>
      <c r="E286" t="s">
        <v>621</v>
      </c>
      <c r="F286" t="s">
        <v>14</v>
      </c>
      <c r="G286" t="s">
        <v>76</v>
      </c>
      <c r="H286" t="s">
        <v>16</v>
      </c>
      <c r="I286" t="s">
        <v>17</v>
      </c>
      <c r="J286" s="6">
        <v>46030</v>
      </c>
      <c r="K286" t="s">
        <v>77</v>
      </c>
      <c r="L286">
        <v>7</v>
      </c>
    </row>
    <row r="287" spans="1:12" x14ac:dyDescent="0.35">
      <c r="A287" t="s">
        <v>622</v>
      </c>
      <c r="B287">
        <v>15.5</v>
      </c>
      <c r="C287" t="s">
        <v>507</v>
      </c>
      <c r="D287" t="s">
        <v>74</v>
      </c>
      <c r="E287" t="s">
        <v>626</v>
      </c>
      <c r="F287" t="s">
        <v>14</v>
      </c>
      <c r="G287" t="s">
        <v>76</v>
      </c>
      <c r="H287" t="s">
        <v>16</v>
      </c>
      <c r="I287" t="s">
        <v>17</v>
      </c>
      <c r="J287" s="6">
        <v>46030</v>
      </c>
      <c r="K287" t="s">
        <v>77</v>
      </c>
      <c r="L287">
        <v>7.75</v>
      </c>
    </row>
    <row r="288" spans="1:12" x14ac:dyDescent="0.35">
      <c r="A288" t="s">
        <v>623</v>
      </c>
      <c r="B288">
        <v>15.5</v>
      </c>
      <c r="C288" t="s">
        <v>510</v>
      </c>
      <c r="D288" t="s">
        <v>74</v>
      </c>
      <c r="E288" t="s">
        <v>626</v>
      </c>
      <c r="F288" t="s">
        <v>14</v>
      </c>
      <c r="G288" t="s">
        <v>76</v>
      </c>
      <c r="H288" t="s">
        <v>16</v>
      </c>
      <c r="I288" t="s">
        <v>17</v>
      </c>
      <c r="J288" s="6">
        <v>46030</v>
      </c>
      <c r="K288" t="s">
        <v>77</v>
      </c>
      <c r="L288">
        <v>7.75</v>
      </c>
    </row>
    <row r="289" spans="1:12" x14ac:dyDescent="0.35">
      <c r="A289" t="s">
        <v>624</v>
      </c>
      <c r="B289">
        <v>15.5</v>
      </c>
      <c r="C289" t="s">
        <v>512</v>
      </c>
      <c r="D289" t="s">
        <v>74</v>
      </c>
      <c r="E289" t="s">
        <v>626</v>
      </c>
      <c r="F289" t="s">
        <v>14</v>
      </c>
      <c r="G289" t="s">
        <v>76</v>
      </c>
      <c r="H289" t="s">
        <v>16</v>
      </c>
      <c r="I289" t="s">
        <v>17</v>
      </c>
      <c r="J289" s="6">
        <v>46030</v>
      </c>
      <c r="K289" t="s">
        <v>77</v>
      </c>
      <c r="L289">
        <v>7.75</v>
      </c>
    </row>
    <row r="290" spans="1:12" x14ac:dyDescent="0.35">
      <c r="A290" t="s">
        <v>625</v>
      </c>
      <c r="B290">
        <v>15.5</v>
      </c>
      <c r="C290" t="s">
        <v>514</v>
      </c>
      <c r="D290" t="s">
        <v>74</v>
      </c>
      <c r="E290" t="s">
        <v>626</v>
      </c>
      <c r="F290" t="s">
        <v>14</v>
      </c>
      <c r="G290" t="s">
        <v>76</v>
      </c>
      <c r="H290" t="s">
        <v>16</v>
      </c>
      <c r="I290" t="s">
        <v>17</v>
      </c>
      <c r="J290" s="6">
        <v>46030</v>
      </c>
      <c r="K290" t="s">
        <v>77</v>
      </c>
      <c r="L290">
        <v>7.75</v>
      </c>
    </row>
    <row r="291" spans="1:12" x14ac:dyDescent="0.35">
      <c r="A291" t="s">
        <v>627</v>
      </c>
      <c r="B291">
        <v>16.5</v>
      </c>
      <c r="C291" t="s">
        <v>517</v>
      </c>
      <c r="D291" t="s">
        <v>74</v>
      </c>
      <c r="E291" t="s">
        <v>631</v>
      </c>
      <c r="F291" t="s">
        <v>14</v>
      </c>
      <c r="G291" t="s">
        <v>76</v>
      </c>
      <c r="H291" t="s">
        <v>16</v>
      </c>
      <c r="I291" t="s">
        <v>17</v>
      </c>
      <c r="J291" s="6">
        <v>46030</v>
      </c>
      <c r="K291" t="s">
        <v>77</v>
      </c>
      <c r="L291">
        <v>8.25</v>
      </c>
    </row>
    <row r="292" spans="1:12" x14ac:dyDescent="0.35">
      <c r="A292" t="s">
        <v>628</v>
      </c>
      <c r="B292">
        <v>16.5</v>
      </c>
      <c r="C292" t="s">
        <v>519</v>
      </c>
      <c r="D292" t="s">
        <v>74</v>
      </c>
      <c r="E292" t="s">
        <v>631</v>
      </c>
      <c r="F292" t="s">
        <v>14</v>
      </c>
      <c r="G292" t="s">
        <v>76</v>
      </c>
      <c r="H292" t="s">
        <v>16</v>
      </c>
      <c r="I292" t="s">
        <v>17</v>
      </c>
      <c r="J292" s="6">
        <v>46030</v>
      </c>
      <c r="K292" t="s">
        <v>77</v>
      </c>
      <c r="L292">
        <v>8.25</v>
      </c>
    </row>
    <row r="293" spans="1:12" x14ac:dyDescent="0.35">
      <c r="A293" t="s">
        <v>629</v>
      </c>
      <c r="B293">
        <v>16.5</v>
      </c>
      <c r="C293" t="s">
        <v>521</v>
      </c>
      <c r="D293" t="s">
        <v>74</v>
      </c>
      <c r="E293" t="s">
        <v>631</v>
      </c>
      <c r="F293" t="s">
        <v>14</v>
      </c>
      <c r="G293" t="s">
        <v>76</v>
      </c>
      <c r="H293" t="s">
        <v>16</v>
      </c>
      <c r="I293" t="s">
        <v>17</v>
      </c>
      <c r="J293" s="6">
        <v>46030</v>
      </c>
      <c r="K293" t="s">
        <v>77</v>
      </c>
      <c r="L293">
        <v>8.25</v>
      </c>
    </row>
    <row r="294" spans="1:12" x14ac:dyDescent="0.35">
      <c r="A294" t="s">
        <v>630</v>
      </c>
      <c r="B294">
        <v>16.5</v>
      </c>
      <c r="C294" t="s">
        <v>523</v>
      </c>
      <c r="D294" t="s">
        <v>74</v>
      </c>
      <c r="E294" t="s">
        <v>631</v>
      </c>
      <c r="F294" t="s">
        <v>14</v>
      </c>
      <c r="G294" t="s">
        <v>76</v>
      </c>
      <c r="H294" t="s">
        <v>16</v>
      </c>
      <c r="I294" t="s">
        <v>17</v>
      </c>
      <c r="J294" s="6">
        <v>46030</v>
      </c>
      <c r="K294" t="s">
        <v>77</v>
      </c>
      <c r="L294">
        <v>8.25</v>
      </c>
    </row>
    <row r="295" spans="1:12" x14ac:dyDescent="0.35">
      <c r="A295" t="s">
        <v>632</v>
      </c>
      <c r="B295">
        <v>18.5</v>
      </c>
      <c r="C295" t="s">
        <v>525</v>
      </c>
      <c r="D295" t="s">
        <v>74</v>
      </c>
      <c r="E295" t="s">
        <v>636</v>
      </c>
      <c r="F295" t="s">
        <v>14</v>
      </c>
      <c r="G295" t="s">
        <v>76</v>
      </c>
      <c r="H295" t="s">
        <v>16</v>
      </c>
      <c r="I295" t="s">
        <v>17</v>
      </c>
      <c r="J295" s="6">
        <v>46030</v>
      </c>
      <c r="K295" t="s">
        <v>77</v>
      </c>
      <c r="L295">
        <v>9.25</v>
      </c>
    </row>
    <row r="296" spans="1:12" x14ac:dyDescent="0.35">
      <c r="A296" t="s">
        <v>633</v>
      </c>
      <c r="B296">
        <v>18.5</v>
      </c>
      <c r="C296" t="s">
        <v>528</v>
      </c>
      <c r="D296" t="s">
        <v>74</v>
      </c>
      <c r="E296" t="s">
        <v>636</v>
      </c>
      <c r="F296" t="s">
        <v>14</v>
      </c>
      <c r="G296" t="s">
        <v>76</v>
      </c>
      <c r="H296" t="s">
        <v>16</v>
      </c>
      <c r="I296" t="s">
        <v>17</v>
      </c>
      <c r="J296" s="6">
        <v>46030</v>
      </c>
      <c r="K296" t="s">
        <v>77</v>
      </c>
      <c r="L296">
        <v>9.25</v>
      </c>
    </row>
    <row r="297" spans="1:12" x14ac:dyDescent="0.35">
      <c r="A297" t="s">
        <v>634</v>
      </c>
      <c r="B297">
        <v>18.5</v>
      </c>
      <c r="C297" t="s">
        <v>530</v>
      </c>
      <c r="D297" t="s">
        <v>74</v>
      </c>
      <c r="E297" t="s">
        <v>636</v>
      </c>
      <c r="F297" t="s">
        <v>14</v>
      </c>
      <c r="G297" t="s">
        <v>76</v>
      </c>
      <c r="H297" t="s">
        <v>16</v>
      </c>
      <c r="I297" t="s">
        <v>17</v>
      </c>
      <c r="J297" s="6">
        <v>46030</v>
      </c>
      <c r="K297" t="s">
        <v>77</v>
      </c>
      <c r="L297">
        <v>9.25</v>
      </c>
    </row>
    <row r="298" spans="1:12" x14ac:dyDescent="0.35">
      <c r="A298" t="s">
        <v>635</v>
      </c>
      <c r="B298">
        <v>18.5</v>
      </c>
      <c r="C298" t="s">
        <v>532</v>
      </c>
      <c r="D298" t="s">
        <v>74</v>
      </c>
      <c r="E298" t="s">
        <v>636</v>
      </c>
      <c r="F298" t="s">
        <v>14</v>
      </c>
      <c r="G298" t="s">
        <v>76</v>
      </c>
      <c r="H298" t="s">
        <v>16</v>
      </c>
      <c r="I298" t="s">
        <v>17</v>
      </c>
      <c r="J298" s="6">
        <v>46030</v>
      </c>
      <c r="K298" t="s">
        <v>77</v>
      </c>
      <c r="L298">
        <v>9.25</v>
      </c>
    </row>
    <row r="299" spans="1:12" x14ac:dyDescent="0.35">
      <c r="A299" t="s">
        <v>637</v>
      </c>
      <c r="B299">
        <v>13</v>
      </c>
      <c r="C299" t="s">
        <v>489</v>
      </c>
      <c r="D299" t="s">
        <v>74</v>
      </c>
      <c r="E299" t="s">
        <v>641</v>
      </c>
      <c r="F299" t="s">
        <v>14</v>
      </c>
      <c r="G299" t="s">
        <v>76</v>
      </c>
      <c r="H299" t="s">
        <v>16</v>
      </c>
      <c r="I299" t="s">
        <v>17</v>
      </c>
      <c r="J299" s="6">
        <v>46030</v>
      </c>
      <c r="K299" t="s">
        <v>77</v>
      </c>
      <c r="L299">
        <v>6.5</v>
      </c>
    </row>
    <row r="300" spans="1:12" x14ac:dyDescent="0.35">
      <c r="A300" t="s">
        <v>638</v>
      </c>
      <c r="B300">
        <v>13</v>
      </c>
      <c r="C300" t="s">
        <v>492</v>
      </c>
      <c r="D300" t="s">
        <v>74</v>
      </c>
      <c r="E300" t="s">
        <v>641</v>
      </c>
      <c r="F300" t="s">
        <v>14</v>
      </c>
      <c r="G300" t="s">
        <v>76</v>
      </c>
      <c r="H300" t="s">
        <v>16</v>
      </c>
      <c r="I300" t="s">
        <v>17</v>
      </c>
      <c r="J300" s="6">
        <v>46030</v>
      </c>
      <c r="K300" t="s">
        <v>77</v>
      </c>
      <c r="L300">
        <v>6.5</v>
      </c>
    </row>
    <row r="301" spans="1:12" x14ac:dyDescent="0.35">
      <c r="A301" t="s">
        <v>639</v>
      </c>
      <c r="B301">
        <v>13</v>
      </c>
      <c r="C301" t="s">
        <v>494</v>
      </c>
      <c r="D301" t="s">
        <v>74</v>
      </c>
      <c r="E301" t="s">
        <v>641</v>
      </c>
      <c r="F301" t="s">
        <v>14</v>
      </c>
      <c r="G301" t="s">
        <v>76</v>
      </c>
      <c r="H301" t="s">
        <v>16</v>
      </c>
      <c r="I301" t="s">
        <v>17</v>
      </c>
      <c r="J301" s="6">
        <v>46030</v>
      </c>
      <c r="K301" t="s">
        <v>77</v>
      </c>
      <c r="L301">
        <v>6.5</v>
      </c>
    </row>
    <row r="302" spans="1:12" x14ac:dyDescent="0.35">
      <c r="A302" t="s">
        <v>640</v>
      </c>
      <c r="B302">
        <v>13</v>
      </c>
      <c r="C302" t="s">
        <v>496</v>
      </c>
      <c r="D302" t="s">
        <v>74</v>
      </c>
      <c r="E302" t="s">
        <v>641</v>
      </c>
      <c r="F302" t="s">
        <v>14</v>
      </c>
      <c r="G302" t="s">
        <v>76</v>
      </c>
      <c r="H302" t="s">
        <v>16</v>
      </c>
      <c r="I302" t="s">
        <v>17</v>
      </c>
      <c r="J302" s="6">
        <v>46030</v>
      </c>
      <c r="K302" t="s">
        <v>77</v>
      </c>
      <c r="L302">
        <v>6.5</v>
      </c>
    </row>
    <row r="303" spans="1:12" x14ac:dyDescent="0.35">
      <c r="A303" t="s">
        <v>642</v>
      </c>
      <c r="B303">
        <v>14</v>
      </c>
      <c r="C303" t="s">
        <v>498</v>
      </c>
      <c r="D303" t="s">
        <v>74</v>
      </c>
      <c r="E303" t="s">
        <v>646</v>
      </c>
      <c r="F303" t="s">
        <v>14</v>
      </c>
      <c r="G303" t="s">
        <v>76</v>
      </c>
      <c r="H303" t="s">
        <v>16</v>
      </c>
      <c r="I303" t="s">
        <v>17</v>
      </c>
      <c r="J303" s="6">
        <v>46030</v>
      </c>
      <c r="K303" t="s">
        <v>77</v>
      </c>
      <c r="L303">
        <v>7</v>
      </c>
    </row>
    <row r="304" spans="1:12" x14ac:dyDescent="0.35">
      <c r="A304" t="s">
        <v>643</v>
      </c>
      <c r="B304">
        <v>14</v>
      </c>
      <c r="C304" t="s">
        <v>501</v>
      </c>
      <c r="D304" t="s">
        <v>74</v>
      </c>
      <c r="E304" t="s">
        <v>646</v>
      </c>
      <c r="F304" t="s">
        <v>14</v>
      </c>
      <c r="G304" t="s">
        <v>76</v>
      </c>
      <c r="H304" t="s">
        <v>16</v>
      </c>
      <c r="I304" t="s">
        <v>17</v>
      </c>
      <c r="J304" s="6">
        <v>46030</v>
      </c>
      <c r="K304" t="s">
        <v>77</v>
      </c>
      <c r="L304">
        <v>7</v>
      </c>
    </row>
    <row r="305" spans="1:12" x14ac:dyDescent="0.35">
      <c r="A305" t="s">
        <v>644</v>
      </c>
      <c r="B305">
        <v>14</v>
      </c>
      <c r="C305" t="s">
        <v>503</v>
      </c>
      <c r="D305" t="s">
        <v>74</v>
      </c>
      <c r="E305" t="s">
        <v>646</v>
      </c>
      <c r="F305" t="s">
        <v>14</v>
      </c>
      <c r="G305" t="s">
        <v>76</v>
      </c>
      <c r="H305" t="s">
        <v>16</v>
      </c>
      <c r="I305" t="s">
        <v>17</v>
      </c>
      <c r="J305" s="6">
        <v>46030</v>
      </c>
      <c r="K305" t="s">
        <v>77</v>
      </c>
      <c r="L305">
        <v>7</v>
      </c>
    </row>
    <row r="306" spans="1:12" x14ac:dyDescent="0.35">
      <c r="A306" t="s">
        <v>645</v>
      </c>
      <c r="B306">
        <v>14</v>
      </c>
      <c r="C306" t="s">
        <v>505</v>
      </c>
      <c r="D306" t="s">
        <v>74</v>
      </c>
      <c r="E306" t="s">
        <v>646</v>
      </c>
      <c r="F306" t="s">
        <v>14</v>
      </c>
      <c r="G306" t="s">
        <v>76</v>
      </c>
      <c r="H306" t="s">
        <v>16</v>
      </c>
      <c r="I306" t="s">
        <v>17</v>
      </c>
      <c r="J306" s="6">
        <v>46030</v>
      </c>
      <c r="K306" t="s">
        <v>77</v>
      </c>
      <c r="L306">
        <v>7</v>
      </c>
    </row>
    <row r="307" spans="1:12" x14ac:dyDescent="0.35">
      <c r="A307" t="s">
        <v>647</v>
      </c>
      <c r="B307">
        <v>15.5</v>
      </c>
      <c r="C307" t="s">
        <v>507</v>
      </c>
      <c r="D307" t="s">
        <v>74</v>
      </c>
      <c r="E307" t="s">
        <v>651</v>
      </c>
      <c r="F307" t="s">
        <v>14</v>
      </c>
      <c r="G307" t="s">
        <v>76</v>
      </c>
      <c r="H307" t="s">
        <v>16</v>
      </c>
      <c r="I307" t="s">
        <v>17</v>
      </c>
      <c r="J307" s="6">
        <v>46030</v>
      </c>
      <c r="K307" t="s">
        <v>77</v>
      </c>
      <c r="L307">
        <v>7.75</v>
      </c>
    </row>
    <row r="308" spans="1:12" x14ac:dyDescent="0.35">
      <c r="A308" t="s">
        <v>648</v>
      </c>
      <c r="B308">
        <v>15.5</v>
      </c>
      <c r="C308" t="s">
        <v>510</v>
      </c>
      <c r="D308" t="s">
        <v>74</v>
      </c>
      <c r="E308" t="s">
        <v>651</v>
      </c>
      <c r="F308" t="s">
        <v>14</v>
      </c>
      <c r="G308" t="s">
        <v>76</v>
      </c>
      <c r="H308" t="s">
        <v>16</v>
      </c>
      <c r="I308" t="s">
        <v>17</v>
      </c>
      <c r="J308" s="6">
        <v>46030</v>
      </c>
      <c r="K308" t="s">
        <v>77</v>
      </c>
      <c r="L308">
        <v>7.75</v>
      </c>
    </row>
    <row r="309" spans="1:12" x14ac:dyDescent="0.35">
      <c r="A309" t="s">
        <v>649</v>
      </c>
      <c r="B309">
        <v>15.5</v>
      </c>
      <c r="C309" t="s">
        <v>512</v>
      </c>
      <c r="D309" t="s">
        <v>74</v>
      </c>
      <c r="E309" t="s">
        <v>651</v>
      </c>
      <c r="F309" t="s">
        <v>14</v>
      </c>
      <c r="G309" t="s">
        <v>76</v>
      </c>
      <c r="H309" t="s">
        <v>16</v>
      </c>
      <c r="I309" t="s">
        <v>17</v>
      </c>
      <c r="J309" s="6">
        <v>46030</v>
      </c>
      <c r="K309" t="s">
        <v>77</v>
      </c>
      <c r="L309">
        <v>7.75</v>
      </c>
    </row>
    <row r="310" spans="1:12" x14ac:dyDescent="0.35">
      <c r="A310" t="s">
        <v>650</v>
      </c>
      <c r="B310">
        <v>15.5</v>
      </c>
      <c r="C310" t="s">
        <v>514</v>
      </c>
      <c r="D310" t="s">
        <v>74</v>
      </c>
      <c r="E310" t="s">
        <v>651</v>
      </c>
      <c r="F310" t="s">
        <v>14</v>
      </c>
      <c r="G310" t="s">
        <v>76</v>
      </c>
      <c r="H310" t="s">
        <v>16</v>
      </c>
      <c r="I310" t="s">
        <v>17</v>
      </c>
      <c r="J310" s="6">
        <v>46030</v>
      </c>
      <c r="K310" t="s">
        <v>77</v>
      </c>
      <c r="L310">
        <v>7.75</v>
      </c>
    </row>
    <row r="311" spans="1:12" x14ac:dyDescent="0.35">
      <c r="A311" t="s">
        <v>652</v>
      </c>
      <c r="B311">
        <v>16.5</v>
      </c>
      <c r="C311" t="s">
        <v>517</v>
      </c>
      <c r="D311" t="s">
        <v>74</v>
      </c>
      <c r="E311" t="s">
        <v>656</v>
      </c>
      <c r="F311" t="s">
        <v>14</v>
      </c>
      <c r="G311" t="s">
        <v>76</v>
      </c>
      <c r="H311" t="s">
        <v>16</v>
      </c>
      <c r="I311" t="s">
        <v>17</v>
      </c>
      <c r="J311" s="6">
        <v>46030</v>
      </c>
      <c r="K311" t="s">
        <v>77</v>
      </c>
      <c r="L311">
        <v>8.25</v>
      </c>
    </row>
    <row r="312" spans="1:12" x14ac:dyDescent="0.35">
      <c r="A312" t="s">
        <v>653</v>
      </c>
      <c r="B312">
        <v>16.5</v>
      </c>
      <c r="C312" t="s">
        <v>519</v>
      </c>
      <c r="D312" t="s">
        <v>74</v>
      </c>
      <c r="E312" t="s">
        <v>656</v>
      </c>
      <c r="F312" t="s">
        <v>14</v>
      </c>
      <c r="G312" t="s">
        <v>76</v>
      </c>
      <c r="H312" t="s">
        <v>16</v>
      </c>
      <c r="I312" t="s">
        <v>17</v>
      </c>
      <c r="J312" s="6">
        <v>46030</v>
      </c>
      <c r="K312" t="s">
        <v>77</v>
      </c>
      <c r="L312">
        <v>8.25</v>
      </c>
    </row>
    <row r="313" spans="1:12" x14ac:dyDescent="0.35">
      <c r="A313" t="s">
        <v>654</v>
      </c>
      <c r="B313">
        <v>16.5</v>
      </c>
      <c r="C313" t="s">
        <v>521</v>
      </c>
      <c r="D313" t="s">
        <v>74</v>
      </c>
      <c r="E313" t="s">
        <v>656</v>
      </c>
      <c r="F313" t="s">
        <v>14</v>
      </c>
      <c r="G313" t="s">
        <v>76</v>
      </c>
      <c r="H313" t="s">
        <v>16</v>
      </c>
      <c r="I313" t="s">
        <v>17</v>
      </c>
      <c r="J313" s="6">
        <v>46030</v>
      </c>
      <c r="K313" t="s">
        <v>77</v>
      </c>
      <c r="L313">
        <v>8.25</v>
      </c>
    </row>
    <row r="314" spans="1:12" x14ac:dyDescent="0.35">
      <c r="A314" t="s">
        <v>655</v>
      </c>
      <c r="B314">
        <v>16.5</v>
      </c>
      <c r="C314" t="s">
        <v>523</v>
      </c>
      <c r="D314" t="s">
        <v>74</v>
      </c>
      <c r="E314" t="s">
        <v>656</v>
      </c>
      <c r="F314" t="s">
        <v>14</v>
      </c>
      <c r="G314" t="s">
        <v>76</v>
      </c>
      <c r="H314" t="s">
        <v>16</v>
      </c>
      <c r="I314" t="s">
        <v>17</v>
      </c>
      <c r="J314" s="6">
        <v>46030</v>
      </c>
      <c r="K314" t="s">
        <v>77</v>
      </c>
      <c r="L314">
        <v>8.25</v>
      </c>
    </row>
    <row r="315" spans="1:12" x14ac:dyDescent="0.35">
      <c r="A315" t="s">
        <v>657</v>
      </c>
      <c r="B315">
        <v>18.5</v>
      </c>
      <c r="C315" t="s">
        <v>525</v>
      </c>
      <c r="D315" t="s">
        <v>74</v>
      </c>
      <c r="E315" t="s">
        <v>661</v>
      </c>
      <c r="F315" t="s">
        <v>14</v>
      </c>
      <c r="G315" t="s">
        <v>76</v>
      </c>
      <c r="H315" t="s">
        <v>16</v>
      </c>
      <c r="I315" t="s">
        <v>17</v>
      </c>
      <c r="J315" s="6">
        <v>46030</v>
      </c>
      <c r="K315" t="s">
        <v>77</v>
      </c>
      <c r="L315">
        <v>9.25</v>
      </c>
    </row>
    <row r="316" spans="1:12" x14ac:dyDescent="0.35">
      <c r="A316" t="s">
        <v>658</v>
      </c>
      <c r="B316">
        <v>18.5</v>
      </c>
      <c r="C316" t="s">
        <v>528</v>
      </c>
      <c r="D316" t="s">
        <v>74</v>
      </c>
      <c r="E316" t="s">
        <v>661</v>
      </c>
      <c r="F316" t="s">
        <v>14</v>
      </c>
      <c r="G316" t="s">
        <v>76</v>
      </c>
      <c r="H316" t="s">
        <v>16</v>
      </c>
      <c r="I316" t="s">
        <v>17</v>
      </c>
      <c r="J316" s="6">
        <v>46030</v>
      </c>
      <c r="K316" t="s">
        <v>77</v>
      </c>
      <c r="L316">
        <v>9.25</v>
      </c>
    </row>
    <row r="317" spans="1:12" x14ac:dyDescent="0.35">
      <c r="A317" t="s">
        <v>659</v>
      </c>
      <c r="B317">
        <v>18.5</v>
      </c>
      <c r="C317" t="s">
        <v>530</v>
      </c>
      <c r="D317" t="s">
        <v>74</v>
      </c>
      <c r="E317" t="s">
        <v>661</v>
      </c>
      <c r="F317" t="s">
        <v>14</v>
      </c>
      <c r="G317" t="s">
        <v>76</v>
      </c>
      <c r="H317" t="s">
        <v>16</v>
      </c>
      <c r="I317" t="s">
        <v>17</v>
      </c>
      <c r="J317" s="6">
        <v>46030</v>
      </c>
      <c r="K317" t="s">
        <v>77</v>
      </c>
      <c r="L317">
        <v>9.25</v>
      </c>
    </row>
    <row r="318" spans="1:12" x14ac:dyDescent="0.35">
      <c r="A318" t="s">
        <v>660</v>
      </c>
      <c r="B318">
        <v>18.5</v>
      </c>
      <c r="C318" t="s">
        <v>532</v>
      </c>
      <c r="D318" t="s">
        <v>74</v>
      </c>
      <c r="E318" t="s">
        <v>661</v>
      </c>
      <c r="F318" t="s">
        <v>14</v>
      </c>
      <c r="G318" t="s">
        <v>76</v>
      </c>
      <c r="H318" t="s">
        <v>16</v>
      </c>
      <c r="I318" t="s">
        <v>17</v>
      </c>
      <c r="J318" s="6">
        <v>46030</v>
      </c>
      <c r="K318" t="s">
        <v>77</v>
      </c>
      <c r="L318">
        <v>9.25</v>
      </c>
    </row>
    <row r="319" spans="1:12" x14ac:dyDescent="0.35">
      <c r="A319" t="s">
        <v>662</v>
      </c>
      <c r="B319">
        <v>14</v>
      </c>
      <c r="C319" t="s">
        <v>667</v>
      </c>
      <c r="D319" t="s">
        <v>74</v>
      </c>
      <c r="E319" t="s">
        <v>666</v>
      </c>
      <c r="F319" t="s">
        <v>14</v>
      </c>
      <c r="G319" t="s">
        <v>76</v>
      </c>
      <c r="H319" t="s">
        <v>16</v>
      </c>
      <c r="I319" t="s">
        <v>17</v>
      </c>
      <c r="J319" s="6">
        <v>46030</v>
      </c>
      <c r="K319" t="s">
        <v>77</v>
      </c>
      <c r="L319">
        <v>7</v>
      </c>
    </row>
    <row r="320" spans="1:12" x14ac:dyDescent="0.35">
      <c r="A320" t="s">
        <v>663</v>
      </c>
      <c r="B320">
        <v>14</v>
      </c>
      <c r="C320" t="s">
        <v>668</v>
      </c>
      <c r="D320" t="s">
        <v>74</v>
      </c>
      <c r="E320" t="s">
        <v>666</v>
      </c>
      <c r="F320" t="s">
        <v>14</v>
      </c>
      <c r="G320" t="s">
        <v>76</v>
      </c>
      <c r="H320" t="s">
        <v>16</v>
      </c>
      <c r="I320" t="s">
        <v>17</v>
      </c>
      <c r="J320" s="6">
        <v>46030</v>
      </c>
      <c r="K320" t="s">
        <v>77</v>
      </c>
      <c r="L320">
        <v>7</v>
      </c>
    </row>
    <row r="321" spans="1:12" x14ac:dyDescent="0.35">
      <c r="A321" t="s">
        <v>664</v>
      </c>
      <c r="B321">
        <v>14</v>
      </c>
      <c r="C321" t="s">
        <v>669</v>
      </c>
      <c r="D321" t="s">
        <v>74</v>
      </c>
      <c r="E321" t="s">
        <v>666</v>
      </c>
      <c r="F321" t="s">
        <v>14</v>
      </c>
      <c r="G321" t="s">
        <v>76</v>
      </c>
      <c r="H321" t="s">
        <v>16</v>
      </c>
      <c r="I321" t="s">
        <v>17</v>
      </c>
      <c r="J321" s="6">
        <v>46030</v>
      </c>
      <c r="K321" t="s">
        <v>77</v>
      </c>
      <c r="L321">
        <v>7</v>
      </c>
    </row>
    <row r="322" spans="1:12" x14ac:dyDescent="0.35">
      <c r="A322" t="s">
        <v>665</v>
      </c>
      <c r="B322">
        <v>14</v>
      </c>
      <c r="C322" t="s">
        <v>670</v>
      </c>
      <c r="D322" t="s">
        <v>74</v>
      </c>
      <c r="E322" t="s">
        <v>666</v>
      </c>
      <c r="F322" t="s">
        <v>14</v>
      </c>
      <c r="G322" t="s">
        <v>76</v>
      </c>
      <c r="H322" t="s">
        <v>16</v>
      </c>
      <c r="I322" t="s">
        <v>17</v>
      </c>
      <c r="J322" s="6">
        <v>46030</v>
      </c>
      <c r="K322" t="s">
        <v>77</v>
      </c>
      <c r="L322">
        <v>7</v>
      </c>
    </row>
    <row r="323" spans="1:12" x14ac:dyDescent="0.35">
      <c r="A323" t="s">
        <v>671</v>
      </c>
      <c r="B323">
        <v>15.5</v>
      </c>
      <c r="C323" t="s">
        <v>498</v>
      </c>
      <c r="D323" t="s">
        <v>74</v>
      </c>
      <c r="E323" t="s">
        <v>675</v>
      </c>
      <c r="F323" t="s">
        <v>14</v>
      </c>
      <c r="G323" t="s">
        <v>76</v>
      </c>
      <c r="H323" t="s">
        <v>16</v>
      </c>
      <c r="I323" t="s">
        <v>17</v>
      </c>
      <c r="J323" s="6">
        <v>46030</v>
      </c>
      <c r="K323" t="s">
        <v>77</v>
      </c>
      <c r="L323">
        <v>7.75</v>
      </c>
    </row>
    <row r="324" spans="1:12" x14ac:dyDescent="0.35">
      <c r="A324" t="s">
        <v>672</v>
      </c>
      <c r="B324">
        <v>15.5</v>
      </c>
      <c r="C324" t="s">
        <v>501</v>
      </c>
      <c r="D324" t="s">
        <v>74</v>
      </c>
      <c r="E324" t="s">
        <v>675</v>
      </c>
      <c r="F324" t="s">
        <v>14</v>
      </c>
      <c r="G324" t="s">
        <v>76</v>
      </c>
      <c r="H324" t="s">
        <v>16</v>
      </c>
      <c r="I324" t="s">
        <v>17</v>
      </c>
      <c r="J324" s="6">
        <v>46030</v>
      </c>
      <c r="K324" t="s">
        <v>77</v>
      </c>
      <c r="L324">
        <v>7.75</v>
      </c>
    </row>
    <row r="325" spans="1:12" x14ac:dyDescent="0.35">
      <c r="A325" t="s">
        <v>673</v>
      </c>
      <c r="B325">
        <v>15.5</v>
      </c>
      <c r="C325" t="s">
        <v>503</v>
      </c>
      <c r="D325" t="s">
        <v>74</v>
      </c>
      <c r="E325" t="s">
        <v>675</v>
      </c>
      <c r="F325" t="s">
        <v>14</v>
      </c>
      <c r="G325" t="s">
        <v>76</v>
      </c>
      <c r="H325" t="s">
        <v>16</v>
      </c>
      <c r="I325" t="s">
        <v>17</v>
      </c>
      <c r="J325" s="6">
        <v>46030</v>
      </c>
      <c r="K325" t="s">
        <v>77</v>
      </c>
      <c r="L325">
        <v>7.75</v>
      </c>
    </row>
    <row r="326" spans="1:12" x14ac:dyDescent="0.35">
      <c r="A326" t="s">
        <v>674</v>
      </c>
      <c r="B326">
        <v>15.5</v>
      </c>
      <c r="C326" t="s">
        <v>505</v>
      </c>
      <c r="D326" t="s">
        <v>74</v>
      </c>
      <c r="E326" t="s">
        <v>675</v>
      </c>
      <c r="F326" t="s">
        <v>14</v>
      </c>
      <c r="G326" t="s">
        <v>76</v>
      </c>
      <c r="H326" t="s">
        <v>16</v>
      </c>
      <c r="I326" t="s">
        <v>17</v>
      </c>
      <c r="J326" s="6">
        <v>46030</v>
      </c>
      <c r="K326" t="s">
        <v>77</v>
      </c>
      <c r="L326">
        <v>7.75</v>
      </c>
    </row>
    <row r="327" spans="1:12" x14ac:dyDescent="0.35">
      <c r="A327" t="s">
        <v>676</v>
      </c>
      <c r="B327">
        <v>16.5</v>
      </c>
      <c r="C327" t="s">
        <v>507</v>
      </c>
      <c r="D327" t="s">
        <v>74</v>
      </c>
      <c r="E327" t="s">
        <v>680</v>
      </c>
      <c r="F327" t="s">
        <v>14</v>
      </c>
      <c r="G327" t="s">
        <v>76</v>
      </c>
      <c r="H327" t="s">
        <v>16</v>
      </c>
      <c r="I327" t="s">
        <v>17</v>
      </c>
      <c r="J327" s="6">
        <v>46030</v>
      </c>
      <c r="K327" t="s">
        <v>77</v>
      </c>
      <c r="L327">
        <v>8.25</v>
      </c>
    </row>
    <row r="328" spans="1:12" x14ac:dyDescent="0.35">
      <c r="A328" t="s">
        <v>677</v>
      </c>
      <c r="B328">
        <v>16.5</v>
      </c>
      <c r="C328" t="s">
        <v>510</v>
      </c>
      <c r="D328" t="s">
        <v>74</v>
      </c>
      <c r="E328" t="s">
        <v>680</v>
      </c>
      <c r="F328" t="s">
        <v>14</v>
      </c>
      <c r="G328" t="s">
        <v>76</v>
      </c>
      <c r="H328" t="s">
        <v>16</v>
      </c>
      <c r="I328" t="s">
        <v>17</v>
      </c>
      <c r="J328" s="6">
        <v>46030</v>
      </c>
      <c r="K328" t="s">
        <v>77</v>
      </c>
      <c r="L328">
        <v>8.25</v>
      </c>
    </row>
    <row r="329" spans="1:12" x14ac:dyDescent="0.35">
      <c r="A329" t="s">
        <v>678</v>
      </c>
      <c r="B329">
        <v>16.5</v>
      </c>
      <c r="C329" t="s">
        <v>512</v>
      </c>
      <c r="D329" t="s">
        <v>74</v>
      </c>
      <c r="E329" t="s">
        <v>680</v>
      </c>
      <c r="F329" t="s">
        <v>14</v>
      </c>
      <c r="G329" t="s">
        <v>76</v>
      </c>
      <c r="H329" t="s">
        <v>16</v>
      </c>
      <c r="I329" t="s">
        <v>17</v>
      </c>
      <c r="J329" s="6">
        <v>46030</v>
      </c>
      <c r="K329" t="s">
        <v>77</v>
      </c>
      <c r="L329">
        <v>8.25</v>
      </c>
    </row>
    <row r="330" spans="1:12" x14ac:dyDescent="0.35">
      <c r="A330" t="s">
        <v>679</v>
      </c>
      <c r="B330">
        <v>16.5</v>
      </c>
      <c r="C330" t="s">
        <v>514</v>
      </c>
      <c r="D330" t="s">
        <v>74</v>
      </c>
      <c r="E330" t="s">
        <v>680</v>
      </c>
      <c r="F330" t="s">
        <v>14</v>
      </c>
      <c r="G330" t="s">
        <v>76</v>
      </c>
      <c r="H330" t="s">
        <v>16</v>
      </c>
      <c r="I330" t="s">
        <v>17</v>
      </c>
      <c r="J330" s="6">
        <v>46030</v>
      </c>
      <c r="K330" t="s">
        <v>77</v>
      </c>
      <c r="L330">
        <v>8.25</v>
      </c>
    </row>
    <row r="331" spans="1:12" x14ac:dyDescent="0.35">
      <c r="A331" t="s">
        <v>681</v>
      </c>
      <c r="B331">
        <v>17.5</v>
      </c>
      <c r="C331" t="s">
        <v>517</v>
      </c>
      <c r="D331" t="s">
        <v>74</v>
      </c>
      <c r="E331" t="s">
        <v>685</v>
      </c>
      <c r="F331" t="s">
        <v>14</v>
      </c>
      <c r="G331" t="s">
        <v>76</v>
      </c>
      <c r="H331" t="s">
        <v>16</v>
      </c>
      <c r="I331" t="s">
        <v>17</v>
      </c>
      <c r="J331" s="6">
        <v>46030</v>
      </c>
      <c r="K331" t="s">
        <v>77</v>
      </c>
      <c r="L331">
        <v>8.75</v>
      </c>
    </row>
    <row r="332" spans="1:12" x14ac:dyDescent="0.35">
      <c r="A332" t="s">
        <v>682</v>
      </c>
      <c r="B332">
        <v>17.5</v>
      </c>
      <c r="C332" t="s">
        <v>519</v>
      </c>
      <c r="D332" t="s">
        <v>74</v>
      </c>
      <c r="E332" t="s">
        <v>685</v>
      </c>
      <c r="F332" t="s">
        <v>14</v>
      </c>
      <c r="G332" t="s">
        <v>76</v>
      </c>
      <c r="H332" t="s">
        <v>16</v>
      </c>
      <c r="I332" t="s">
        <v>17</v>
      </c>
      <c r="J332" s="6">
        <v>46030</v>
      </c>
      <c r="K332" t="s">
        <v>77</v>
      </c>
      <c r="L332">
        <v>8.75</v>
      </c>
    </row>
    <row r="333" spans="1:12" x14ac:dyDescent="0.35">
      <c r="A333" t="s">
        <v>683</v>
      </c>
      <c r="B333">
        <v>17.5</v>
      </c>
      <c r="C333" t="s">
        <v>521</v>
      </c>
      <c r="D333" t="s">
        <v>74</v>
      </c>
      <c r="E333" t="s">
        <v>685</v>
      </c>
      <c r="F333" t="s">
        <v>14</v>
      </c>
      <c r="G333" t="s">
        <v>76</v>
      </c>
      <c r="H333" t="s">
        <v>16</v>
      </c>
      <c r="I333" t="s">
        <v>17</v>
      </c>
      <c r="J333" s="6">
        <v>46030</v>
      </c>
      <c r="K333" t="s">
        <v>77</v>
      </c>
      <c r="L333">
        <v>8.75</v>
      </c>
    </row>
    <row r="334" spans="1:12" x14ac:dyDescent="0.35">
      <c r="A334" t="s">
        <v>684</v>
      </c>
      <c r="B334">
        <v>17.5</v>
      </c>
      <c r="C334" t="s">
        <v>523</v>
      </c>
      <c r="D334" t="s">
        <v>74</v>
      </c>
      <c r="E334" t="s">
        <v>685</v>
      </c>
      <c r="F334" t="s">
        <v>14</v>
      </c>
      <c r="G334" t="s">
        <v>76</v>
      </c>
      <c r="H334" t="s">
        <v>16</v>
      </c>
      <c r="I334" t="s">
        <v>17</v>
      </c>
      <c r="J334" s="6">
        <v>46030</v>
      </c>
      <c r="K334" t="s">
        <v>77</v>
      </c>
      <c r="L334">
        <v>8.75</v>
      </c>
    </row>
    <row r="335" spans="1:12" x14ac:dyDescent="0.35">
      <c r="A335" t="s">
        <v>686</v>
      </c>
      <c r="B335">
        <v>19.5</v>
      </c>
      <c r="C335" t="s">
        <v>525</v>
      </c>
      <c r="D335" t="s">
        <v>74</v>
      </c>
      <c r="E335" t="s">
        <v>690</v>
      </c>
      <c r="F335" t="s">
        <v>14</v>
      </c>
      <c r="G335" t="s">
        <v>76</v>
      </c>
      <c r="H335" t="s">
        <v>16</v>
      </c>
      <c r="I335" t="s">
        <v>17</v>
      </c>
      <c r="J335" s="6">
        <v>46030</v>
      </c>
      <c r="K335" t="s">
        <v>77</v>
      </c>
      <c r="L335">
        <v>9.75</v>
      </c>
    </row>
    <row r="336" spans="1:12" x14ac:dyDescent="0.35">
      <c r="A336" t="s">
        <v>687</v>
      </c>
      <c r="B336">
        <v>19.5</v>
      </c>
      <c r="C336" t="s">
        <v>528</v>
      </c>
      <c r="D336" t="s">
        <v>74</v>
      </c>
      <c r="E336" t="s">
        <v>690</v>
      </c>
      <c r="F336" t="s">
        <v>14</v>
      </c>
      <c r="G336" t="s">
        <v>76</v>
      </c>
      <c r="H336" t="s">
        <v>16</v>
      </c>
      <c r="I336" t="s">
        <v>17</v>
      </c>
      <c r="J336" s="6">
        <v>46030</v>
      </c>
      <c r="K336" t="s">
        <v>77</v>
      </c>
      <c r="L336">
        <v>9.75</v>
      </c>
    </row>
    <row r="337" spans="1:12" x14ac:dyDescent="0.35">
      <c r="A337" t="s">
        <v>688</v>
      </c>
      <c r="B337">
        <v>19.5</v>
      </c>
      <c r="C337" t="s">
        <v>530</v>
      </c>
      <c r="D337" t="s">
        <v>74</v>
      </c>
      <c r="E337" t="s">
        <v>690</v>
      </c>
      <c r="F337" t="s">
        <v>14</v>
      </c>
      <c r="G337" t="s">
        <v>76</v>
      </c>
      <c r="H337" t="s">
        <v>16</v>
      </c>
      <c r="I337" t="s">
        <v>17</v>
      </c>
      <c r="J337" s="6">
        <v>46030</v>
      </c>
      <c r="K337" t="s">
        <v>77</v>
      </c>
      <c r="L337">
        <v>9.75</v>
      </c>
    </row>
    <row r="338" spans="1:12" x14ac:dyDescent="0.35">
      <c r="A338" t="s">
        <v>689</v>
      </c>
      <c r="B338">
        <v>19.5</v>
      </c>
      <c r="C338" t="s">
        <v>532</v>
      </c>
      <c r="D338" t="s">
        <v>74</v>
      </c>
      <c r="E338" t="s">
        <v>690</v>
      </c>
      <c r="F338" t="s">
        <v>14</v>
      </c>
      <c r="G338" t="s">
        <v>76</v>
      </c>
      <c r="H338" t="s">
        <v>16</v>
      </c>
      <c r="I338" t="s">
        <v>17</v>
      </c>
      <c r="J338" s="6">
        <v>46030</v>
      </c>
      <c r="K338" t="s">
        <v>77</v>
      </c>
      <c r="L338">
        <v>9.75</v>
      </c>
    </row>
    <row r="339" spans="1:12" x14ac:dyDescent="0.35">
      <c r="A339" t="s">
        <v>691</v>
      </c>
      <c r="B339">
        <v>14</v>
      </c>
      <c r="C339" t="s">
        <v>489</v>
      </c>
      <c r="D339" t="s">
        <v>74</v>
      </c>
      <c r="E339" t="s">
        <v>695</v>
      </c>
      <c r="F339" t="s">
        <v>14</v>
      </c>
      <c r="G339" t="s">
        <v>76</v>
      </c>
      <c r="H339" t="s">
        <v>16</v>
      </c>
      <c r="I339" t="s">
        <v>17</v>
      </c>
      <c r="J339" s="6">
        <v>46030</v>
      </c>
      <c r="K339" t="s">
        <v>77</v>
      </c>
      <c r="L339">
        <v>7</v>
      </c>
    </row>
    <row r="340" spans="1:12" x14ac:dyDescent="0.35">
      <c r="A340" t="s">
        <v>692</v>
      </c>
      <c r="B340">
        <v>14</v>
      </c>
      <c r="C340" t="s">
        <v>492</v>
      </c>
      <c r="D340" t="s">
        <v>74</v>
      </c>
      <c r="E340" t="s">
        <v>695</v>
      </c>
      <c r="F340" t="s">
        <v>14</v>
      </c>
      <c r="G340" t="s">
        <v>76</v>
      </c>
      <c r="H340" t="s">
        <v>16</v>
      </c>
      <c r="I340" t="s">
        <v>17</v>
      </c>
      <c r="J340" s="6">
        <v>46030</v>
      </c>
      <c r="K340" t="s">
        <v>77</v>
      </c>
      <c r="L340">
        <v>7</v>
      </c>
    </row>
    <row r="341" spans="1:12" x14ac:dyDescent="0.35">
      <c r="A341" t="s">
        <v>693</v>
      </c>
      <c r="B341">
        <v>14</v>
      </c>
      <c r="C341" t="s">
        <v>494</v>
      </c>
      <c r="D341" t="s">
        <v>74</v>
      </c>
      <c r="E341" t="s">
        <v>695</v>
      </c>
      <c r="F341" t="s">
        <v>14</v>
      </c>
      <c r="G341" t="s">
        <v>76</v>
      </c>
      <c r="H341" t="s">
        <v>16</v>
      </c>
      <c r="I341" t="s">
        <v>17</v>
      </c>
      <c r="J341" s="6">
        <v>46030</v>
      </c>
      <c r="K341" t="s">
        <v>77</v>
      </c>
      <c r="L341">
        <v>7</v>
      </c>
    </row>
    <row r="342" spans="1:12" x14ac:dyDescent="0.35">
      <c r="A342" t="s">
        <v>694</v>
      </c>
      <c r="B342">
        <v>14</v>
      </c>
      <c r="C342" t="s">
        <v>496</v>
      </c>
      <c r="D342" t="s">
        <v>74</v>
      </c>
      <c r="E342" t="s">
        <v>695</v>
      </c>
      <c r="F342" t="s">
        <v>14</v>
      </c>
      <c r="G342" t="s">
        <v>76</v>
      </c>
      <c r="H342" t="s">
        <v>16</v>
      </c>
      <c r="I342" t="s">
        <v>17</v>
      </c>
      <c r="J342" s="6">
        <v>46030</v>
      </c>
      <c r="K342" t="s">
        <v>77</v>
      </c>
      <c r="L342">
        <v>7</v>
      </c>
    </row>
    <row r="343" spans="1:12" x14ac:dyDescent="0.35">
      <c r="A343" t="s">
        <v>696</v>
      </c>
      <c r="B343">
        <v>15.5</v>
      </c>
      <c r="C343" t="s">
        <v>498</v>
      </c>
      <c r="D343" t="s">
        <v>74</v>
      </c>
      <c r="E343" t="s">
        <v>700</v>
      </c>
      <c r="F343" t="s">
        <v>14</v>
      </c>
      <c r="G343" t="s">
        <v>76</v>
      </c>
      <c r="H343" t="s">
        <v>16</v>
      </c>
      <c r="I343" t="s">
        <v>17</v>
      </c>
      <c r="J343" s="6">
        <v>46030</v>
      </c>
      <c r="K343" t="s">
        <v>77</v>
      </c>
      <c r="L343">
        <v>7.75</v>
      </c>
    </row>
    <row r="344" spans="1:12" x14ac:dyDescent="0.35">
      <c r="A344" t="s">
        <v>697</v>
      </c>
      <c r="B344">
        <v>15.5</v>
      </c>
      <c r="C344" t="s">
        <v>501</v>
      </c>
      <c r="D344" t="s">
        <v>74</v>
      </c>
      <c r="E344" t="s">
        <v>700</v>
      </c>
      <c r="F344" t="s">
        <v>14</v>
      </c>
      <c r="G344" t="s">
        <v>76</v>
      </c>
      <c r="H344" t="s">
        <v>16</v>
      </c>
      <c r="I344" t="s">
        <v>17</v>
      </c>
      <c r="J344" s="6">
        <v>46030</v>
      </c>
      <c r="K344" t="s">
        <v>77</v>
      </c>
      <c r="L344">
        <v>7.75</v>
      </c>
    </row>
    <row r="345" spans="1:12" x14ac:dyDescent="0.35">
      <c r="A345" t="s">
        <v>698</v>
      </c>
      <c r="B345">
        <v>15.5</v>
      </c>
      <c r="C345" t="s">
        <v>503</v>
      </c>
      <c r="D345" t="s">
        <v>74</v>
      </c>
      <c r="E345" t="s">
        <v>700</v>
      </c>
      <c r="F345" t="s">
        <v>14</v>
      </c>
      <c r="G345" t="s">
        <v>76</v>
      </c>
      <c r="H345" t="s">
        <v>16</v>
      </c>
      <c r="I345" t="s">
        <v>17</v>
      </c>
      <c r="J345" s="6">
        <v>46030</v>
      </c>
      <c r="K345" t="s">
        <v>77</v>
      </c>
      <c r="L345">
        <v>7.75</v>
      </c>
    </row>
    <row r="346" spans="1:12" x14ac:dyDescent="0.35">
      <c r="A346" t="s">
        <v>699</v>
      </c>
      <c r="B346">
        <v>15.5</v>
      </c>
      <c r="C346" t="s">
        <v>505</v>
      </c>
      <c r="D346" t="s">
        <v>74</v>
      </c>
      <c r="E346" t="s">
        <v>700</v>
      </c>
      <c r="F346" t="s">
        <v>14</v>
      </c>
      <c r="G346" t="s">
        <v>76</v>
      </c>
      <c r="H346" t="s">
        <v>16</v>
      </c>
      <c r="I346" t="s">
        <v>17</v>
      </c>
      <c r="J346" s="6">
        <v>46030</v>
      </c>
      <c r="K346" t="s">
        <v>77</v>
      </c>
      <c r="L346">
        <v>7.75</v>
      </c>
    </row>
    <row r="347" spans="1:12" x14ac:dyDescent="0.35">
      <c r="A347" t="s">
        <v>701</v>
      </c>
      <c r="B347">
        <v>16.5</v>
      </c>
      <c r="C347" t="s">
        <v>507</v>
      </c>
      <c r="D347" t="s">
        <v>74</v>
      </c>
      <c r="E347" t="s">
        <v>705</v>
      </c>
      <c r="F347" t="s">
        <v>14</v>
      </c>
      <c r="G347" t="s">
        <v>76</v>
      </c>
      <c r="H347" t="s">
        <v>16</v>
      </c>
      <c r="I347" t="s">
        <v>17</v>
      </c>
      <c r="J347" s="6">
        <v>46030</v>
      </c>
      <c r="K347" t="s">
        <v>77</v>
      </c>
      <c r="L347">
        <v>8.25</v>
      </c>
    </row>
    <row r="348" spans="1:12" x14ac:dyDescent="0.35">
      <c r="A348" t="s">
        <v>702</v>
      </c>
      <c r="B348">
        <v>16.5</v>
      </c>
      <c r="C348" t="s">
        <v>510</v>
      </c>
      <c r="D348" t="s">
        <v>74</v>
      </c>
      <c r="E348" t="s">
        <v>705</v>
      </c>
      <c r="F348" t="s">
        <v>14</v>
      </c>
      <c r="G348" t="s">
        <v>76</v>
      </c>
      <c r="H348" t="s">
        <v>16</v>
      </c>
      <c r="I348" t="s">
        <v>17</v>
      </c>
      <c r="J348" s="6">
        <v>46030</v>
      </c>
      <c r="K348" t="s">
        <v>77</v>
      </c>
      <c r="L348">
        <v>8.25</v>
      </c>
    </row>
    <row r="349" spans="1:12" x14ac:dyDescent="0.35">
      <c r="A349" t="s">
        <v>703</v>
      </c>
      <c r="B349">
        <v>16.5</v>
      </c>
      <c r="C349" t="s">
        <v>512</v>
      </c>
      <c r="D349" t="s">
        <v>74</v>
      </c>
      <c r="E349" t="s">
        <v>705</v>
      </c>
      <c r="F349" t="s">
        <v>14</v>
      </c>
      <c r="G349" t="s">
        <v>76</v>
      </c>
      <c r="H349" t="s">
        <v>16</v>
      </c>
      <c r="I349" t="s">
        <v>17</v>
      </c>
      <c r="J349" s="6">
        <v>46030</v>
      </c>
      <c r="K349" t="s">
        <v>77</v>
      </c>
      <c r="L349">
        <v>8.25</v>
      </c>
    </row>
    <row r="350" spans="1:12" x14ac:dyDescent="0.35">
      <c r="A350" t="s">
        <v>704</v>
      </c>
      <c r="B350">
        <v>16.5</v>
      </c>
      <c r="C350" t="s">
        <v>514</v>
      </c>
      <c r="D350" t="s">
        <v>74</v>
      </c>
      <c r="E350" t="s">
        <v>705</v>
      </c>
      <c r="F350" t="s">
        <v>14</v>
      </c>
      <c r="G350" t="s">
        <v>76</v>
      </c>
      <c r="H350" t="s">
        <v>16</v>
      </c>
      <c r="I350" t="s">
        <v>17</v>
      </c>
      <c r="J350" s="6">
        <v>46030</v>
      </c>
      <c r="K350" t="s">
        <v>77</v>
      </c>
      <c r="L350">
        <v>8.25</v>
      </c>
    </row>
    <row r="351" spans="1:12" x14ac:dyDescent="0.35">
      <c r="A351" t="s">
        <v>706</v>
      </c>
      <c r="B351">
        <v>17.5</v>
      </c>
      <c r="C351" t="s">
        <v>517</v>
      </c>
      <c r="D351" t="s">
        <v>74</v>
      </c>
      <c r="E351" t="s">
        <v>710</v>
      </c>
      <c r="F351" t="s">
        <v>14</v>
      </c>
      <c r="G351" t="s">
        <v>76</v>
      </c>
      <c r="H351" t="s">
        <v>16</v>
      </c>
      <c r="I351" t="s">
        <v>17</v>
      </c>
      <c r="J351" s="6">
        <v>46030</v>
      </c>
      <c r="K351" t="s">
        <v>77</v>
      </c>
      <c r="L351">
        <v>8.75</v>
      </c>
    </row>
    <row r="352" spans="1:12" x14ac:dyDescent="0.35">
      <c r="A352" t="s">
        <v>707</v>
      </c>
      <c r="B352">
        <v>17.5</v>
      </c>
      <c r="C352" t="s">
        <v>519</v>
      </c>
      <c r="D352" t="s">
        <v>74</v>
      </c>
      <c r="E352" t="s">
        <v>710</v>
      </c>
      <c r="F352" t="s">
        <v>14</v>
      </c>
      <c r="G352" t="s">
        <v>76</v>
      </c>
      <c r="H352" t="s">
        <v>16</v>
      </c>
      <c r="I352" t="s">
        <v>17</v>
      </c>
      <c r="J352" s="6">
        <v>46030</v>
      </c>
      <c r="K352" t="s">
        <v>77</v>
      </c>
      <c r="L352">
        <v>8.75</v>
      </c>
    </row>
    <row r="353" spans="1:12" x14ac:dyDescent="0.35">
      <c r="A353" t="s">
        <v>708</v>
      </c>
      <c r="B353">
        <v>17.5</v>
      </c>
      <c r="C353" t="s">
        <v>521</v>
      </c>
      <c r="D353" t="s">
        <v>74</v>
      </c>
      <c r="E353" t="s">
        <v>710</v>
      </c>
      <c r="F353" t="s">
        <v>14</v>
      </c>
      <c r="G353" t="s">
        <v>76</v>
      </c>
      <c r="H353" t="s">
        <v>16</v>
      </c>
      <c r="I353" t="s">
        <v>17</v>
      </c>
      <c r="J353" s="6">
        <v>46030</v>
      </c>
      <c r="K353" t="s">
        <v>77</v>
      </c>
      <c r="L353">
        <v>8.75</v>
      </c>
    </row>
    <row r="354" spans="1:12" x14ac:dyDescent="0.35">
      <c r="A354" t="s">
        <v>709</v>
      </c>
      <c r="B354">
        <v>17.5</v>
      </c>
      <c r="C354" t="s">
        <v>523</v>
      </c>
      <c r="D354" t="s">
        <v>74</v>
      </c>
      <c r="E354" t="s">
        <v>710</v>
      </c>
      <c r="F354" t="s">
        <v>14</v>
      </c>
      <c r="G354" t="s">
        <v>76</v>
      </c>
      <c r="H354" t="s">
        <v>16</v>
      </c>
      <c r="I354" t="s">
        <v>17</v>
      </c>
      <c r="J354" s="6">
        <v>46030</v>
      </c>
      <c r="K354" t="s">
        <v>77</v>
      </c>
      <c r="L354">
        <v>8.75</v>
      </c>
    </row>
    <row r="355" spans="1:12" x14ac:dyDescent="0.35">
      <c r="A355" t="s">
        <v>711</v>
      </c>
      <c r="B355">
        <v>19.5</v>
      </c>
      <c r="C355" t="s">
        <v>525</v>
      </c>
      <c r="D355" t="s">
        <v>74</v>
      </c>
      <c r="E355" t="s">
        <v>715</v>
      </c>
      <c r="F355" t="s">
        <v>14</v>
      </c>
      <c r="G355" t="s">
        <v>76</v>
      </c>
      <c r="H355" t="s">
        <v>16</v>
      </c>
      <c r="I355" t="s">
        <v>17</v>
      </c>
      <c r="J355" s="6">
        <v>46030</v>
      </c>
      <c r="K355" t="s">
        <v>77</v>
      </c>
      <c r="L355">
        <v>9.75</v>
      </c>
    </row>
    <row r="356" spans="1:12" x14ac:dyDescent="0.35">
      <c r="A356" t="s">
        <v>712</v>
      </c>
      <c r="B356">
        <v>19.5</v>
      </c>
      <c r="C356" t="s">
        <v>528</v>
      </c>
      <c r="D356" t="s">
        <v>74</v>
      </c>
      <c r="E356" t="s">
        <v>715</v>
      </c>
      <c r="F356" t="s">
        <v>14</v>
      </c>
      <c r="G356" t="s">
        <v>76</v>
      </c>
      <c r="H356" t="s">
        <v>16</v>
      </c>
      <c r="I356" t="s">
        <v>17</v>
      </c>
      <c r="J356" s="6">
        <v>46030</v>
      </c>
      <c r="K356" t="s">
        <v>77</v>
      </c>
      <c r="L356">
        <v>9.75</v>
      </c>
    </row>
    <row r="357" spans="1:12" x14ac:dyDescent="0.35">
      <c r="A357" t="s">
        <v>713</v>
      </c>
      <c r="B357">
        <v>19.5</v>
      </c>
      <c r="C357" t="s">
        <v>530</v>
      </c>
      <c r="D357" t="s">
        <v>74</v>
      </c>
      <c r="E357" t="s">
        <v>715</v>
      </c>
      <c r="F357" t="s">
        <v>14</v>
      </c>
      <c r="G357" t="s">
        <v>76</v>
      </c>
      <c r="H357" t="s">
        <v>16</v>
      </c>
      <c r="I357" t="s">
        <v>17</v>
      </c>
      <c r="J357" s="6">
        <v>46030</v>
      </c>
      <c r="K357" t="s">
        <v>77</v>
      </c>
      <c r="L357">
        <v>9.75</v>
      </c>
    </row>
    <row r="358" spans="1:12" x14ac:dyDescent="0.35">
      <c r="A358" t="s">
        <v>714</v>
      </c>
      <c r="B358">
        <v>19.5</v>
      </c>
      <c r="C358" t="s">
        <v>532</v>
      </c>
      <c r="D358" t="s">
        <v>74</v>
      </c>
      <c r="E358" t="s">
        <v>715</v>
      </c>
      <c r="F358" t="s">
        <v>14</v>
      </c>
      <c r="G358" t="s">
        <v>76</v>
      </c>
      <c r="H358" t="s">
        <v>16</v>
      </c>
      <c r="I358" t="s">
        <v>17</v>
      </c>
      <c r="J358" s="6">
        <v>46030</v>
      </c>
      <c r="K358" t="s">
        <v>77</v>
      </c>
      <c r="L358">
        <v>9.75</v>
      </c>
    </row>
    <row r="359" spans="1:12" x14ac:dyDescent="0.35">
      <c r="A359" t="s">
        <v>716</v>
      </c>
      <c r="B359">
        <v>14</v>
      </c>
      <c r="C359" t="s">
        <v>736</v>
      </c>
      <c r="D359" t="s">
        <v>74</v>
      </c>
      <c r="E359" t="s">
        <v>741</v>
      </c>
      <c r="F359" t="s">
        <v>14</v>
      </c>
      <c r="G359" t="s">
        <v>76</v>
      </c>
      <c r="H359" t="s">
        <v>16</v>
      </c>
      <c r="I359" t="s">
        <v>17</v>
      </c>
      <c r="J359" s="6">
        <v>46030</v>
      </c>
      <c r="K359" t="s">
        <v>77</v>
      </c>
      <c r="L359">
        <v>7</v>
      </c>
    </row>
    <row r="360" spans="1:12" x14ac:dyDescent="0.35">
      <c r="A360" t="s">
        <v>717</v>
      </c>
      <c r="B360">
        <v>15.5</v>
      </c>
      <c r="C360" t="s">
        <v>737</v>
      </c>
      <c r="D360" t="s">
        <v>74</v>
      </c>
      <c r="E360" t="s">
        <v>742</v>
      </c>
      <c r="F360" t="s">
        <v>14</v>
      </c>
      <c r="G360" t="s">
        <v>76</v>
      </c>
      <c r="H360" t="s">
        <v>16</v>
      </c>
      <c r="I360" t="s">
        <v>17</v>
      </c>
      <c r="J360" s="6">
        <v>46030</v>
      </c>
      <c r="K360" t="s">
        <v>77</v>
      </c>
      <c r="L360">
        <v>7.75</v>
      </c>
    </row>
    <row r="361" spans="1:12" x14ac:dyDescent="0.35">
      <c r="A361" t="s">
        <v>718</v>
      </c>
      <c r="B361">
        <v>16.5</v>
      </c>
      <c r="C361" t="s">
        <v>738</v>
      </c>
      <c r="D361" t="s">
        <v>74</v>
      </c>
      <c r="E361" t="s">
        <v>743</v>
      </c>
      <c r="F361" t="s">
        <v>14</v>
      </c>
      <c r="G361" t="s">
        <v>76</v>
      </c>
      <c r="H361" t="s">
        <v>16</v>
      </c>
      <c r="I361" t="s">
        <v>17</v>
      </c>
      <c r="J361" s="6">
        <v>46030</v>
      </c>
      <c r="K361" t="s">
        <v>77</v>
      </c>
      <c r="L361">
        <v>8.25</v>
      </c>
    </row>
    <row r="362" spans="1:12" x14ac:dyDescent="0.35">
      <c r="A362" t="s">
        <v>719</v>
      </c>
      <c r="B362">
        <v>17.5</v>
      </c>
      <c r="C362" t="s">
        <v>739</v>
      </c>
      <c r="D362" t="s">
        <v>74</v>
      </c>
      <c r="E362" t="s">
        <v>744</v>
      </c>
      <c r="F362" t="s">
        <v>14</v>
      </c>
      <c r="G362" t="s">
        <v>76</v>
      </c>
      <c r="H362" t="s">
        <v>16</v>
      </c>
      <c r="I362" t="s">
        <v>17</v>
      </c>
      <c r="J362" s="6">
        <v>46030</v>
      </c>
      <c r="K362" t="s">
        <v>77</v>
      </c>
      <c r="L362">
        <v>8.75</v>
      </c>
    </row>
    <row r="363" spans="1:12" x14ac:dyDescent="0.35">
      <c r="A363" t="s">
        <v>720</v>
      </c>
      <c r="B363">
        <v>19.5</v>
      </c>
      <c r="C363" t="s">
        <v>740</v>
      </c>
      <c r="D363" t="s">
        <v>74</v>
      </c>
      <c r="E363" t="s">
        <v>745</v>
      </c>
      <c r="F363" t="s">
        <v>14</v>
      </c>
      <c r="G363" t="s">
        <v>76</v>
      </c>
      <c r="H363" t="s">
        <v>16</v>
      </c>
      <c r="I363" t="s">
        <v>17</v>
      </c>
      <c r="J363" s="6">
        <v>46030</v>
      </c>
      <c r="K363" t="s">
        <v>77</v>
      </c>
      <c r="L363">
        <v>9.75</v>
      </c>
    </row>
    <row r="364" spans="1:12" x14ac:dyDescent="0.35">
      <c r="A364" t="s">
        <v>721</v>
      </c>
      <c r="B364">
        <v>14</v>
      </c>
      <c r="C364" t="s">
        <v>736</v>
      </c>
      <c r="D364" t="s">
        <v>74</v>
      </c>
      <c r="E364" t="s">
        <v>746</v>
      </c>
      <c r="F364" t="s">
        <v>14</v>
      </c>
      <c r="G364" t="s">
        <v>76</v>
      </c>
      <c r="H364" t="s">
        <v>16</v>
      </c>
      <c r="I364" t="s">
        <v>17</v>
      </c>
      <c r="J364" s="6">
        <v>46030</v>
      </c>
      <c r="K364" t="s">
        <v>77</v>
      </c>
      <c r="L364">
        <v>7</v>
      </c>
    </row>
    <row r="365" spans="1:12" x14ac:dyDescent="0.35">
      <c r="A365" t="s">
        <v>722</v>
      </c>
      <c r="B365">
        <v>15.5</v>
      </c>
      <c r="C365" t="s">
        <v>737</v>
      </c>
      <c r="D365" t="s">
        <v>74</v>
      </c>
      <c r="E365" t="s">
        <v>747</v>
      </c>
      <c r="F365" t="s">
        <v>14</v>
      </c>
      <c r="G365" t="s">
        <v>76</v>
      </c>
      <c r="H365" t="s">
        <v>16</v>
      </c>
      <c r="I365" t="s">
        <v>17</v>
      </c>
      <c r="J365" s="6">
        <v>46030</v>
      </c>
      <c r="K365" t="s">
        <v>77</v>
      </c>
      <c r="L365">
        <v>7.75</v>
      </c>
    </row>
    <row r="366" spans="1:12" x14ac:dyDescent="0.35">
      <c r="A366" t="s">
        <v>723</v>
      </c>
      <c r="B366">
        <v>16.5</v>
      </c>
      <c r="C366" t="s">
        <v>738</v>
      </c>
      <c r="D366" t="s">
        <v>74</v>
      </c>
      <c r="E366" t="s">
        <v>748</v>
      </c>
      <c r="F366" t="s">
        <v>14</v>
      </c>
      <c r="G366" t="s">
        <v>76</v>
      </c>
      <c r="H366" t="s">
        <v>16</v>
      </c>
      <c r="I366" t="s">
        <v>17</v>
      </c>
      <c r="J366" s="6">
        <v>46030</v>
      </c>
      <c r="K366" t="s">
        <v>77</v>
      </c>
      <c r="L366">
        <v>8.25</v>
      </c>
    </row>
    <row r="367" spans="1:12" x14ac:dyDescent="0.35">
      <c r="A367" t="s">
        <v>724</v>
      </c>
      <c r="B367">
        <v>17.5</v>
      </c>
      <c r="C367" t="s">
        <v>739</v>
      </c>
      <c r="D367" t="s">
        <v>74</v>
      </c>
      <c r="E367" t="s">
        <v>749</v>
      </c>
      <c r="F367" t="s">
        <v>14</v>
      </c>
      <c r="G367" t="s">
        <v>76</v>
      </c>
      <c r="H367" t="s">
        <v>16</v>
      </c>
      <c r="I367" t="s">
        <v>17</v>
      </c>
      <c r="J367" s="6">
        <v>46030</v>
      </c>
      <c r="K367" t="s">
        <v>77</v>
      </c>
      <c r="L367">
        <v>8.75</v>
      </c>
    </row>
    <row r="368" spans="1:12" x14ac:dyDescent="0.35">
      <c r="A368" t="s">
        <v>725</v>
      </c>
      <c r="B368">
        <v>19.5</v>
      </c>
      <c r="C368" t="s">
        <v>740</v>
      </c>
      <c r="D368" t="s">
        <v>74</v>
      </c>
      <c r="E368" t="s">
        <v>750</v>
      </c>
      <c r="F368" t="s">
        <v>14</v>
      </c>
      <c r="G368" t="s">
        <v>76</v>
      </c>
      <c r="H368" t="s">
        <v>16</v>
      </c>
      <c r="I368" t="s">
        <v>17</v>
      </c>
      <c r="J368" s="6">
        <v>46030</v>
      </c>
      <c r="K368" t="s">
        <v>77</v>
      </c>
      <c r="L368">
        <v>9.75</v>
      </c>
    </row>
    <row r="369" spans="1:12" x14ac:dyDescent="0.35">
      <c r="A369" t="s">
        <v>726</v>
      </c>
      <c r="B369">
        <v>15.5</v>
      </c>
      <c r="C369" t="s">
        <v>736</v>
      </c>
      <c r="D369" t="s">
        <v>74</v>
      </c>
      <c r="E369" t="s">
        <v>751</v>
      </c>
      <c r="F369" t="s">
        <v>14</v>
      </c>
      <c r="G369" t="s">
        <v>76</v>
      </c>
      <c r="H369" t="s">
        <v>16</v>
      </c>
      <c r="I369" t="s">
        <v>17</v>
      </c>
      <c r="J369" s="6">
        <v>46030</v>
      </c>
      <c r="K369" t="s">
        <v>77</v>
      </c>
      <c r="L369">
        <v>7.75</v>
      </c>
    </row>
    <row r="370" spans="1:12" x14ac:dyDescent="0.35">
      <c r="A370" t="s">
        <v>727</v>
      </c>
      <c r="B370">
        <v>16.5</v>
      </c>
      <c r="C370" t="s">
        <v>737</v>
      </c>
      <c r="D370" t="s">
        <v>74</v>
      </c>
      <c r="E370" t="s">
        <v>752</v>
      </c>
      <c r="F370" t="s">
        <v>14</v>
      </c>
      <c r="G370" t="s">
        <v>76</v>
      </c>
      <c r="H370" t="s">
        <v>16</v>
      </c>
      <c r="I370" t="s">
        <v>17</v>
      </c>
      <c r="J370" s="6">
        <v>46030</v>
      </c>
      <c r="K370" t="s">
        <v>77</v>
      </c>
      <c r="L370">
        <v>8.25</v>
      </c>
    </row>
    <row r="371" spans="1:12" x14ac:dyDescent="0.35">
      <c r="A371" t="s">
        <v>728</v>
      </c>
      <c r="B371">
        <v>17.5</v>
      </c>
      <c r="C371" t="s">
        <v>738</v>
      </c>
      <c r="D371" t="s">
        <v>74</v>
      </c>
      <c r="E371" t="s">
        <v>753</v>
      </c>
      <c r="F371" t="s">
        <v>14</v>
      </c>
      <c r="G371" t="s">
        <v>76</v>
      </c>
      <c r="H371" t="s">
        <v>16</v>
      </c>
      <c r="I371" t="s">
        <v>17</v>
      </c>
      <c r="J371" s="6">
        <v>46030</v>
      </c>
      <c r="K371" t="s">
        <v>77</v>
      </c>
      <c r="L371">
        <v>8.75</v>
      </c>
    </row>
    <row r="372" spans="1:12" x14ac:dyDescent="0.35">
      <c r="A372" t="s">
        <v>729</v>
      </c>
      <c r="B372">
        <v>18.5</v>
      </c>
      <c r="C372" t="s">
        <v>739</v>
      </c>
      <c r="D372" t="s">
        <v>74</v>
      </c>
      <c r="E372" t="s">
        <v>754</v>
      </c>
      <c r="F372" t="s">
        <v>14</v>
      </c>
      <c r="G372" t="s">
        <v>76</v>
      </c>
      <c r="H372" t="s">
        <v>16</v>
      </c>
      <c r="I372" t="s">
        <v>17</v>
      </c>
      <c r="J372" s="6">
        <v>46030</v>
      </c>
      <c r="K372" t="s">
        <v>77</v>
      </c>
      <c r="L372">
        <v>9.25</v>
      </c>
    </row>
    <row r="373" spans="1:12" x14ac:dyDescent="0.35">
      <c r="A373" t="s">
        <v>730</v>
      </c>
      <c r="B373">
        <v>20.5</v>
      </c>
      <c r="C373" t="s">
        <v>740</v>
      </c>
      <c r="D373" t="s">
        <v>74</v>
      </c>
      <c r="E373" t="s">
        <v>755</v>
      </c>
      <c r="F373" t="s">
        <v>14</v>
      </c>
      <c r="G373" t="s">
        <v>76</v>
      </c>
      <c r="H373" t="s">
        <v>16</v>
      </c>
      <c r="I373" t="s">
        <v>17</v>
      </c>
      <c r="J373" s="6">
        <v>46030</v>
      </c>
      <c r="K373" t="s">
        <v>77</v>
      </c>
      <c r="L373">
        <v>10.25</v>
      </c>
    </row>
    <row r="374" spans="1:12" x14ac:dyDescent="0.35">
      <c r="A374" t="s">
        <v>731</v>
      </c>
      <c r="B374">
        <v>15.5</v>
      </c>
      <c r="C374" t="s">
        <v>736</v>
      </c>
      <c r="D374" t="s">
        <v>74</v>
      </c>
      <c r="E374" t="s">
        <v>756</v>
      </c>
      <c r="F374" t="s">
        <v>14</v>
      </c>
      <c r="G374" t="s">
        <v>76</v>
      </c>
      <c r="H374" t="s">
        <v>16</v>
      </c>
      <c r="I374" t="s">
        <v>17</v>
      </c>
      <c r="J374" s="6">
        <v>46030</v>
      </c>
      <c r="K374" t="s">
        <v>77</v>
      </c>
      <c r="L374">
        <v>7.75</v>
      </c>
    </row>
    <row r="375" spans="1:12" x14ac:dyDescent="0.35">
      <c r="A375" t="s">
        <v>732</v>
      </c>
      <c r="B375">
        <v>16.5</v>
      </c>
      <c r="C375" t="s">
        <v>737</v>
      </c>
      <c r="D375" t="s">
        <v>74</v>
      </c>
      <c r="E375" t="s">
        <v>757</v>
      </c>
      <c r="F375" t="s">
        <v>14</v>
      </c>
      <c r="G375" t="s">
        <v>76</v>
      </c>
      <c r="H375" t="s">
        <v>16</v>
      </c>
      <c r="I375" t="s">
        <v>17</v>
      </c>
      <c r="J375" s="6">
        <v>46030</v>
      </c>
      <c r="K375" t="s">
        <v>77</v>
      </c>
      <c r="L375">
        <v>8.25</v>
      </c>
    </row>
    <row r="376" spans="1:12" x14ac:dyDescent="0.35">
      <c r="A376" t="s">
        <v>733</v>
      </c>
      <c r="B376">
        <v>17.5</v>
      </c>
      <c r="C376" t="s">
        <v>738</v>
      </c>
      <c r="D376" t="s">
        <v>74</v>
      </c>
      <c r="E376" t="s">
        <v>758</v>
      </c>
      <c r="F376" t="s">
        <v>14</v>
      </c>
      <c r="G376" t="s">
        <v>76</v>
      </c>
      <c r="H376" t="s">
        <v>16</v>
      </c>
      <c r="I376" t="s">
        <v>17</v>
      </c>
      <c r="J376" s="6">
        <v>46030</v>
      </c>
      <c r="K376" t="s">
        <v>77</v>
      </c>
      <c r="L376">
        <v>8.75</v>
      </c>
    </row>
    <row r="377" spans="1:12" x14ac:dyDescent="0.35">
      <c r="A377" t="s">
        <v>734</v>
      </c>
      <c r="B377">
        <v>18.5</v>
      </c>
      <c r="C377" t="s">
        <v>739</v>
      </c>
      <c r="D377" t="s">
        <v>74</v>
      </c>
      <c r="E377" t="s">
        <v>759</v>
      </c>
      <c r="F377" t="s">
        <v>14</v>
      </c>
      <c r="G377" t="s">
        <v>76</v>
      </c>
      <c r="H377" t="s">
        <v>16</v>
      </c>
      <c r="I377" t="s">
        <v>17</v>
      </c>
      <c r="J377" s="6">
        <v>46030</v>
      </c>
      <c r="K377" t="s">
        <v>77</v>
      </c>
      <c r="L377">
        <v>9.25</v>
      </c>
    </row>
    <row r="378" spans="1:12" x14ac:dyDescent="0.35">
      <c r="A378" t="s">
        <v>735</v>
      </c>
      <c r="B378">
        <v>20.5</v>
      </c>
      <c r="C378" t="s">
        <v>740</v>
      </c>
      <c r="D378" t="s">
        <v>74</v>
      </c>
      <c r="E378" t="s">
        <v>760</v>
      </c>
      <c r="F378" t="s">
        <v>14</v>
      </c>
      <c r="G378" t="s">
        <v>76</v>
      </c>
      <c r="H378" t="s">
        <v>16</v>
      </c>
      <c r="I378" t="s">
        <v>17</v>
      </c>
      <c r="J378" s="6">
        <v>46030</v>
      </c>
      <c r="K378" t="s">
        <v>77</v>
      </c>
      <c r="L378">
        <v>10.25</v>
      </c>
    </row>
    <row r="379" spans="1:12" x14ac:dyDescent="0.35">
      <c r="A379" t="s">
        <v>761</v>
      </c>
      <c r="B379">
        <v>725</v>
      </c>
      <c r="C379" t="s">
        <v>780</v>
      </c>
      <c r="D379" t="s">
        <v>74</v>
      </c>
      <c r="E379" t="s">
        <v>794</v>
      </c>
      <c r="F379" t="s">
        <v>14</v>
      </c>
      <c r="G379" t="s">
        <v>76</v>
      </c>
      <c r="H379" t="s">
        <v>16</v>
      </c>
      <c r="I379" t="s">
        <v>17</v>
      </c>
      <c r="J379" s="6">
        <v>46030</v>
      </c>
      <c r="K379" t="s">
        <v>77</v>
      </c>
    </row>
    <row r="380" spans="1:12" x14ac:dyDescent="0.35">
      <c r="A380" t="s">
        <v>762</v>
      </c>
      <c r="B380">
        <v>886</v>
      </c>
      <c r="C380" t="s">
        <v>781</v>
      </c>
      <c r="D380" t="s">
        <v>74</v>
      </c>
      <c r="E380" t="s">
        <v>795</v>
      </c>
      <c r="F380" t="s">
        <v>14</v>
      </c>
      <c r="G380" t="s">
        <v>76</v>
      </c>
      <c r="H380" t="s">
        <v>16</v>
      </c>
      <c r="I380" t="s">
        <v>17</v>
      </c>
      <c r="J380" s="6">
        <v>46030</v>
      </c>
      <c r="K380" t="s">
        <v>77</v>
      </c>
    </row>
    <row r="381" spans="1:12" x14ac:dyDescent="0.35">
      <c r="A381" t="s">
        <v>763</v>
      </c>
      <c r="B381">
        <v>1127</v>
      </c>
      <c r="C381" t="s">
        <v>781</v>
      </c>
      <c r="D381" t="s">
        <v>74</v>
      </c>
      <c r="E381" t="s">
        <v>796</v>
      </c>
      <c r="F381" t="s">
        <v>14</v>
      </c>
      <c r="G381" t="s">
        <v>76</v>
      </c>
      <c r="H381" t="s">
        <v>16</v>
      </c>
      <c r="I381" t="s">
        <v>17</v>
      </c>
      <c r="J381" s="6">
        <v>46030</v>
      </c>
      <c r="K381" t="s">
        <v>77</v>
      </c>
    </row>
    <row r="382" spans="1:12" x14ac:dyDescent="0.35">
      <c r="A382" t="s">
        <v>764</v>
      </c>
      <c r="B382">
        <v>600</v>
      </c>
      <c r="C382" t="s">
        <v>782</v>
      </c>
      <c r="D382" t="s">
        <v>74</v>
      </c>
      <c r="E382" t="s">
        <v>797</v>
      </c>
      <c r="F382" t="s">
        <v>14</v>
      </c>
      <c r="G382" t="s">
        <v>76</v>
      </c>
      <c r="H382" t="s">
        <v>16</v>
      </c>
      <c r="I382" t="s">
        <v>17</v>
      </c>
      <c r="J382" s="6">
        <v>46030</v>
      </c>
      <c r="K382" t="s">
        <v>77</v>
      </c>
    </row>
    <row r="383" spans="1:12" x14ac:dyDescent="0.35">
      <c r="A383" t="s">
        <v>765</v>
      </c>
      <c r="B383">
        <v>600</v>
      </c>
      <c r="C383" t="s">
        <v>783</v>
      </c>
      <c r="D383" t="s">
        <v>74</v>
      </c>
      <c r="E383" t="s">
        <v>798</v>
      </c>
      <c r="F383" t="s">
        <v>14</v>
      </c>
      <c r="G383" t="s">
        <v>76</v>
      </c>
      <c r="H383" t="s">
        <v>16</v>
      </c>
      <c r="I383" t="s">
        <v>17</v>
      </c>
      <c r="J383" s="6">
        <v>46030</v>
      </c>
      <c r="K383" t="s">
        <v>77</v>
      </c>
    </row>
    <row r="384" spans="1:12"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2" x14ac:dyDescent="0.35">
      <c r="A417" t="s">
        <v>839</v>
      </c>
      <c r="B417">
        <v>240</v>
      </c>
      <c r="C417" t="s">
        <v>857</v>
      </c>
      <c r="D417" t="s">
        <v>74</v>
      </c>
      <c r="E417" t="s">
        <v>876</v>
      </c>
      <c r="F417" t="s">
        <v>14</v>
      </c>
      <c r="G417" t="s">
        <v>76</v>
      </c>
      <c r="H417" t="s">
        <v>16</v>
      </c>
      <c r="I417" t="s">
        <v>17</v>
      </c>
      <c r="J417" s="6">
        <v>46030</v>
      </c>
      <c r="K417" t="s">
        <v>77</v>
      </c>
    </row>
    <row r="418" spans="1:12" x14ac:dyDescent="0.35">
      <c r="A418" t="s">
        <v>840</v>
      </c>
      <c r="B418">
        <v>150</v>
      </c>
      <c r="C418" t="s">
        <v>858</v>
      </c>
      <c r="D418" t="s">
        <v>74</v>
      </c>
      <c r="E418" t="s">
        <v>877</v>
      </c>
      <c r="F418" t="s">
        <v>14</v>
      </c>
      <c r="G418" t="s">
        <v>76</v>
      </c>
      <c r="H418" t="s">
        <v>16</v>
      </c>
      <c r="I418" t="s">
        <v>17</v>
      </c>
      <c r="J418" s="6">
        <v>46030</v>
      </c>
      <c r="K418" t="s">
        <v>77</v>
      </c>
    </row>
    <row r="419" spans="1:12" x14ac:dyDescent="0.35">
      <c r="A419" t="s">
        <v>841</v>
      </c>
      <c r="B419">
        <v>50</v>
      </c>
      <c r="C419" t="s">
        <v>859</v>
      </c>
      <c r="D419" t="s">
        <v>74</v>
      </c>
      <c r="E419" t="s">
        <v>878</v>
      </c>
      <c r="F419" t="s">
        <v>14</v>
      </c>
      <c r="G419" t="s">
        <v>76</v>
      </c>
      <c r="H419" t="s">
        <v>16</v>
      </c>
      <c r="I419" t="s">
        <v>17</v>
      </c>
      <c r="J419" s="6">
        <v>46030</v>
      </c>
      <c r="K419" t="s">
        <v>77</v>
      </c>
    </row>
    <row r="420" spans="1:12" x14ac:dyDescent="0.35">
      <c r="A420" t="s">
        <v>842</v>
      </c>
      <c r="B420">
        <v>25</v>
      </c>
      <c r="C420" t="s">
        <v>860</v>
      </c>
      <c r="D420" t="s">
        <v>74</v>
      </c>
      <c r="E420" t="s">
        <v>879</v>
      </c>
      <c r="F420" t="s">
        <v>14</v>
      </c>
      <c r="G420" t="s">
        <v>76</v>
      </c>
      <c r="H420" t="s">
        <v>16</v>
      </c>
      <c r="I420" t="s">
        <v>17</v>
      </c>
      <c r="J420" s="6">
        <v>46030</v>
      </c>
      <c r="K420" t="s">
        <v>77</v>
      </c>
    </row>
    <row r="421" spans="1:12" x14ac:dyDescent="0.35">
      <c r="A421" t="s">
        <v>843</v>
      </c>
      <c r="B421">
        <v>25</v>
      </c>
      <c r="C421" t="s">
        <v>861</v>
      </c>
      <c r="D421" t="s">
        <v>74</v>
      </c>
      <c r="E421" t="s">
        <v>880</v>
      </c>
      <c r="F421" t="s">
        <v>14</v>
      </c>
      <c r="G421" t="s">
        <v>76</v>
      </c>
      <c r="H421" t="s">
        <v>16</v>
      </c>
      <c r="I421" t="s">
        <v>17</v>
      </c>
      <c r="J421" s="6">
        <v>46030</v>
      </c>
      <c r="K421" t="s">
        <v>77</v>
      </c>
    </row>
    <row r="422" spans="1:12" x14ac:dyDescent="0.35">
      <c r="A422" t="s">
        <v>881</v>
      </c>
      <c r="B422">
        <v>300</v>
      </c>
      <c r="C422" t="s">
        <v>883</v>
      </c>
      <c r="D422" t="s">
        <v>74</v>
      </c>
      <c r="E422" t="s">
        <v>885</v>
      </c>
      <c r="F422" t="s">
        <v>14</v>
      </c>
      <c r="G422" t="s">
        <v>76</v>
      </c>
      <c r="H422" t="s">
        <v>16</v>
      </c>
      <c r="I422" t="s">
        <v>17</v>
      </c>
      <c r="J422" s="6">
        <v>46030</v>
      </c>
      <c r="K422" t="s">
        <v>77</v>
      </c>
    </row>
    <row r="423" spans="1:12" x14ac:dyDescent="0.35">
      <c r="A423" t="s">
        <v>882</v>
      </c>
      <c r="B423">
        <v>300</v>
      </c>
      <c r="C423" t="s">
        <v>884</v>
      </c>
      <c r="D423" t="s">
        <v>74</v>
      </c>
      <c r="E423" t="s">
        <v>886</v>
      </c>
      <c r="F423" t="s">
        <v>14</v>
      </c>
      <c r="G423" t="s">
        <v>76</v>
      </c>
      <c r="H423" t="s">
        <v>16</v>
      </c>
      <c r="I423" t="s">
        <v>17</v>
      </c>
      <c r="J423" s="6">
        <v>46030</v>
      </c>
      <c r="K423" t="s">
        <v>77</v>
      </c>
    </row>
    <row r="424" spans="1:12" x14ac:dyDescent="0.35">
      <c r="A424" t="s">
        <v>887</v>
      </c>
      <c r="B424">
        <v>108</v>
      </c>
      <c r="C424" t="s">
        <v>889</v>
      </c>
      <c r="D424" t="s">
        <v>74</v>
      </c>
      <c r="E424" t="s">
        <v>891</v>
      </c>
      <c r="F424" t="s">
        <v>14</v>
      </c>
      <c r="G424" t="s">
        <v>76</v>
      </c>
      <c r="H424" t="s">
        <v>16</v>
      </c>
      <c r="I424" t="s">
        <v>17</v>
      </c>
      <c r="J424" s="6">
        <v>46030</v>
      </c>
      <c r="K424" t="s">
        <v>77</v>
      </c>
    </row>
    <row r="425" spans="1:12" x14ac:dyDescent="0.35">
      <c r="A425" t="s">
        <v>888</v>
      </c>
      <c r="B425">
        <v>150</v>
      </c>
      <c r="C425" t="s">
        <v>890</v>
      </c>
      <c r="D425" t="s">
        <v>74</v>
      </c>
      <c r="E425" t="s">
        <v>891</v>
      </c>
      <c r="F425" t="s">
        <v>14</v>
      </c>
      <c r="G425" t="s">
        <v>76</v>
      </c>
      <c r="H425" t="s">
        <v>16</v>
      </c>
      <c r="I425" t="s">
        <v>17</v>
      </c>
      <c r="J425" s="6">
        <v>46030</v>
      </c>
      <c r="K425" t="s">
        <v>77</v>
      </c>
    </row>
    <row r="426" spans="1:12" x14ac:dyDescent="0.35">
      <c r="A426" t="s">
        <v>892</v>
      </c>
      <c r="B426">
        <v>50</v>
      </c>
      <c r="C426" t="s">
        <v>893</v>
      </c>
      <c r="D426" t="s">
        <v>74</v>
      </c>
      <c r="E426" t="s">
        <v>894</v>
      </c>
      <c r="F426" t="s">
        <v>14</v>
      </c>
      <c r="G426" t="s">
        <v>76</v>
      </c>
      <c r="H426" t="s">
        <v>16</v>
      </c>
      <c r="I426" t="s">
        <v>17</v>
      </c>
      <c r="J426" s="6">
        <v>46030</v>
      </c>
      <c r="K426" t="s">
        <v>77</v>
      </c>
    </row>
    <row r="427" spans="1:12" x14ac:dyDescent="0.35">
      <c r="A427" t="s">
        <v>895</v>
      </c>
      <c r="B427">
        <v>30</v>
      </c>
      <c r="C427" t="s">
        <v>896</v>
      </c>
      <c r="D427" t="s">
        <v>74</v>
      </c>
      <c r="E427" t="s">
        <v>801</v>
      </c>
      <c r="F427" t="s">
        <v>14</v>
      </c>
      <c r="G427" t="s">
        <v>76</v>
      </c>
      <c r="H427" t="s">
        <v>16</v>
      </c>
      <c r="I427" t="s">
        <v>17</v>
      </c>
      <c r="J427" s="6">
        <v>46030</v>
      </c>
      <c r="K427" t="s">
        <v>77</v>
      </c>
    </row>
    <row r="428" spans="1:12" x14ac:dyDescent="0.35">
      <c r="A428" t="s">
        <v>897</v>
      </c>
      <c r="B428">
        <v>300</v>
      </c>
      <c r="C428" t="s">
        <v>898</v>
      </c>
      <c r="D428" t="s">
        <v>74</v>
      </c>
      <c r="E428" t="s">
        <v>899</v>
      </c>
      <c r="F428" t="s">
        <v>14</v>
      </c>
      <c r="G428" t="s">
        <v>76</v>
      </c>
      <c r="H428" t="s">
        <v>16</v>
      </c>
      <c r="I428" t="s">
        <v>17</v>
      </c>
      <c r="J428" s="6">
        <v>46030</v>
      </c>
      <c r="K428" t="s">
        <v>77</v>
      </c>
    </row>
    <row r="429" spans="1:12" x14ac:dyDescent="0.35">
      <c r="L429" t="s">
        <v>903</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C3" sqref="C3"/>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0.05</v>
      </c>
      <c r="D2" t="s">
        <v>164</v>
      </c>
      <c r="F2" t="s">
        <v>165</v>
      </c>
    </row>
    <row r="3" spans="1:6" x14ac:dyDescent="0.35">
      <c r="A3" t="s">
        <v>166</v>
      </c>
      <c r="B3" t="s">
        <v>163</v>
      </c>
      <c r="C3">
        <v>0.1</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workbookViewId="0">
      <pane ySplit="1" topLeftCell="A2" activePane="bottomLeft" state="frozen"/>
      <selection pane="bottomLeft" activeCell="O2" sqref="O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491</v>
      </c>
      <c r="B2" s="4" t="s">
        <v>166</v>
      </c>
      <c r="C2" t="str">
        <f>_xlfn.XLOOKUP(A2,CATALOGO_PRODUCTOS!A:A,CATALOGO_PRODUCTOS!F:F,"",0)</f>
        <v>Importado</v>
      </c>
      <c r="D2" t="str">
        <f>_xlfn.XLOOKUP(A2,CATALOGO_PRODUCTOS!A:A,CATALOGO_PRODUCTOS!I:I,"",0)</f>
        <v>USD</v>
      </c>
      <c r="E2" s="2">
        <f>_xlfn.XLOOKUP(A2,CATALOGO_PRODUCTOS!A:A,CATALOGO_PRODUCTOS!B:B,0,0)</f>
        <v>10</v>
      </c>
      <c r="F2" s="2">
        <f>_xlfn.XLOOKUP(D2,TIPOS_CAMBIO!A:A,TIPOS_CAMBIO!B:B,"",0)</f>
        <v>21</v>
      </c>
      <c r="G2" s="7">
        <f>$E2*$F2</f>
        <v>210</v>
      </c>
      <c r="H2" s="8">
        <f>_xlfn.XLOOKUP($B$2,PARAMETROS_IMPORTACION!A:A,PARAMETROS_IMPORTACION!C:C,0,0)</f>
        <v>0.1</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245.38500000000002</v>
      </c>
      <c r="O2" s="2">
        <f>N2 * (1 + K2)</f>
        <v>269.92350000000005</v>
      </c>
    </row>
    <row r="3" spans="1:15" x14ac:dyDescent="0.35">
      <c r="A3" t="s">
        <v>79</v>
      </c>
      <c r="B3" s="4" t="s">
        <v>162</v>
      </c>
      <c r="C3" t="str">
        <f>_xlfn.XLOOKUP(A3,CATALOGO_PRODUCTOS!A:A,CATALOGO_PRODUCTOS!F:F,"",0)</f>
        <v>Importado</v>
      </c>
      <c r="D3" t="str">
        <f>_xlfn.XLOOKUP(A3,CATALOGO_PRODUCTOS!A:A,CATALOGO_PRODUCTOS!I:I,"",0)</f>
        <v>USD</v>
      </c>
      <c r="E3" s="2">
        <f>_xlfn.XLOOKUP(A3,CATALOGO_PRODUCTOS!A:A,CATALOGO_PRODUCTOS!B:B,0,0)</f>
        <v>415</v>
      </c>
      <c r="F3" s="2">
        <f>_xlfn.XLOOKUP(D3,TIPOS_CAMBIO!A:A,TIPOS_CAMBIO!B:B,"",0)</f>
        <v>21</v>
      </c>
      <c r="G3" s="7">
        <f>$E3*$F3</f>
        <v>8715</v>
      </c>
      <c r="H3" s="8">
        <f>_xlfn.XLOOKUP($B$3,PARAMETROS_IMPORTACION!A:A,PARAMETROS_IMPORTACION!C:C,0,0)</f>
        <v>0.05</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9747.7275000000009</v>
      </c>
      <c r="O3" s="2">
        <f>N3 * (1 + K3)</f>
        <v>10722.500250000001</v>
      </c>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890B5D1-F5C9-452F-8DA6-742FF446337F}">
          <x14:formula1>
            <xm:f>PARAMETROS_IMPORTACION!$A$2:$A$3</xm:f>
          </x14:formula1>
          <xm:sqref>B2:B3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2026-01-14T22:22:01Z</dcterms:modified>
  <cp:category/>
  <cp:contentStatus/>
</cp:coreProperties>
</file>